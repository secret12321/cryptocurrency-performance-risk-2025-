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Cryptocurrency_Analysis\Data\"/>
    </mc:Choice>
  </mc:AlternateContent>
  <xr:revisionPtr revIDLastSave="0" documentId="8_{4B6903C7-C872-4402-A11D-BE8C2DE765C3}" xr6:coauthVersionLast="47" xr6:coauthVersionMax="47" xr10:uidLastSave="{00000000-0000-0000-0000-000000000000}"/>
  <bookViews>
    <workbookView xWindow="-108" yWindow="-108" windowWidth="23256" windowHeight="12456" activeTab="1" xr2:uid="{248F179D-5D08-4FB6-A07A-17EF435D6775}"/>
  </bookViews>
  <sheets>
    <sheet name="Cleaned_Crypto_Data" sheetId="3" r:id="rId1"/>
    <sheet name="Summary_Table" sheetId="5" r:id="rId2"/>
    <sheet name="Crypto_previous" sheetId="4" r:id="rId3"/>
    <sheet name="Raw_Crypto_Data" sheetId="1" r:id="rId4"/>
  </sheets>
  <definedNames>
    <definedName name="ExternalData_1" localSheetId="0" hidden="1">Cleaned_Crypto_Data!$A$1:$M$2191</definedName>
    <definedName name="ExternalData_2" localSheetId="2" hidden="1">'Crypto_previous'!$A$1:$C$2191</definedName>
  </definedNames>
  <calcPr calcId="0"/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G2" i="5" s="1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G3" i="5" s="1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G4" i="5" s="1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G5" i="5"/>
  <c r="G6" i="5"/>
  <c r="G7" i="5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E2" i="5" a="1"/>
  <c r="F2" i="5" s="1" a="1"/>
  <c r="E3" i="5" a="1"/>
  <c r="F3" i="5" s="1" a="1"/>
  <c r="E4" i="5" a="1"/>
  <c r="F4" i="5" s="1" a="1"/>
  <c r="E5" i="5" a="1"/>
  <c r="F5" i="5" s="1" a="1"/>
  <c r="E6" i="5" a="1"/>
  <c r="F6" i="5" s="1" a="1"/>
  <c r="E7" i="5" a="1"/>
  <c r="F7" i="5" s="1" a="1"/>
  <c r="C3" i="5" a="1"/>
  <c r="D3" i="5" s="1"/>
  <c r="C4" i="5" a="1"/>
  <c r="C5" i="5" a="1"/>
  <c r="C6" i="5" a="1"/>
  <c r="C7" i="5" a="1"/>
  <c r="C2" i="5" a="1"/>
  <c r="B3" i="5" a="1"/>
  <c r="B4" i="5" a="1"/>
  <c r="B5" i="5" a="1"/>
  <c r="D5" i="5" s="1"/>
  <c r="B6" i="5" a="1"/>
  <c r="B7" i="5" a="1"/>
  <c r="B2" i="5" a="1"/>
  <c r="D7" i="5" l="1"/>
  <c r="D2" i="5"/>
  <c r="D4" i="5"/>
  <c r="D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DDB4FB-1446-49D2-BB79-490A5AC3CF1B}" keepAlive="1" name="Query - Crypto" description="Connection to the 'Crypto' query in the workbook." type="5" refreshedVersion="8" background="1" saveData="1">
    <dbPr connection="Provider=Microsoft.Mashup.OleDb.1;Data Source=$Workbook$;Location=Crypto;Extended Properties=&quot;&quot;" command="SELECT * FROM [Crypto]"/>
  </connection>
  <connection id="2" xr16:uid="{21550C44-ABEA-40F4-978C-87E5EDD3D41E}" keepAlive="1" name="Query - Crypto_previous" description="Connection to the 'Crypto_previous' query in the workbook." type="5" refreshedVersion="8" background="1" saveData="1">
    <dbPr connection="Provider=Microsoft.Mashup.OleDb.1;Data Source=$Workbook$;Location=Crypto_previous;Extended Properties=&quot;&quot;" command="SELECT * FROM [Crypto_previou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<sst xmlns="http://schemas.openxmlformats.org/spreadsheetml/2006/main" count="13177" uniqueCount="396">
  <si>
    <t>Date</t>
  </si>
  <si>
    <t>Name</t>
  </si>
  <si>
    <t>Open</t>
  </si>
  <si>
    <t>High</t>
  </si>
  <si>
    <t>Low</t>
  </si>
  <si>
    <t>Close</t>
  </si>
  <si>
    <t>Volume</t>
  </si>
  <si>
    <t>Ticker</t>
  </si>
  <si>
    <t>2025-01-01 00:00:00+00:00</t>
  </si>
  <si>
    <t>Cardano</t>
  </si>
  <si>
    <t>ADA-USD</t>
  </si>
  <si>
    <t>Bitcoin</t>
  </si>
  <si>
    <t>BTC-USD</t>
  </si>
  <si>
    <t>Solana</t>
  </si>
  <si>
    <t>SOL-USD</t>
  </si>
  <si>
    <t>XRP</t>
  </si>
  <si>
    <t>XRP-USD</t>
  </si>
  <si>
    <t>Ethereum</t>
  </si>
  <si>
    <t>ETH-USD</t>
  </si>
  <si>
    <t>BNB</t>
  </si>
  <si>
    <t>BNB-USD</t>
  </si>
  <si>
    <t>2025-01-02 00:00:00+00:00</t>
  </si>
  <si>
    <t>2025-01-03 00:00:00+00:00</t>
  </si>
  <si>
    <t>2025-01-04 00:00:00+00:00</t>
  </si>
  <si>
    <t>2025-01-05 00:00:00+00:00</t>
  </si>
  <si>
    <t>2025-01-06 00:00:00+00:00</t>
  </si>
  <si>
    <t>2025-01-07 00:00:00+00:00</t>
  </si>
  <si>
    <t>2025-01-08 00:00:00+00:00</t>
  </si>
  <si>
    <t>2025-01-09 00:00:00+00:00</t>
  </si>
  <si>
    <t>2025-01-10 00:00:00+00:00</t>
  </si>
  <si>
    <t>2025-01-11 00:00:00+00:00</t>
  </si>
  <si>
    <t>2025-01-12 00:00:00+00:00</t>
  </si>
  <si>
    <t>2025-01-13 00:00:00+00:00</t>
  </si>
  <si>
    <t>2025-01-14 00:00:00+00:00</t>
  </si>
  <si>
    <t>2025-01-15 00:00:00+00:00</t>
  </si>
  <si>
    <t>2025-01-16 00:00:00+00:00</t>
  </si>
  <si>
    <t>2025-01-17 00:00:00+00:00</t>
  </si>
  <si>
    <t>2025-01-18 00:00:00+00:00</t>
  </si>
  <si>
    <t>2025-01-19 00:00:00+00:00</t>
  </si>
  <si>
    <t>2025-01-20 00:00:00+00:00</t>
  </si>
  <si>
    <t>2025-01-21 00:00:00+00:00</t>
  </si>
  <si>
    <t>2025-01-22 00:00:00+00:00</t>
  </si>
  <si>
    <t>2025-01-23 00:00:00+00:00</t>
  </si>
  <si>
    <t>2025-01-24 00:00:00+00:00</t>
  </si>
  <si>
    <t>2025-01-25 00:00:00+00:00</t>
  </si>
  <si>
    <t>2025-01-26 00:00:00+00:00</t>
  </si>
  <si>
    <t>2025-01-27 00:00:00+00:00</t>
  </si>
  <si>
    <t>2025-01-28 00:00:00+00:00</t>
  </si>
  <si>
    <t>2025-01-29 00:00:00+00:00</t>
  </si>
  <si>
    <t>2025-01-30 00:00:00+00:00</t>
  </si>
  <si>
    <t>2025-01-31 00:00:00+00:00</t>
  </si>
  <si>
    <t>2025-02-01 00:00:00+00:00</t>
  </si>
  <si>
    <t>2025-02-02 00:00:00+00:00</t>
  </si>
  <si>
    <t>2025-02-03 00:00:00+00:00</t>
  </si>
  <si>
    <t>2025-02-04 00:00:00+00:00</t>
  </si>
  <si>
    <t>2025-02-05 00:00:00+00:00</t>
  </si>
  <si>
    <t>2025-02-06 00:00:00+00:00</t>
  </si>
  <si>
    <t>2025-02-07 00:00:00+00:00</t>
  </si>
  <si>
    <t>2025-02-08 00:00:00+00:00</t>
  </si>
  <si>
    <t>2025-02-09 00:00:00+00:00</t>
  </si>
  <si>
    <t>2025-02-10 00:00:00+00:00</t>
  </si>
  <si>
    <t>2025-02-11 00:00:00+00:00</t>
  </si>
  <si>
    <t>2025-02-12 00:00:00+00:00</t>
  </si>
  <si>
    <t>2025-02-13 00:00:00+00:00</t>
  </si>
  <si>
    <t>2025-02-14 00:00:00+00:00</t>
  </si>
  <si>
    <t>2025-02-15 00:00:00+00:00</t>
  </si>
  <si>
    <t>2025-02-16 00:00:00+00:00</t>
  </si>
  <si>
    <t>2025-02-17 00:00:00+00:00</t>
  </si>
  <si>
    <t>2025-02-18 00:00:00+00:00</t>
  </si>
  <si>
    <t>2025-02-19 00:00:00+00:00</t>
  </si>
  <si>
    <t>2025-02-20 00:00:00+00:00</t>
  </si>
  <si>
    <t>2025-02-21 00:00:00+00:00</t>
  </si>
  <si>
    <t>2025-02-22 00:00:00+00:00</t>
  </si>
  <si>
    <t>2025-02-23 00:00:00+00:00</t>
  </si>
  <si>
    <t>2025-02-24 00:00:00+00:00</t>
  </si>
  <si>
    <t>2025-02-25 00:00:00+00:00</t>
  </si>
  <si>
    <t>2025-02-26 00:00:00+00:00</t>
  </si>
  <si>
    <t>2025-02-27 00:00:00+00:00</t>
  </si>
  <si>
    <t>2025-02-28 00:00:00+00:00</t>
  </si>
  <si>
    <t>2025-03-01 00:00:00+00:00</t>
  </si>
  <si>
    <t>2025-03-02 00:00:00+00:00</t>
  </si>
  <si>
    <t>2025-03-03 00:00:00+00:00</t>
  </si>
  <si>
    <t>2025-03-04 00:00:00+00:00</t>
  </si>
  <si>
    <t>2025-03-05 00:00:00+00:00</t>
  </si>
  <si>
    <t>2025-03-06 00:00:00+00:00</t>
  </si>
  <si>
    <t>2025-03-07 00:00:00+00:00</t>
  </si>
  <si>
    <t>2025-03-08 00:00:00+00:00</t>
  </si>
  <si>
    <t>2025-03-09 00:00:00+00:00</t>
  </si>
  <si>
    <t>2025-03-10 00:00:00+00:00</t>
  </si>
  <si>
    <t>2025-03-11 00:00:00+00:00</t>
  </si>
  <si>
    <t>2025-03-12 00:00:00+00:00</t>
  </si>
  <si>
    <t>2025-03-13 00:00:00+00:00</t>
  </si>
  <si>
    <t>2025-03-14 00:00:00+00:00</t>
  </si>
  <si>
    <t>2025-03-15 00:00:00+00:00</t>
  </si>
  <si>
    <t>2025-03-16 00:00:00+00:00</t>
  </si>
  <si>
    <t>2025-03-17 00:00:00+00:00</t>
  </si>
  <si>
    <t>2025-03-18 00:00:00+00:00</t>
  </si>
  <si>
    <t>2025-03-19 00:00:00+00:00</t>
  </si>
  <si>
    <t>2025-03-20 00:00:00+00:00</t>
  </si>
  <si>
    <t>2025-03-21 00:00:00+00:00</t>
  </si>
  <si>
    <t>2025-03-22 00:00:00+00:00</t>
  </si>
  <si>
    <t>2025-03-23 00:00:00+00:00</t>
  </si>
  <si>
    <t>2025-03-24 00:00:00+00:00</t>
  </si>
  <si>
    <t>2025-03-25 00:00:00+00:00</t>
  </si>
  <si>
    <t>2025-03-26 00:00:00+00:00</t>
  </si>
  <si>
    <t>2025-03-27 00:00:00+00:00</t>
  </si>
  <si>
    <t>2025-03-28 00:00:00+00:00</t>
  </si>
  <si>
    <t>2025-03-29 00:00:00+00:00</t>
  </si>
  <si>
    <t>2025-03-30 00:00:00+00:00</t>
  </si>
  <si>
    <t>2025-03-31 00:00:00+00:00</t>
  </si>
  <si>
    <t>2025-04-01 00:00:00+00:00</t>
  </si>
  <si>
    <t>2025-04-02 00:00:00+00:00</t>
  </si>
  <si>
    <t>2025-04-03 00:00:00+00:00</t>
  </si>
  <si>
    <t>2025-04-04 00:00:00+00:00</t>
  </si>
  <si>
    <t>2025-04-05 00:00:00+00:00</t>
  </si>
  <si>
    <t>2025-04-06 00:00:00+00:00</t>
  </si>
  <si>
    <t>2025-04-07 00:00:00+00:00</t>
  </si>
  <si>
    <t>2025-04-08 00:00:00+00:00</t>
  </si>
  <si>
    <t>2025-04-09 00:00:00+00:00</t>
  </si>
  <si>
    <t>2025-04-10 00:00:00+00:00</t>
  </si>
  <si>
    <t>2025-04-11 00:00:00+00:00</t>
  </si>
  <si>
    <t>2025-04-12 00:00:00+00:00</t>
  </si>
  <si>
    <t>2025-04-13 00:00:00+00:00</t>
  </si>
  <si>
    <t>2025-04-14 00:00:00+00:00</t>
  </si>
  <si>
    <t>2025-04-15 00:00:00+00:00</t>
  </si>
  <si>
    <t>2025-04-16 00:00:00+00:00</t>
  </si>
  <si>
    <t>2025-04-17 00:00:00+00:00</t>
  </si>
  <si>
    <t>2025-04-18 00:00:00+00:00</t>
  </si>
  <si>
    <t>2025-04-19 00:00:00+00:00</t>
  </si>
  <si>
    <t>2025-04-20 00:00:00+00:00</t>
  </si>
  <si>
    <t>2025-04-21 00:00:00+00:00</t>
  </si>
  <si>
    <t>2025-04-22 00:00:00+00:00</t>
  </si>
  <si>
    <t>2025-04-23 00:00:00+00:00</t>
  </si>
  <si>
    <t>2025-04-24 00:00:00+00:00</t>
  </si>
  <si>
    <t>2025-04-25 00:00:00+00:00</t>
  </si>
  <si>
    <t>2025-04-26 00:00:00+00:00</t>
  </si>
  <si>
    <t>2025-04-27 00:00:00+00:00</t>
  </si>
  <si>
    <t>2025-04-28 00:00:00+00:00</t>
  </si>
  <si>
    <t>2025-04-29 00:00:00+00:00</t>
  </si>
  <si>
    <t>2025-04-30 00:00:00+00:00</t>
  </si>
  <si>
    <t>2025-05-01 00:00:00+00:00</t>
  </si>
  <si>
    <t>2025-05-02 00:00:00+00:00</t>
  </si>
  <si>
    <t>2025-05-03 00:00:00+00:00</t>
  </si>
  <si>
    <t>2025-05-04 00:00:00+00:00</t>
  </si>
  <si>
    <t>2025-05-05 00:00:00+00:00</t>
  </si>
  <si>
    <t>2025-05-06 00:00:00+00:00</t>
  </si>
  <si>
    <t>2025-05-07 00:00:00+00:00</t>
  </si>
  <si>
    <t>2025-05-08 00:00:00+00:00</t>
  </si>
  <si>
    <t>2025-05-09 00:00:00+00:00</t>
  </si>
  <si>
    <t>2025-05-10 00:00:00+00:00</t>
  </si>
  <si>
    <t>2025-05-11 00:00:00+00:00</t>
  </si>
  <si>
    <t>2025-05-12 00:00:00+00:00</t>
  </si>
  <si>
    <t>2025-05-13 00:00:00+00:00</t>
  </si>
  <si>
    <t>2025-05-14 00:00:00+00:00</t>
  </si>
  <si>
    <t>2025-05-15 00:00:00+00:00</t>
  </si>
  <si>
    <t>2025-05-16 00:00:00+00:00</t>
  </si>
  <si>
    <t>2025-05-17 00:00:00+00:00</t>
  </si>
  <si>
    <t>2025-05-18 00:00:00+00:00</t>
  </si>
  <si>
    <t>2025-05-19 00:00:00+00:00</t>
  </si>
  <si>
    <t>2025-05-20 00:00:00+00:00</t>
  </si>
  <si>
    <t>2025-05-21 00:00:00+00:00</t>
  </si>
  <si>
    <t>2025-05-22 00:00:00+00:00</t>
  </si>
  <si>
    <t>2025-05-23 00:00:00+00:00</t>
  </si>
  <si>
    <t>2025-05-24 00:00:00+00:00</t>
  </si>
  <si>
    <t>2025-05-25 00:00:00+00:00</t>
  </si>
  <si>
    <t>2025-05-26 00:00:00+00:00</t>
  </si>
  <si>
    <t>2025-05-27 00:00:00+00:00</t>
  </si>
  <si>
    <t>2025-05-28 00:00:00+00:00</t>
  </si>
  <si>
    <t>2025-05-29 00:00:00+00:00</t>
  </si>
  <si>
    <t>2025-05-30 00:00:00+00:00</t>
  </si>
  <si>
    <t>2025-05-31 00:00:00+00:00</t>
  </si>
  <si>
    <t>2025-06-01 00:00:00+00:00</t>
  </si>
  <si>
    <t>2025-06-02 00:00:00+00:00</t>
  </si>
  <si>
    <t>2025-06-03 00:00:00+00:00</t>
  </si>
  <si>
    <t>2025-06-04 00:00:00+00:00</t>
  </si>
  <si>
    <t>2025-06-05 00:00:00+00:00</t>
  </si>
  <si>
    <t>2025-06-06 00:00:00+00:00</t>
  </si>
  <si>
    <t>2025-06-07 00:00:00+00:00</t>
  </si>
  <si>
    <t>2025-06-08 00:00:00+00:00</t>
  </si>
  <si>
    <t>2025-06-09 00:00:00+00:00</t>
  </si>
  <si>
    <t>2025-06-10 00:00:00+00:00</t>
  </si>
  <si>
    <t>2025-06-11 00:00:00+00:00</t>
  </si>
  <si>
    <t>2025-06-12 00:00:00+00:00</t>
  </si>
  <si>
    <t>2025-06-13 00:00:00+00:00</t>
  </si>
  <si>
    <t>2025-06-14 00:00:00+00:00</t>
  </si>
  <si>
    <t>2025-06-15 00:00:00+00:00</t>
  </si>
  <si>
    <t>2025-06-16 00:00:00+00:00</t>
  </si>
  <si>
    <t>2025-06-17 00:00:00+00:00</t>
  </si>
  <si>
    <t>2025-06-18 00:00:00+00:00</t>
  </si>
  <si>
    <t>2025-06-19 00:00:00+00:00</t>
  </si>
  <si>
    <t>2025-06-20 00:00:00+00:00</t>
  </si>
  <si>
    <t>2025-06-21 00:00:00+00:00</t>
  </si>
  <si>
    <t>2025-06-22 00:00:00+00:00</t>
  </si>
  <si>
    <t>2025-06-23 00:00:00+00:00</t>
  </si>
  <si>
    <t>2025-06-24 00:00:00+00:00</t>
  </si>
  <si>
    <t>2025-06-25 00:00:00+00:00</t>
  </si>
  <si>
    <t>2025-06-26 00:00:00+00:00</t>
  </si>
  <si>
    <t>2025-06-27 00:00:00+00:00</t>
  </si>
  <si>
    <t>2025-06-28 00:00:00+00:00</t>
  </si>
  <si>
    <t>2025-06-29 00:00:00+00:00</t>
  </si>
  <si>
    <t>2025-06-30 00:00:00+00:00</t>
  </si>
  <si>
    <t>2025-07-01 00:00:00+00:00</t>
  </si>
  <si>
    <t>2025-07-02 00:00:00+00:00</t>
  </si>
  <si>
    <t>2025-07-03 00:00:00+00:00</t>
  </si>
  <si>
    <t>2025-07-04 00:00:00+00:00</t>
  </si>
  <si>
    <t>2025-07-05 00:00:00+00:00</t>
  </si>
  <si>
    <t>2025-07-06 00:00:00+00:00</t>
  </si>
  <si>
    <t>2025-07-07 00:00:00+00:00</t>
  </si>
  <si>
    <t>2025-07-08 00:00:00+00:00</t>
  </si>
  <si>
    <t>2025-07-09 00:00:00+00:00</t>
  </si>
  <si>
    <t>2025-07-10 00:00:00+00:00</t>
  </si>
  <si>
    <t>2025-07-11 00:00:00+00:00</t>
  </si>
  <si>
    <t>2025-07-12 00:00:00+00:00</t>
  </si>
  <si>
    <t>2025-07-13 00:00:00+00:00</t>
  </si>
  <si>
    <t>2025-07-14 00:00:00+00:00</t>
  </si>
  <si>
    <t>2025-07-15 00:00:00+00:00</t>
  </si>
  <si>
    <t>2025-07-16 00:00:00+00:00</t>
  </si>
  <si>
    <t>2025-07-17 00:00:00+00:00</t>
  </si>
  <si>
    <t>2025-07-18 00:00:00+00:00</t>
  </si>
  <si>
    <t>2025-07-19 00:00:00+00:00</t>
  </si>
  <si>
    <t>2025-07-20 00:00:00+00:00</t>
  </si>
  <si>
    <t>2025-07-21 00:00:00+00:00</t>
  </si>
  <si>
    <t>2025-07-22 00:00:00+00:00</t>
  </si>
  <si>
    <t>2025-07-23 00:00:00+00:00</t>
  </si>
  <si>
    <t>2025-07-24 00:00:00+00:00</t>
  </si>
  <si>
    <t>2025-07-25 00:00:00+00:00</t>
  </si>
  <si>
    <t>2025-07-26 00:00:00+00:00</t>
  </si>
  <si>
    <t>2025-07-27 00:00:00+00:00</t>
  </si>
  <si>
    <t>2025-07-28 00:00:00+00:00</t>
  </si>
  <si>
    <t>2025-07-29 00:00:00+00:00</t>
  </si>
  <si>
    <t>2025-07-30 00:00:00+00:00</t>
  </si>
  <si>
    <t>2025-07-31 00:00:00+00:00</t>
  </si>
  <si>
    <t>2025-08-01 00:00:00+00:00</t>
  </si>
  <si>
    <t>2025-08-02 00:00:00+00:00</t>
  </si>
  <si>
    <t>2025-08-03 00:00:00+00:00</t>
  </si>
  <si>
    <t>2025-08-04 00:00:00+00:00</t>
  </si>
  <si>
    <t>2025-08-05 00:00:00+00:00</t>
  </si>
  <si>
    <t>2025-08-06 00:00:00+00:00</t>
  </si>
  <si>
    <t>2025-08-07 00:00:00+00:00</t>
  </si>
  <si>
    <t>2025-08-08 00:00:00+00:00</t>
  </si>
  <si>
    <t>2025-08-09 00:00:00+00:00</t>
  </si>
  <si>
    <t>2025-08-10 00:00:00+00:00</t>
  </si>
  <si>
    <t>2025-08-11 00:00:00+00:00</t>
  </si>
  <si>
    <t>2025-08-12 00:00:00+00:00</t>
  </si>
  <si>
    <t>2025-08-13 00:00:00+00:00</t>
  </si>
  <si>
    <t>2025-08-14 00:00:00+00:00</t>
  </si>
  <si>
    <t>2025-08-15 00:00:00+00:00</t>
  </si>
  <si>
    <t>2025-08-16 00:00:00+00:00</t>
  </si>
  <si>
    <t>2025-08-17 00:00:00+00:00</t>
  </si>
  <si>
    <t>2025-08-18 00:00:00+00:00</t>
  </si>
  <si>
    <t>2025-08-19 00:00:00+00:00</t>
  </si>
  <si>
    <t>2025-08-20 00:00:00+00:00</t>
  </si>
  <si>
    <t>2025-08-21 00:00:00+00:00</t>
  </si>
  <si>
    <t>2025-08-22 00:00:00+00:00</t>
  </si>
  <si>
    <t>2025-08-23 00:00:00+00:00</t>
  </si>
  <si>
    <t>2025-08-24 00:00:00+00:00</t>
  </si>
  <si>
    <t>2025-08-25 00:00:00+00:00</t>
  </si>
  <si>
    <t>2025-08-26 00:00:00+00:00</t>
  </si>
  <si>
    <t>2025-08-27 00:00:00+00:00</t>
  </si>
  <si>
    <t>2025-08-28 00:00:00+00:00</t>
  </si>
  <si>
    <t>2025-08-29 00:00:00+00:00</t>
  </si>
  <si>
    <t>2025-08-30 00:00:00+00:00</t>
  </si>
  <si>
    <t>2025-08-31 00:00:00+00:00</t>
  </si>
  <si>
    <t>2025-09-01 00:00:00+00:00</t>
  </si>
  <si>
    <t>2025-09-02 00:00:00+00:00</t>
  </si>
  <si>
    <t>2025-09-03 00:00:00+00:00</t>
  </si>
  <si>
    <t>2025-09-04 00:00:00+00:00</t>
  </si>
  <si>
    <t>2025-09-05 00:00:00+00:00</t>
  </si>
  <si>
    <t>2025-09-06 00:00:00+00:00</t>
  </si>
  <si>
    <t>2025-09-07 00:00:00+00:00</t>
  </si>
  <si>
    <t>2025-09-08 00:00:00+00:00</t>
  </si>
  <si>
    <t>2025-09-09 00:00:00+00:00</t>
  </si>
  <si>
    <t>2025-09-10 00:00:00+00:00</t>
  </si>
  <si>
    <t>2025-09-11 00:00:00+00:00</t>
  </si>
  <si>
    <t>2025-09-12 00:00:00+00:00</t>
  </si>
  <si>
    <t>2025-09-13 00:00:00+00:00</t>
  </si>
  <si>
    <t>2025-09-14 00:00:00+00:00</t>
  </si>
  <si>
    <t>2025-09-15 00:00:00+00:00</t>
  </si>
  <si>
    <t>2025-09-16 00:00:00+00:00</t>
  </si>
  <si>
    <t>2025-09-17 00:00:00+00:00</t>
  </si>
  <si>
    <t>2025-09-18 00:00:00+00:00</t>
  </si>
  <si>
    <t>2025-09-19 00:00:00+00:00</t>
  </si>
  <si>
    <t>2025-09-20 00:00:00+00:00</t>
  </si>
  <si>
    <t>2025-09-21 00:00:00+00:00</t>
  </si>
  <si>
    <t>2025-09-22 00:00:00+00:00</t>
  </si>
  <si>
    <t>2025-09-23 00:00:00+00:00</t>
  </si>
  <si>
    <t>2025-09-24 00:00:00+00:00</t>
  </si>
  <si>
    <t>2025-09-25 00:00:00+00:00</t>
  </si>
  <si>
    <t>2025-09-26 00:00:00+00:00</t>
  </si>
  <si>
    <t>2025-09-27 00:00:00+00:00</t>
  </si>
  <si>
    <t>2025-09-28 00:00:00+00:00</t>
  </si>
  <si>
    <t>2025-09-29 00:00:00+00:00</t>
  </si>
  <si>
    <t>2025-09-30 00:00:00+00:00</t>
  </si>
  <si>
    <t>2025-10-01 00:00:00+00:00</t>
  </si>
  <si>
    <t>2025-10-02 00:00:00+00:00</t>
  </si>
  <si>
    <t>2025-10-03 00:00:00+00:00</t>
  </si>
  <si>
    <t>2025-10-04 00:00:00+00:00</t>
  </si>
  <si>
    <t>2025-10-05 00:00:00+00:00</t>
  </si>
  <si>
    <t>2025-10-06 00:00:00+00:00</t>
  </si>
  <si>
    <t>2025-10-07 00:00:00+00:00</t>
  </si>
  <si>
    <t>2025-10-08 00:00:00+00:00</t>
  </si>
  <si>
    <t>2025-10-09 00:00:00+00:00</t>
  </si>
  <si>
    <t>2025-10-10 00:00:00+00:00</t>
  </si>
  <si>
    <t>2025-10-11 00:00:00+00:00</t>
  </si>
  <si>
    <t>2025-10-12 00:00:00+00:00</t>
  </si>
  <si>
    <t>2025-10-13 00:00:00+00:00</t>
  </si>
  <si>
    <t>2025-10-14 00:00:00+00:00</t>
  </si>
  <si>
    <t>2025-10-15 00:00:00+00:00</t>
  </si>
  <si>
    <t>2025-10-16 00:00:00+00:00</t>
  </si>
  <si>
    <t>2025-10-17 00:00:00+00:00</t>
  </si>
  <si>
    <t>2025-10-18 00:00:00+00:00</t>
  </si>
  <si>
    <t>2025-10-19 00:00:00+00:00</t>
  </si>
  <si>
    <t>2025-10-20 00:00:00+00:00</t>
  </si>
  <si>
    <t>2025-10-21 00:00:00+00:00</t>
  </si>
  <si>
    <t>2025-10-22 00:00:00+00:00</t>
  </si>
  <si>
    <t>2025-10-23 00:00:00+00:00</t>
  </si>
  <si>
    <t>2025-10-24 00:00:00+00:00</t>
  </si>
  <si>
    <t>2025-10-25 00:00:00+00:00</t>
  </si>
  <si>
    <t>2025-10-26 00:00:00+00:00</t>
  </si>
  <si>
    <t>2025-10-27 00:00:00+00:00</t>
  </si>
  <si>
    <t>2025-10-28 00:00:00+00:00</t>
  </si>
  <si>
    <t>2025-10-29 00:00:00+00:00</t>
  </si>
  <si>
    <t>2025-10-30 00:00:00+00:00</t>
  </si>
  <si>
    <t>2025-10-31 00:00:00+00:00</t>
  </si>
  <si>
    <t>2025-11-01 00:00:00+00:00</t>
  </si>
  <si>
    <t>2025-11-02 00:00:00+00:00</t>
  </si>
  <si>
    <t>2025-11-03 00:00:00+00:00</t>
  </si>
  <si>
    <t>2025-11-04 00:00:00+00:00</t>
  </si>
  <si>
    <t>2025-11-05 00:00:00+00:00</t>
  </si>
  <si>
    <t>2025-11-06 00:00:00+00:00</t>
  </si>
  <si>
    <t>2025-11-07 00:00:00+00:00</t>
  </si>
  <si>
    <t>2025-11-08 00:00:00+00:00</t>
  </si>
  <si>
    <t>2025-11-09 00:00:00+00:00</t>
  </si>
  <si>
    <t>2025-11-10 00:00:00+00:00</t>
  </si>
  <si>
    <t>2025-11-11 00:00:00+00:00</t>
  </si>
  <si>
    <t>2025-11-12 00:00:00+00:00</t>
  </si>
  <si>
    <t>2025-11-13 00:00:00+00:00</t>
  </si>
  <si>
    <t>2025-11-14 00:00:00+00:00</t>
  </si>
  <si>
    <t>2025-11-15 00:00:00+00:00</t>
  </si>
  <si>
    <t>2025-11-16 00:00:00+00:00</t>
  </si>
  <si>
    <t>2025-11-17 00:00:00+00:00</t>
  </si>
  <si>
    <t>2025-11-18 00:00:00+00:00</t>
  </si>
  <si>
    <t>2025-11-19 00:00:00+00:00</t>
  </si>
  <si>
    <t>2025-11-20 00:00:00+00:00</t>
  </si>
  <si>
    <t>2025-11-21 00:00:00+00:00</t>
  </si>
  <si>
    <t>2025-11-22 00:00:00+00:00</t>
  </si>
  <si>
    <t>2025-11-23 00:00:00+00:00</t>
  </si>
  <si>
    <t>2025-11-24 00:00:00+00:00</t>
  </si>
  <si>
    <t>2025-11-25 00:00:00+00:00</t>
  </si>
  <si>
    <t>2025-11-26 00:00:00+00:00</t>
  </si>
  <si>
    <t>2025-11-27 00:00:00+00:00</t>
  </si>
  <si>
    <t>2025-11-28 00:00:00+00:00</t>
  </si>
  <si>
    <t>2025-11-29 00:00:00+00:00</t>
  </si>
  <si>
    <t>2025-11-30 00:00:00+00:00</t>
  </si>
  <si>
    <t>2025-12-01 00:00:00+00:00</t>
  </si>
  <si>
    <t>2025-12-02 00:00:00+00:00</t>
  </si>
  <si>
    <t>2025-12-03 00:00:00+00:00</t>
  </si>
  <si>
    <t>2025-12-04 00:00:00+00:00</t>
  </si>
  <si>
    <t>2025-12-05 00:00:00+00:00</t>
  </si>
  <si>
    <t>2025-12-06 00:00:00+00:00</t>
  </si>
  <si>
    <t>2025-12-07 00:00:00+00:00</t>
  </si>
  <si>
    <t>2025-12-08 00:00:00+00:00</t>
  </si>
  <si>
    <t>2025-12-09 00:00:00+00:00</t>
  </si>
  <si>
    <t>2025-12-10 00:00:00+00:00</t>
  </si>
  <si>
    <t>2025-12-11 00:00:00+00:00</t>
  </si>
  <si>
    <t>2025-12-12 00:00:00+00:00</t>
  </si>
  <si>
    <t>2025-12-13 00:00:00+00:00</t>
  </si>
  <si>
    <t>2025-12-14 00:00:00+00:00</t>
  </si>
  <si>
    <t>2025-12-15 00:00:00+00:00</t>
  </si>
  <si>
    <t>2025-12-16 00:00:00+00:00</t>
  </si>
  <si>
    <t>2025-12-17 00:00:00+00:00</t>
  </si>
  <si>
    <t>2025-12-18 00:00:00+00:00</t>
  </si>
  <si>
    <t>2025-12-19 00:00:00+00:00</t>
  </si>
  <si>
    <t>2025-12-20 00:00:00+00:00</t>
  </si>
  <si>
    <t>2025-12-21 00:00:00+00:00</t>
  </si>
  <si>
    <t>2025-12-22 00:00:00+00:00</t>
  </si>
  <si>
    <t>2025-12-23 00:00:00+00:00</t>
  </si>
  <si>
    <t>2025-12-24 00:00:00+00:00</t>
  </si>
  <si>
    <t>2025-12-25 00:00:00+00:00</t>
  </si>
  <si>
    <t>2025-12-26 00:00:00+00:00</t>
  </si>
  <si>
    <t>2025-12-27 00:00:00+00:00</t>
  </si>
  <si>
    <t>2025-12-28 00:00:00+00:00</t>
  </si>
  <si>
    <t>2025-12-29 00:00:00+00:00</t>
  </si>
  <si>
    <t>2025-12-30 00:00:00+00:00</t>
  </si>
  <si>
    <t>2025-12-31 00:00:00+00:00</t>
  </si>
  <si>
    <t>Prev Close</t>
  </si>
  <si>
    <t>Prev Date</t>
  </si>
  <si>
    <t>Daily Return</t>
  </si>
  <si>
    <t>Beginning Close</t>
  </si>
  <si>
    <t>Ending Close</t>
  </si>
  <si>
    <t>Total Return</t>
  </si>
  <si>
    <t>Volatility</t>
  </si>
  <si>
    <t>Sharpe Ratio</t>
  </si>
  <si>
    <t>Maximum Drawdown</t>
  </si>
  <si>
    <t>Peak Close</t>
  </si>
  <si>
    <t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</si>
</sst>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17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4" formatCode="0.00%"/>
    </dxf>
    <dxf>
      <numFmt numFmtId="0" formatCode="General"/>
    </dxf>
    <dxf>
      <numFmt numFmtId="14" formatCode="0.00%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A01CC5-C27E-4815-A127-0E44916655D5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Name" tableColumnId="2"/>
      <queryTableField id="3" name="Open" tableColumnId="3"/>
      <queryTableField id="4" name="High" tableColumnId="4"/>
      <queryTableField id="5" name="Low" tableColumnId="5"/>
      <queryTableField id="6" name="Close" tableColumnId="6"/>
      <queryTableField id="12" dataBound="0" tableColumnId="12"/>
      <queryTableField id="13" dataBound="0" tableColumnId="13"/>
      <queryTableField id="7" name="Prev Close" tableColumnId="7"/>
      <queryTableField id="8" name="Prev Date" tableColumnId="8"/>
      <queryTableField id="9" name="Daily Return" tableColumnId="9"/>
      <queryTableField id="10" name="Volume" tableColumnId="10"/>
      <queryTableField id="11" name="Ticker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648AB2F-3206-4D0D-BD72-5DA65E786035}" autoFormatId="16" applyNumberFormats="0" applyBorderFormats="0" applyFontFormats="0" applyPatternFormats="0" applyAlignmentFormats="0" applyWidthHeightFormats="0">
  <queryTableRefresh nextId="4">
    <queryTableFields count="3">
      <queryTableField id="1" name="Prev Date" tableColumnId="1"/>
      <queryTableField id="2" name="Name" tableColumnId="2"/>
      <queryTableField id="3" name="Prev Clos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08B01B-90E6-4E04-AC8A-51EEDC259AE5}" name="Crypto" displayName="Crypto" ref="A1:M2191" tableType="queryTable" totalsRowShown="0">
  <autoFilter ref="A1:M2191" xr:uid="{8D08B01B-90E6-4E04-AC8A-51EEDC259AE5}"/>
  <tableColumns count="13">
    <tableColumn id="1" xr3:uid="{D2C4DBF9-A164-4DD9-9345-E319A8722EC8}" uniqueName="1" name="Date" queryTableFieldId="1" dataDxfId="8"/>
    <tableColumn id="2" xr3:uid="{AA97E94D-2ABE-49D5-847D-54FEB2D5A1BB}" uniqueName="2" name="Name" queryTableFieldId="2" dataDxfId="7"/>
    <tableColumn id="3" xr3:uid="{4FE4917C-5164-4015-94FB-F77053878FBF}" uniqueName="3" name="Open" queryTableFieldId="3"/>
    <tableColumn id="4" xr3:uid="{8D02F1DD-2C54-466C-84A1-1B24F2F7333F}" uniqueName="4" name="High" queryTableFieldId="4"/>
    <tableColumn id="5" xr3:uid="{343AE105-25DA-4295-8A40-D41DBC07DF0B}" uniqueName="5" name="Low" queryTableFieldId="5"/>
    <tableColumn id="6" xr3:uid="{1BB55FC7-40F9-4A9C-BAE6-C174038BBE8D}" uniqueName="6" name="Close" queryTableFieldId="6"/>
    <tableColumn id="12" xr3:uid="{F13879A8-C5E9-4681-A039-5C6321BD8168}" uniqueName="12" name="Peak Close" queryTableFieldId="12" dataDxfId="1">
      <calculatedColumnFormula>_xlfn.MAXIFS(Crypto[Close],Crypto[Name],Crypto[[#This Row],[Name]],Crypto[Date],"&lt;="&amp;Crypto[[#This Row],[Date]])</calculatedColumnFormula>
    </tableColumn>
    <tableColumn id="13" xr3:uid="{9846F15F-7392-4A46-9AFC-2251FBAA6FE2}" uniqueName="13" name="Drawdown" queryTableFieldId="13" dataDxfId="0">
      <calculatedColumnFormula>(Crypto[[#This Row],[Close]]/Crypto[[#This Row],[Peak Close]])-1</calculatedColumnFormula>
    </tableColumn>
    <tableColumn id="7" xr3:uid="{51B69474-D593-4B0C-917B-01FDE9A03BFA}" uniqueName="7" name="Prev Close" queryTableFieldId="7"/>
    <tableColumn id="8" xr3:uid="{DC20D72C-5595-40E3-B0C4-65DE3525A3C5}" uniqueName="8" name="Prev Date" queryTableFieldId="8" dataDxfId="3"/>
    <tableColumn id="9" xr3:uid="{BE246DF0-41C8-49A1-BC6B-CD2CD5DB22D5}" uniqueName="9" name="Daily Return" queryTableFieldId="9" dataDxfId="2"/>
    <tableColumn id="10" xr3:uid="{2EE428EF-E565-4ABB-A913-DEDDD20CF9F8}" uniqueName="10" name="Volume" queryTableFieldId="10"/>
    <tableColumn id="11" xr3:uid="{3533B4AB-FF6F-41C9-AAD5-AE70041DC2B8}" uniqueName="11" name="Ticker" queryTableFieldId="11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D05E10-1311-4742-9EB9-9D195578947B}" name="Crypto_previous" displayName="Crypto_previous" ref="A1:C2191" tableType="queryTable" totalsRowShown="0">
  <autoFilter ref="A1:C2191" xr:uid="{06D05E10-1311-4742-9EB9-9D195578947B}"/>
  <tableColumns count="3">
    <tableColumn id="1" xr3:uid="{789054C5-8F79-4A6D-8912-76233BA92ACD}" uniqueName="1" name="Prev Date" queryTableFieldId="1" dataDxfId="5"/>
    <tableColumn id="2" xr3:uid="{CFCCEA82-FC0B-4D63-80EB-14AB5396A8C9}" uniqueName="2" name="Name" queryTableFieldId="2" dataDxfId="4"/>
    <tableColumn id="3" xr3:uid="{CCF21515-E3C9-4D01-9153-1243D4359F14}" uniqueName="3" name="Prev Clos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542C5B-1E6E-4F36-B753-BA78E231FF55}" name="Table1" displayName="Table1" ref="A1:H2191" totalsRowShown="0">
  <autoFilter ref="A1:H2191" xr:uid="{F3542C5B-1E6E-4F36-B753-BA78E231FF55}"/>
  <tableColumns count="8">
    <tableColumn id="1" xr3:uid="{DE25A1CB-4AEF-4822-AFEA-F10EC6FFC0D6}" name="Date"/>
    <tableColumn id="2" xr3:uid="{017FECE6-BBDE-491C-B52C-51769973C3B8}" name="Name"/>
    <tableColumn id="3" xr3:uid="{53568187-2F74-436A-A8FD-FAC6D2BE10E0}" name="Open"/>
    <tableColumn id="4" xr3:uid="{9CB0AC65-78BA-41D2-97AF-5EECAAB2A5BC}" name="High"/>
    <tableColumn id="5" xr3:uid="{51ECD558-38CA-4B9D-86BA-792F2CD88F1D}" name="Low"/>
    <tableColumn id="6" xr3:uid="{81F855F4-51FB-427D-9342-F02EB096071E}" name="Close"/>
    <tableColumn id="7" xr3:uid="{9F6ED442-B859-4EF5-B7CA-B3EDF2C406FB}" name="Volume"/>
    <tableColumn id="8" xr3:uid="{5AD994F4-A2AB-49A4-ADA4-0DBE3419DEDF}" name="Tick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7A27-471C-4A35-AF75-62083F329437}">
  <dimension ref="A1:M2191"/>
  <sheetViews>
    <sheetView workbookViewId="0">
      <selection activeCell="I8" sqref="I8"/>
    </sheetView>
  </sheetViews>
  <sheetFormatPr defaultRowHeight="14.4" x14ac:dyDescent="0.3"/>
  <cols>
    <col min="1" max="1" width="10.5546875" bestFit="1" customWidth="1"/>
    <col min="3" max="6" width="12" bestFit="1" customWidth="1"/>
    <col min="7" max="7" width="12" customWidth="1"/>
    <col min="8" max="8" width="12" style="3" customWidth="1"/>
    <col min="9" max="9" width="12" bestFit="1" customWidth="1"/>
    <col min="10" max="10" width="11.33203125" style="1" bestFit="1" customWidth="1"/>
    <col min="11" max="11" width="13.44140625" style="3" bestFit="1" customWidth="1"/>
    <col min="12" max="12" width="12" bestFit="1" customWidth="1"/>
    <col min="13" max="13" width="8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394</v>
      </c>
      <c r="H1" s="3" t="s">
        <v>395</v>
      </c>
      <c r="I1" t="s">
        <v>385</v>
      </c>
      <c r="J1" s="1" t="s">
        <v>386</v>
      </c>
      <c r="K1" s="3" t="s">
        <v>387</v>
      </c>
      <c r="L1" t="s">
        <v>6</v>
      </c>
      <c r="M1" t="s">
        <v>7</v>
      </c>
    </row>
    <row r="2" spans="1:13" x14ac:dyDescent="0.3">
      <c r="A2" s="1">
        <v>45658</v>
      </c>
      <c r="B2" s="2" t="s">
        <v>19</v>
      </c>
      <c r="C2">
        <v>700.98688000000004</v>
      </c>
      <c r="D2">
        <v>709.19897000000003</v>
      </c>
      <c r="E2">
        <v>699.75860999999998</v>
      </c>
      <c r="F2">
        <v>706.51293999999996</v>
      </c>
      <c r="G2">
        <f>_xlfn.MAXIFS(Crypto[Close],Crypto[Name],Crypto[[#This Row],[Name]],Crypto[Date],"&lt;="&amp;Crypto[[#This Row],[Date]])</f>
        <v>706.51293999999996</v>
      </c>
      <c r="H2" s="3">
        <f>(Crypto[[#This Row],[Close]]/Crypto[[#This Row],[Peak Close]])-1</f>
        <v>0</v>
      </c>
      <c r="J2" s="1">
        <v>45657</v>
      </c>
      <c r="L2">
        <v>1420234997</v>
      </c>
      <c r="M2" s="2" t="s">
        <v>20</v>
      </c>
    </row>
    <row r="3" spans="1:13" x14ac:dyDescent="0.3">
      <c r="A3" s="1">
        <v>45659</v>
      </c>
      <c r="B3" s="2" t="s">
        <v>19</v>
      </c>
      <c r="C3">
        <v>706.51244999999994</v>
      </c>
      <c r="D3">
        <v>714.43866000000003</v>
      </c>
      <c r="E3">
        <v>697.70470999999998</v>
      </c>
      <c r="F3">
        <v>705.67858999999999</v>
      </c>
      <c r="G3">
        <f>_xlfn.MAXIFS(Crypto[Close],Crypto[Name],Crypto[[#This Row],[Name]],Crypto[Date],"&lt;="&amp;Crypto[[#This Row],[Date]])</f>
        <v>706.51293999999996</v>
      </c>
      <c r="H3" s="3">
        <f>(Crypto[[#This Row],[Close]]/Crypto[[#This Row],[Peak Close]])-1</f>
        <v>-1.1809408614652517E-3</v>
      </c>
      <c r="I3">
        <v>706.51293999999996</v>
      </c>
      <c r="J3" s="1">
        <v>45658</v>
      </c>
      <c r="K3" s="3">
        <v>-1.1809408614652901E-3</v>
      </c>
      <c r="L3">
        <v>1880664942</v>
      </c>
      <c r="M3" s="2" t="s">
        <v>20</v>
      </c>
    </row>
    <row r="4" spans="1:13" x14ac:dyDescent="0.3">
      <c r="A4" s="1">
        <v>45660</v>
      </c>
      <c r="B4" s="2" t="s">
        <v>19</v>
      </c>
      <c r="C4">
        <v>705.67858999999999</v>
      </c>
      <c r="D4">
        <v>715.09685999999999</v>
      </c>
      <c r="E4">
        <v>697.54607999999996</v>
      </c>
      <c r="F4">
        <v>713.64355</v>
      </c>
      <c r="G4">
        <f>_xlfn.MAXIFS(Crypto[Close],Crypto[Name],Crypto[[#This Row],[Name]],Crypto[Date],"&lt;="&amp;Crypto[[#This Row],[Date]])</f>
        <v>713.64355</v>
      </c>
      <c r="H4" s="3">
        <f>(Crypto[[#This Row],[Close]]/Crypto[[#This Row],[Peak Close]])-1</f>
        <v>0</v>
      </c>
      <c r="I4">
        <v>705.67858999999999</v>
      </c>
      <c r="J4" s="1">
        <v>45659</v>
      </c>
      <c r="K4" s="3">
        <v>1.1286951471774199E-2</v>
      </c>
      <c r="L4">
        <v>1822243906</v>
      </c>
      <c r="M4" s="2" t="s">
        <v>20</v>
      </c>
    </row>
    <row r="5" spans="1:13" x14ac:dyDescent="0.3">
      <c r="A5" s="1">
        <v>45661</v>
      </c>
      <c r="B5" s="2" t="s">
        <v>19</v>
      </c>
      <c r="C5">
        <v>713.64355</v>
      </c>
      <c r="D5">
        <v>721.15625</v>
      </c>
      <c r="E5">
        <v>708.85131999999999</v>
      </c>
      <c r="F5">
        <v>713.84118999999998</v>
      </c>
      <c r="G5">
        <f>_xlfn.MAXIFS(Crypto[Close],Crypto[Name],Crypto[[#This Row],[Name]],Crypto[Date],"&lt;="&amp;Crypto[[#This Row],[Date]])</f>
        <v>713.84118999999998</v>
      </c>
      <c r="H5" s="3">
        <f>(Crypto[[#This Row],[Close]]/Crypto[[#This Row],[Peak Close]])-1</f>
        <v>0</v>
      </c>
      <c r="I5">
        <v>713.64355</v>
      </c>
      <c r="J5" s="1">
        <v>45660</v>
      </c>
      <c r="K5" s="3">
        <v>2.7694498184700002E-4</v>
      </c>
      <c r="L5">
        <v>1524500208</v>
      </c>
      <c r="M5" s="2" t="s">
        <v>20</v>
      </c>
    </row>
    <row r="6" spans="1:13" x14ac:dyDescent="0.3">
      <c r="A6" s="1">
        <v>45662</v>
      </c>
      <c r="B6" s="2" t="s">
        <v>19</v>
      </c>
      <c r="C6">
        <v>713.84118999999998</v>
      </c>
      <c r="D6">
        <v>713.84118999999998</v>
      </c>
      <c r="E6">
        <v>703.00225999999998</v>
      </c>
      <c r="F6">
        <v>709.25829999999996</v>
      </c>
      <c r="G6">
        <f>_xlfn.MAXIFS(Crypto[Close],Crypto[Name],Crypto[[#This Row],[Name]],Crypto[Date],"&lt;="&amp;Crypto[[#This Row],[Date]])</f>
        <v>713.84118999999998</v>
      </c>
      <c r="H6" s="3">
        <f>(Crypto[[#This Row],[Close]]/Crypto[[#This Row],[Peak Close]])-1</f>
        <v>-6.4200414100509251E-3</v>
      </c>
      <c r="I6">
        <v>713.84118999999998</v>
      </c>
      <c r="J6" s="1">
        <v>45661</v>
      </c>
      <c r="K6" s="3">
        <v>-6.4200414100509104E-3</v>
      </c>
      <c r="L6">
        <v>1411808759</v>
      </c>
      <c r="M6" s="2" t="s">
        <v>20</v>
      </c>
    </row>
    <row r="7" spans="1:13" x14ac:dyDescent="0.3">
      <c r="A7" s="1">
        <v>45663</v>
      </c>
      <c r="B7" s="2" t="s">
        <v>19</v>
      </c>
      <c r="C7">
        <v>709.25829999999996</v>
      </c>
      <c r="D7">
        <v>745.15355999999997</v>
      </c>
      <c r="E7">
        <v>706.18658000000005</v>
      </c>
      <c r="F7">
        <v>729.40008999999998</v>
      </c>
      <c r="G7">
        <f>_xlfn.MAXIFS(Crypto[Close],Crypto[Name],Crypto[[#This Row],[Name]],Crypto[Date],"&lt;="&amp;Crypto[[#This Row],[Date]])</f>
        <v>729.40008999999998</v>
      </c>
      <c r="H7" s="3">
        <f>(Crypto[[#This Row],[Close]]/Crypto[[#This Row],[Peak Close]])-1</f>
        <v>0</v>
      </c>
      <c r="I7">
        <v>709.25829999999996</v>
      </c>
      <c r="J7" s="1">
        <v>45662</v>
      </c>
      <c r="K7" s="3">
        <v>2.8398384622358299E-2</v>
      </c>
      <c r="L7">
        <v>2056633884</v>
      </c>
      <c r="M7" s="2" t="s">
        <v>20</v>
      </c>
    </row>
    <row r="8" spans="1:13" x14ac:dyDescent="0.3">
      <c r="A8" s="1">
        <v>45664</v>
      </c>
      <c r="B8" s="2" t="s">
        <v>19</v>
      </c>
      <c r="C8">
        <v>729.39324999999997</v>
      </c>
      <c r="D8">
        <v>733.09142999999995</v>
      </c>
      <c r="E8">
        <v>691.55193999999995</v>
      </c>
      <c r="F8">
        <v>697.36890000000005</v>
      </c>
      <c r="G8">
        <f>_xlfn.MAXIFS(Crypto[Close],Crypto[Name],Crypto[[#This Row],[Name]],Crypto[Date],"&lt;="&amp;Crypto[[#This Row],[Date]])</f>
        <v>729.40008999999998</v>
      </c>
      <c r="H8" s="3">
        <f>(Crypto[[#This Row],[Close]]/Crypto[[#This Row],[Peak Close]])-1</f>
        <v>-4.391443110460802E-2</v>
      </c>
      <c r="I8">
        <v>729.40008999999998</v>
      </c>
      <c r="J8" s="1">
        <v>45663</v>
      </c>
      <c r="K8" s="3">
        <v>-4.3914431104608097E-2</v>
      </c>
      <c r="L8">
        <v>2200352831</v>
      </c>
      <c r="M8" s="2" t="s">
        <v>20</v>
      </c>
    </row>
    <row r="9" spans="1:13" x14ac:dyDescent="0.3">
      <c r="A9" s="1">
        <v>45665</v>
      </c>
      <c r="B9" s="2" t="s">
        <v>19</v>
      </c>
      <c r="C9">
        <v>697.36890000000005</v>
      </c>
      <c r="D9">
        <v>706.76111000000003</v>
      </c>
      <c r="E9">
        <v>677.12261999999998</v>
      </c>
      <c r="F9">
        <v>695.83716000000004</v>
      </c>
      <c r="G9">
        <f>_xlfn.MAXIFS(Crypto[Close],Crypto[Name],Crypto[[#This Row],[Name]],Crypto[Date],"&lt;="&amp;Crypto[[#This Row],[Date]])</f>
        <v>729.40008999999998</v>
      </c>
      <c r="H9" s="3">
        <f>(Crypto[[#This Row],[Close]]/Crypto[[#This Row],[Peak Close]])-1</f>
        <v>-4.6014430845491061E-2</v>
      </c>
      <c r="I9">
        <v>697.36890000000005</v>
      </c>
      <c r="J9" s="1">
        <v>45664</v>
      </c>
      <c r="K9" s="3">
        <v>-2.1964558499812802E-3</v>
      </c>
      <c r="L9">
        <v>2189465209</v>
      </c>
      <c r="M9" s="2" t="s">
        <v>20</v>
      </c>
    </row>
    <row r="10" spans="1:13" x14ac:dyDescent="0.3">
      <c r="A10" s="1">
        <v>45666</v>
      </c>
      <c r="B10" s="2" t="s">
        <v>19</v>
      </c>
      <c r="C10">
        <v>695.83716000000004</v>
      </c>
      <c r="D10">
        <v>700.97302000000002</v>
      </c>
      <c r="E10">
        <v>675.73424999999997</v>
      </c>
      <c r="F10">
        <v>685.12072999999998</v>
      </c>
      <c r="G10">
        <f>_xlfn.MAXIFS(Crypto[Close],Crypto[Name],Crypto[[#This Row],[Name]],Crypto[Date],"&lt;="&amp;Crypto[[#This Row],[Date]])</f>
        <v>729.40008999999998</v>
      </c>
      <c r="H10" s="3">
        <f>(Crypto[[#This Row],[Close]]/Crypto[[#This Row],[Peak Close]])-1</f>
        <v>-6.070654584098012E-2</v>
      </c>
      <c r="I10">
        <v>695.83716000000004</v>
      </c>
      <c r="J10" s="1">
        <v>45665</v>
      </c>
      <c r="K10" s="3">
        <v>-1.54007727900017E-2</v>
      </c>
      <c r="L10">
        <v>1931492677</v>
      </c>
      <c r="M10" s="2" t="s">
        <v>20</v>
      </c>
    </row>
    <row r="11" spans="1:13" x14ac:dyDescent="0.3">
      <c r="A11" s="1">
        <v>45667</v>
      </c>
      <c r="B11" s="2" t="s">
        <v>19</v>
      </c>
      <c r="C11">
        <v>685.12036000000001</v>
      </c>
      <c r="D11">
        <v>700.47064</v>
      </c>
      <c r="E11">
        <v>683.68658000000005</v>
      </c>
      <c r="F11">
        <v>693.62445000000002</v>
      </c>
      <c r="G11">
        <f>_xlfn.MAXIFS(Crypto[Close],Crypto[Name],Crypto[[#This Row],[Name]],Crypto[Date],"&lt;="&amp;Crypto[[#This Row],[Date]])</f>
        <v>729.40008999999998</v>
      </c>
      <c r="H11" s="3">
        <f>(Crypto[[#This Row],[Close]]/Crypto[[#This Row],[Peak Close]])-1</f>
        <v>-4.9048033432515736E-2</v>
      </c>
      <c r="I11">
        <v>685.12072999999998</v>
      </c>
      <c r="J11" s="1">
        <v>45666</v>
      </c>
      <c r="K11" s="3">
        <v>1.2412002188285901E-2</v>
      </c>
      <c r="L11">
        <v>1680784122</v>
      </c>
      <c r="M11" s="2" t="s">
        <v>20</v>
      </c>
    </row>
    <row r="12" spans="1:13" x14ac:dyDescent="0.3">
      <c r="A12" s="1">
        <v>45668</v>
      </c>
      <c r="B12" s="2" t="s">
        <v>19</v>
      </c>
      <c r="C12">
        <v>693.62445000000002</v>
      </c>
      <c r="D12">
        <v>700.76653999999996</v>
      </c>
      <c r="E12">
        <v>690.45734000000004</v>
      </c>
      <c r="F12">
        <v>696.65783999999996</v>
      </c>
      <c r="G12">
        <f>_xlfn.MAXIFS(Crypto[Close],Crypto[Name],Crypto[[#This Row],[Name]],Crypto[Date],"&lt;="&amp;Crypto[[#This Row],[Date]])</f>
        <v>729.40008999999998</v>
      </c>
      <c r="H12" s="3">
        <f>(Crypto[[#This Row],[Close]]/Crypto[[#This Row],[Peak Close]])-1</f>
        <v>-4.488928703038686E-2</v>
      </c>
      <c r="I12">
        <v>693.62445000000002</v>
      </c>
      <c r="J12" s="1">
        <v>45667</v>
      </c>
      <c r="K12" s="3">
        <v>4.3732454932924299E-3</v>
      </c>
      <c r="L12">
        <v>1290072226</v>
      </c>
      <c r="M12" s="2" t="s">
        <v>20</v>
      </c>
    </row>
    <row r="13" spans="1:13" x14ac:dyDescent="0.3">
      <c r="A13" s="1">
        <v>45669</v>
      </c>
      <c r="B13" s="2" t="s">
        <v>19</v>
      </c>
      <c r="C13">
        <v>696.65783999999996</v>
      </c>
      <c r="D13">
        <v>697.99860000000001</v>
      </c>
      <c r="E13">
        <v>689.88909999999998</v>
      </c>
      <c r="F13">
        <v>693.04827999999998</v>
      </c>
      <c r="G13">
        <f>_xlfn.MAXIFS(Crypto[Close],Crypto[Name],Crypto[[#This Row],[Name]],Crypto[Date],"&lt;="&amp;Crypto[[#This Row],[Date]])</f>
        <v>729.40008999999998</v>
      </c>
      <c r="H13" s="3">
        <f>(Crypto[[#This Row],[Close]]/Crypto[[#This Row],[Peak Close]])-1</f>
        <v>-4.9837956559615981E-2</v>
      </c>
      <c r="I13">
        <v>696.65783999999996</v>
      </c>
      <c r="J13" s="1">
        <v>45668</v>
      </c>
      <c r="K13" s="3">
        <v>-5.1812522485930601E-3</v>
      </c>
      <c r="L13">
        <v>1291862069</v>
      </c>
      <c r="M13" s="2" t="s">
        <v>20</v>
      </c>
    </row>
    <row r="14" spans="1:13" x14ac:dyDescent="0.3">
      <c r="A14" s="1">
        <v>45670</v>
      </c>
      <c r="B14" s="2" t="s">
        <v>19</v>
      </c>
      <c r="C14">
        <v>693.04809999999998</v>
      </c>
      <c r="D14">
        <v>699.48137999999994</v>
      </c>
      <c r="E14">
        <v>659.75940000000003</v>
      </c>
      <c r="F14">
        <v>688.26751999999999</v>
      </c>
      <c r="G14">
        <f>_xlfn.MAXIFS(Crypto[Close],Crypto[Name],Crypto[[#This Row],[Name]],Crypto[Date],"&lt;="&amp;Crypto[[#This Row],[Date]])</f>
        <v>729.40008999999998</v>
      </c>
      <c r="H14" s="3">
        <f>(Crypto[[#This Row],[Close]]/Crypto[[#This Row],[Peak Close]])-1</f>
        <v>-5.6392329208514336E-2</v>
      </c>
      <c r="I14">
        <v>693.04827999999998</v>
      </c>
      <c r="J14" s="1">
        <v>45669</v>
      </c>
      <c r="K14" s="3">
        <v>-6.8981629966673999E-3</v>
      </c>
      <c r="L14">
        <v>2127442444</v>
      </c>
      <c r="M14" s="2" t="s">
        <v>20</v>
      </c>
    </row>
    <row r="15" spans="1:13" x14ac:dyDescent="0.3">
      <c r="A15" s="1">
        <v>45671</v>
      </c>
      <c r="B15" s="2" t="s">
        <v>19</v>
      </c>
      <c r="C15">
        <v>688.26751999999999</v>
      </c>
      <c r="D15">
        <v>699.80791999999997</v>
      </c>
      <c r="E15">
        <v>686.43273999999997</v>
      </c>
      <c r="F15">
        <v>698.61968999999999</v>
      </c>
      <c r="G15">
        <f>_xlfn.MAXIFS(Crypto[Close],Crypto[Name],Crypto[[#This Row],[Name]],Crypto[Date],"&lt;="&amp;Crypto[[#This Row],[Date]])</f>
        <v>729.40008999999998</v>
      </c>
      <c r="H15" s="3">
        <f>(Crypto[[#This Row],[Close]]/Crypto[[#This Row],[Peak Close]])-1</f>
        <v>-4.2199610915869212E-2</v>
      </c>
      <c r="I15">
        <v>688.26751999999999</v>
      </c>
      <c r="J15" s="1">
        <v>45670</v>
      </c>
      <c r="K15" s="3">
        <v>1.50409102553612E-2</v>
      </c>
      <c r="L15">
        <v>1566844744</v>
      </c>
      <c r="M15" s="2" t="s">
        <v>20</v>
      </c>
    </row>
    <row r="16" spans="1:13" x14ac:dyDescent="0.3">
      <c r="A16" s="1">
        <v>45672</v>
      </c>
      <c r="B16" s="2" t="s">
        <v>19</v>
      </c>
      <c r="C16">
        <v>698.61968999999999</v>
      </c>
      <c r="D16">
        <v>714.66101000000003</v>
      </c>
      <c r="E16">
        <v>688.75653</v>
      </c>
      <c r="F16">
        <v>714.02844000000005</v>
      </c>
      <c r="G16">
        <f>_xlfn.MAXIFS(Crypto[Close],Crypto[Name],Crypto[[#This Row],[Name]],Crypto[Date],"&lt;="&amp;Crypto[[#This Row],[Date]])</f>
        <v>729.40008999999998</v>
      </c>
      <c r="H16" s="3">
        <f>(Crypto[[#This Row],[Close]]/Crypto[[#This Row],[Peak Close]])-1</f>
        <v>-2.1074373599268337E-2</v>
      </c>
      <c r="I16">
        <v>698.61968999999999</v>
      </c>
      <c r="J16" s="1">
        <v>45671</v>
      </c>
      <c r="K16" s="3">
        <v>2.20559915796248E-2</v>
      </c>
      <c r="L16">
        <v>1856118408</v>
      </c>
      <c r="M16" s="2" t="s">
        <v>20</v>
      </c>
    </row>
    <row r="17" spans="1:13" x14ac:dyDescent="0.3">
      <c r="A17" s="1">
        <v>45673</v>
      </c>
      <c r="B17" s="2" t="s">
        <v>19</v>
      </c>
      <c r="C17">
        <v>714.07165999999995</v>
      </c>
      <c r="D17">
        <v>717.03332999999998</v>
      </c>
      <c r="E17">
        <v>701.20294000000001</v>
      </c>
      <c r="F17">
        <v>708.29803000000004</v>
      </c>
      <c r="G17">
        <f>_xlfn.MAXIFS(Crypto[Close],Crypto[Name],Crypto[[#This Row],[Name]],Crypto[Date],"&lt;="&amp;Crypto[[#This Row],[Date]])</f>
        <v>729.40008999999998</v>
      </c>
      <c r="H17" s="3">
        <f>(Crypto[[#This Row],[Close]]/Crypto[[#This Row],[Peak Close]])-1</f>
        <v>-2.8930706603011114E-2</v>
      </c>
      <c r="I17">
        <v>714.02844000000005</v>
      </c>
      <c r="J17" s="1">
        <v>45672</v>
      </c>
      <c r="K17" s="3">
        <v>-8.0254646439573297E-3</v>
      </c>
      <c r="L17">
        <v>1899114340</v>
      </c>
      <c r="M17" s="2" t="s">
        <v>20</v>
      </c>
    </row>
    <row r="18" spans="1:13" x14ac:dyDescent="0.3">
      <c r="A18" s="1">
        <v>45674</v>
      </c>
      <c r="B18" s="2" t="s">
        <v>19</v>
      </c>
      <c r="C18">
        <v>708.29803000000004</v>
      </c>
      <c r="D18">
        <v>729.85352</v>
      </c>
      <c r="E18">
        <v>708.18622000000005</v>
      </c>
      <c r="F18">
        <v>721.75049000000001</v>
      </c>
      <c r="G18">
        <f>_xlfn.MAXIFS(Crypto[Close],Crypto[Name],Crypto[[#This Row],[Name]],Crypto[Date],"&lt;="&amp;Crypto[[#This Row],[Date]])</f>
        <v>729.40008999999998</v>
      </c>
      <c r="H18" s="3">
        <f>(Crypto[[#This Row],[Close]]/Crypto[[#This Row],[Peak Close]])-1</f>
        <v>-1.0487522698276575E-2</v>
      </c>
      <c r="I18">
        <v>708.29803000000004</v>
      </c>
      <c r="J18" s="1">
        <v>45673</v>
      </c>
      <c r="K18" s="3">
        <v>1.8992654829210798E-2</v>
      </c>
      <c r="L18">
        <v>1946000436</v>
      </c>
      <c r="M18" s="2" t="s">
        <v>20</v>
      </c>
    </row>
    <row r="19" spans="1:13" x14ac:dyDescent="0.3">
      <c r="A19" s="1">
        <v>45675</v>
      </c>
      <c r="B19" s="2" t="s">
        <v>19</v>
      </c>
      <c r="C19">
        <v>721.75049000000001</v>
      </c>
      <c r="D19">
        <v>723.09320000000002</v>
      </c>
      <c r="E19">
        <v>695.21642999999995</v>
      </c>
      <c r="F19">
        <v>709.42498999999998</v>
      </c>
      <c r="G19">
        <f>_xlfn.MAXIFS(Crypto[Close],Crypto[Name],Crypto[[#This Row],[Name]],Crypto[Date],"&lt;="&amp;Crypto[[#This Row],[Date]])</f>
        <v>729.40008999999998</v>
      </c>
      <c r="H19" s="3">
        <f>(Crypto[[#This Row],[Close]]/Crypto[[#This Row],[Peak Close]])-1</f>
        <v>-2.7385656067029029E-2</v>
      </c>
      <c r="I19">
        <v>721.75049000000001</v>
      </c>
      <c r="J19" s="1">
        <v>45674</v>
      </c>
      <c r="K19" s="3">
        <v>-1.7077231218783101E-2</v>
      </c>
      <c r="L19">
        <v>2200623289</v>
      </c>
      <c r="M19" s="2" t="s">
        <v>20</v>
      </c>
    </row>
    <row r="20" spans="1:13" x14ac:dyDescent="0.3">
      <c r="A20" s="1">
        <v>45676</v>
      </c>
      <c r="B20" s="2" t="s">
        <v>19</v>
      </c>
      <c r="C20">
        <v>709.4248</v>
      </c>
      <c r="D20">
        <v>713.46893</v>
      </c>
      <c r="E20">
        <v>676.84729000000004</v>
      </c>
      <c r="F20">
        <v>682.20398</v>
      </c>
      <c r="G20">
        <f>_xlfn.MAXIFS(Crypto[Close],Crypto[Name],Crypto[[#This Row],[Name]],Crypto[Date],"&lt;="&amp;Crypto[[#This Row],[Date]])</f>
        <v>729.40008999999998</v>
      </c>
      <c r="H20" s="3">
        <f>(Crypto[[#This Row],[Close]]/Crypto[[#This Row],[Peak Close]])-1</f>
        <v>-6.4705380006191082E-2</v>
      </c>
      <c r="I20">
        <v>709.42498999999998</v>
      </c>
      <c r="J20" s="1">
        <v>45675</v>
      </c>
      <c r="K20" s="3">
        <v>-3.8370525966388597E-2</v>
      </c>
      <c r="L20">
        <v>2841079952</v>
      </c>
      <c r="M20" s="2" t="s">
        <v>20</v>
      </c>
    </row>
    <row r="21" spans="1:13" x14ac:dyDescent="0.3">
      <c r="A21" s="1">
        <v>45677</v>
      </c>
      <c r="B21" s="2" t="s">
        <v>19</v>
      </c>
      <c r="C21">
        <v>682.20489999999995</v>
      </c>
      <c r="D21">
        <v>707.57636000000002</v>
      </c>
      <c r="E21">
        <v>672.18939</v>
      </c>
      <c r="F21">
        <v>681.80334000000005</v>
      </c>
      <c r="G21">
        <f>_xlfn.MAXIFS(Crypto[Close],Crypto[Name],Crypto[[#This Row],[Name]],Crypto[Date],"&lt;="&amp;Crypto[[#This Row],[Date]])</f>
        <v>729.40008999999998</v>
      </c>
      <c r="H21" s="3">
        <f>(Crypto[[#This Row],[Close]]/Crypto[[#This Row],[Peak Close]])-1</f>
        <v>-6.5254653313793765E-2</v>
      </c>
      <c r="I21">
        <v>682.20398</v>
      </c>
      <c r="J21" s="1">
        <v>45676</v>
      </c>
      <c r="K21" s="3">
        <v>-5.8727303232671403E-4</v>
      </c>
      <c r="L21">
        <v>2865652878</v>
      </c>
      <c r="M21" s="2" t="s">
        <v>20</v>
      </c>
    </row>
    <row r="22" spans="1:13" x14ac:dyDescent="0.3">
      <c r="A22" s="1">
        <v>45678</v>
      </c>
      <c r="B22" s="2" t="s">
        <v>19</v>
      </c>
      <c r="C22">
        <v>681.80334000000005</v>
      </c>
      <c r="D22">
        <v>696.91754000000003</v>
      </c>
      <c r="E22">
        <v>675.44568000000004</v>
      </c>
      <c r="F22">
        <v>691.81659000000002</v>
      </c>
      <c r="G22">
        <f>_xlfn.MAXIFS(Crypto[Close],Crypto[Name],Crypto[[#This Row],[Name]],Crypto[Date],"&lt;="&amp;Crypto[[#This Row],[Date]])</f>
        <v>729.40008999999998</v>
      </c>
      <c r="H22" s="3">
        <f>(Crypto[[#This Row],[Close]]/Crypto[[#This Row],[Peak Close]])-1</f>
        <v>-5.1526590845361597E-2</v>
      </c>
      <c r="I22">
        <v>681.80334000000005</v>
      </c>
      <c r="J22" s="1">
        <v>45677</v>
      </c>
      <c r="K22" s="3">
        <v>1.4686419693983901E-2</v>
      </c>
      <c r="L22">
        <v>2008007873</v>
      </c>
      <c r="M22" s="2" t="s">
        <v>20</v>
      </c>
    </row>
    <row r="23" spans="1:13" x14ac:dyDescent="0.3">
      <c r="A23" s="1">
        <v>45679</v>
      </c>
      <c r="B23" s="2" t="s">
        <v>19</v>
      </c>
      <c r="C23">
        <v>691.81659000000002</v>
      </c>
      <c r="D23">
        <v>703.27026000000001</v>
      </c>
      <c r="E23">
        <v>690.27454</v>
      </c>
      <c r="F23">
        <v>694.98321999999996</v>
      </c>
      <c r="G23">
        <f>_xlfn.MAXIFS(Crypto[Close],Crypto[Name],Crypto[[#This Row],[Name]],Crypto[Date],"&lt;="&amp;Crypto[[#This Row],[Date]])</f>
        <v>729.40008999999998</v>
      </c>
      <c r="H23" s="3">
        <f>(Crypto[[#This Row],[Close]]/Crypto[[#This Row],[Peak Close]])-1</f>
        <v>-4.7185173777535505E-2</v>
      </c>
      <c r="I23">
        <v>691.81659000000002</v>
      </c>
      <c r="J23" s="1">
        <v>45678</v>
      </c>
      <c r="K23" s="3">
        <v>4.5772680877744498E-3</v>
      </c>
      <c r="L23">
        <v>1762077789</v>
      </c>
      <c r="M23" s="2" t="s">
        <v>20</v>
      </c>
    </row>
    <row r="24" spans="1:13" x14ac:dyDescent="0.3">
      <c r="A24" s="1">
        <v>45680</v>
      </c>
      <c r="B24" s="2" t="s">
        <v>19</v>
      </c>
      <c r="C24">
        <v>694.96483999999998</v>
      </c>
      <c r="D24">
        <v>697.00145999999995</v>
      </c>
      <c r="E24">
        <v>681.05768</v>
      </c>
      <c r="F24">
        <v>690.20374000000004</v>
      </c>
      <c r="G24">
        <f>_xlfn.MAXIFS(Crypto[Close],Crypto[Name],Crypto[[#This Row],[Name]],Crypto[Date],"&lt;="&amp;Crypto[[#This Row],[Date]])</f>
        <v>729.40008999999998</v>
      </c>
      <c r="H24" s="3">
        <f>(Crypto[[#This Row],[Close]]/Crypto[[#This Row],[Peak Close]])-1</f>
        <v>-5.3737791559636316E-2</v>
      </c>
      <c r="I24">
        <v>694.98321999999996</v>
      </c>
      <c r="J24" s="1">
        <v>45679</v>
      </c>
      <c r="K24" s="3">
        <v>-6.8771156805770397E-3</v>
      </c>
      <c r="L24">
        <v>2277458782</v>
      </c>
      <c r="M24" s="2" t="s">
        <v>20</v>
      </c>
    </row>
    <row r="25" spans="1:13" x14ac:dyDescent="0.3">
      <c r="A25" s="1">
        <v>45681</v>
      </c>
      <c r="B25" s="2" t="s">
        <v>19</v>
      </c>
      <c r="C25">
        <v>690.20374000000004</v>
      </c>
      <c r="D25">
        <v>690.83801000000005</v>
      </c>
      <c r="E25">
        <v>679.08672999999999</v>
      </c>
      <c r="F25">
        <v>680.21320000000003</v>
      </c>
      <c r="G25">
        <f>_xlfn.MAXIFS(Crypto[Close],Crypto[Name],Crypto[[#This Row],[Name]],Crypto[Date],"&lt;="&amp;Crypto[[#This Row],[Date]])</f>
        <v>729.40008999999998</v>
      </c>
      <c r="H25" s="3">
        <f>(Crypto[[#This Row],[Close]]/Crypto[[#This Row],[Peak Close]])-1</f>
        <v>-6.7434718852310449E-2</v>
      </c>
      <c r="I25">
        <v>690.20374000000004</v>
      </c>
      <c r="J25" s="1">
        <v>45680</v>
      </c>
      <c r="K25" s="3">
        <v>-1.44747694354713E-2</v>
      </c>
      <c r="L25">
        <v>1730218663</v>
      </c>
      <c r="M25" s="2" t="s">
        <v>20</v>
      </c>
    </row>
    <row r="26" spans="1:13" x14ac:dyDescent="0.3">
      <c r="A26" s="1">
        <v>45682</v>
      </c>
      <c r="B26" s="2" t="s">
        <v>19</v>
      </c>
      <c r="C26">
        <v>680.21416999999997</v>
      </c>
      <c r="D26">
        <v>689.45971999999995</v>
      </c>
      <c r="E26">
        <v>678.11162999999999</v>
      </c>
      <c r="F26">
        <v>686.26849000000004</v>
      </c>
      <c r="G26">
        <f>_xlfn.MAXIFS(Crypto[Close],Crypto[Name],Crypto[[#This Row],[Name]],Crypto[Date],"&lt;="&amp;Crypto[[#This Row],[Date]])</f>
        <v>729.40008999999998</v>
      </c>
      <c r="H26" s="3">
        <f>(Crypto[[#This Row],[Close]]/Crypto[[#This Row],[Peak Close]])-1</f>
        <v>-5.9132978719539153E-2</v>
      </c>
      <c r="I26">
        <v>680.21320000000003</v>
      </c>
      <c r="J26" s="1">
        <v>45681</v>
      </c>
      <c r="K26" s="3">
        <v>8.9020471816777594E-3</v>
      </c>
      <c r="L26">
        <v>1457363671</v>
      </c>
      <c r="M26" s="2" t="s">
        <v>20</v>
      </c>
    </row>
    <row r="27" spans="1:13" x14ac:dyDescent="0.3">
      <c r="A27" s="1">
        <v>45683</v>
      </c>
      <c r="B27" s="2" t="s">
        <v>19</v>
      </c>
      <c r="C27">
        <v>686.26917000000003</v>
      </c>
      <c r="D27">
        <v>690.31500000000005</v>
      </c>
      <c r="E27">
        <v>665.04102</v>
      </c>
      <c r="F27">
        <v>666.76378999999997</v>
      </c>
      <c r="G27">
        <f>_xlfn.MAXIFS(Crypto[Close],Crypto[Name],Crypto[[#This Row],[Name]],Crypto[Date],"&lt;="&amp;Crypto[[#This Row],[Date]])</f>
        <v>729.40008999999998</v>
      </c>
      <c r="H27" s="3">
        <f>(Crypto[[#This Row],[Close]]/Crypto[[#This Row],[Peak Close]])-1</f>
        <v>-8.5873721238504341E-2</v>
      </c>
      <c r="I27">
        <v>686.26849000000004</v>
      </c>
      <c r="J27" s="1">
        <v>45682</v>
      </c>
      <c r="K27" s="3">
        <v>-2.8421383589970799E-2</v>
      </c>
      <c r="L27">
        <v>1529267261</v>
      </c>
      <c r="M27" s="2" t="s">
        <v>20</v>
      </c>
    </row>
    <row r="28" spans="1:13" x14ac:dyDescent="0.3">
      <c r="A28" s="1">
        <v>45684</v>
      </c>
      <c r="B28" s="2" t="s">
        <v>19</v>
      </c>
      <c r="C28">
        <v>666.76378999999997</v>
      </c>
      <c r="D28">
        <v>679.91332999999997</v>
      </c>
      <c r="E28">
        <v>639.95599000000004</v>
      </c>
      <c r="F28">
        <v>679.79333999999994</v>
      </c>
      <c r="G28">
        <f>_xlfn.MAXIFS(Crypto[Close],Crypto[Name],Crypto[[#This Row],[Name]],Crypto[Date],"&lt;="&amp;Crypto[[#This Row],[Date]])</f>
        <v>729.40008999999998</v>
      </c>
      <c r="H28" s="3">
        <f>(Crypto[[#This Row],[Close]]/Crypto[[#This Row],[Peak Close]])-1</f>
        <v>-6.8010342581668826E-2</v>
      </c>
      <c r="I28">
        <v>666.76378999999997</v>
      </c>
      <c r="J28" s="1">
        <v>45683</v>
      </c>
      <c r="K28" s="3">
        <v>1.9541478099763001E-2</v>
      </c>
      <c r="L28">
        <v>2295184879</v>
      </c>
      <c r="M28" s="2" t="s">
        <v>20</v>
      </c>
    </row>
    <row r="29" spans="1:13" x14ac:dyDescent="0.3">
      <c r="A29" s="1">
        <v>45685</v>
      </c>
      <c r="B29" s="2" t="s">
        <v>19</v>
      </c>
      <c r="C29">
        <v>679.79333999999994</v>
      </c>
      <c r="D29">
        <v>682.85668999999996</v>
      </c>
      <c r="E29">
        <v>659.58214999999996</v>
      </c>
      <c r="F29">
        <v>661.42456000000004</v>
      </c>
      <c r="G29">
        <f>_xlfn.MAXIFS(Crypto[Close],Crypto[Name],Crypto[[#This Row],[Name]],Crypto[Date],"&lt;="&amp;Crypto[[#This Row],[Date]])</f>
        <v>729.40008999999998</v>
      </c>
      <c r="H29" s="3">
        <f>(Crypto[[#This Row],[Close]]/Crypto[[#This Row],[Peak Close]])-1</f>
        <v>-9.319375049706935E-2</v>
      </c>
      <c r="I29">
        <v>679.79333999999994</v>
      </c>
      <c r="J29" s="1">
        <v>45684</v>
      </c>
      <c r="K29" s="3">
        <v>-2.7021123802124802E-2</v>
      </c>
      <c r="L29">
        <v>1659082131</v>
      </c>
      <c r="M29" s="2" t="s">
        <v>20</v>
      </c>
    </row>
    <row r="30" spans="1:13" x14ac:dyDescent="0.3">
      <c r="A30" s="1">
        <v>45686</v>
      </c>
      <c r="B30" s="2" t="s">
        <v>19</v>
      </c>
      <c r="C30">
        <v>661.42602999999997</v>
      </c>
      <c r="D30">
        <v>678.99207000000001</v>
      </c>
      <c r="E30">
        <v>660.23199</v>
      </c>
      <c r="F30">
        <v>667.68573000000004</v>
      </c>
      <c r="G30">
        <f>_xlfn.MAXIFS(Crypto[Close],Crypto[Name],Crypto[[#This Row],[Name]],Crypto[Date],"&lt;="&amp;Crypto[[#This Row],[Date]])</f>
        <v>729.40008999999998</v>
      </c>
      <c r="H30" s="3">
        <f>(Crypto[[#This Row],[Close]]/Crypto[[#This Row],[Peak Close]])-1</f>
        <v>-8.4609751007845291E-2</v>
      </c>
      <c r="I30">
        <v>661.42456000000004</v>
      </c>
      <c r="J30" s="1">
        <v>45685</v>
      </c>
      <c r="K30" s="3">
        <v>9.4661891599549797E-3</v>
      </c>
      <c r="L30">
        <v>1716776649</v>
      </c>
      <c r="M30" s="2" t="s">
        <v>20</v>
      </c>
    </row>
    <row r="31" spans="1:13" x14ac:dyDescent="0.3">
      <c r="A31" s="1">
        <v>45687</v>
      </c>
      <c r="B31" s="2" t="s">
        <v>19</v>
      </c>
      <c r="C31">
        <v>667.72986000000003</v>
      </c>
      <c r="D31">
        <v>682.32470999999998</v>
      </c>
      <c r="E31">
        <v>666.64917000000003</v>
      </c>
      <c r="F31">
        <v>677.55358999999999</v>
      </c>
      <c r="G31">
        <f>_xlfn.MAXIFS(Crypto[Close],Crypto[Name],Crypto[[#This Row],[Name]],Crypto[Date],"&lt;="&amp;Crypto[[#This Row],[Date]])</f>
        <v>729.40008999999998</v>
      </c>
      <c r="H31" s="3">
        <f>(Crypto[[#This Row],[Close]]/Crypto[[#This Row],[Peak Close]])-1</f>
        <v>-7.1081016729789503E-2</v>
      </c>
      <c r="I31">
        <v>667.68573000000004</v>
      </c>
      <c r="J31" s="1">
        <v>45686</v>
      </c>
      <c r="K31" s="3">
        <v>1.47791985909298E-2</v>
      </c>
      <c r="L31">
        <v>1506319921</v>
      </c>
      <c r="M31" s="2" t="s">
        <v>20</v>
      </c>
    </row>
    <row r="32" spans="1:13" x14ac:dyDescent="0.3">
      <c r="A32" s="1">
        <v>45688</v>
      </c>
      <c r="B32" s="2" t="s">
        <v>19</v>
      </c>
      <c r="C32">
        <v>677.55724999999995</v>
      </c>
      <c r="D32">
        <v>689.21514999999999</v>
      </c>
      <c r="E32">
        <v>673.79345999999998</v>
      </c>
      <c r="F32">
        <v>677.37536999999998</v>
      </c>
      <c r="G32">
        <f>_xlfn.MAXIFS(Crypto[Close],Crypto[Name],Crypto[[#This Row],[Name]],Crypto[Date],"&lt;="&amp;Crypto[[#This Row],[Date]])</f>
        <v>729.40008999999998</v>
      </c>
      <c r="H32" s="3">
        <f>(Crypto[[#This Row],[Close]]/Crypto[[#This Row],[Peak Close]])-1</f>
        <v>-7.1325354511541095E-2</v>
      </c>
      <c r="I32">
        <v>677.55358999999999</v>
      </c>
      <c r="J32" s="1">
        <v>45687</v>
      </c>
      <c r="K32" s="3">
        <v>-2.6303454461810202E-4</v>
      </c>
      <c r="L32">
        <v>1589542506</v>
      </c>
      <c r="M32" s="2" t="s">
        <v>20</v>
      </c>
    </row>
    <row r="33" spans="1:13" x14ac:dyDescent="0.3">
      <c r="A33" s="1">
        <v>45689</v>
      </c>
      <c r="B33" s="2" t="s">
        <v>19</v>
      </c>
      <c r="C33">
        <v>677.33989999999994</v>
      </c>
      <c r="D33">
        <v>681.21960000000001</v>
      </c>
      <c r="E33">
        <v>651.12621999999999</v>
      </c>
      <c r="F33">
        <v>653.43291999999997</v>
      </c>
      <c r="G33">
        <f>_xlfn.MAXIFS(Crypto[Close],Crypto[Name],Crypto[[#This Row],[Name]],Crypto[Date],"&lt;="&amp;Crypto[[#This Row],[Date]])</f>
        <v>729.40008999999998</v>
      </c>
      <c r="H33" s="3">
        <f>(Crypto[[#This Row],[Close]]/Crypto[[#This Row],[Peak Close]])-1</f>
        <v>-0.10415020650737783</v>
      </c>
      <c r="I33">
        <v>677.37536999999998</v>
      </c>
      <c r="J33" s="1">
        <v>45688</v>
      </c>
      <c r="K33" s="3">
        <v>-3.5345911676711798E-2</v>
      </c>
      <c r="L33">
        <v>1544346912</v>
      </c>
      <c r="M33" s="2" t="s">
        <v>20</v>
      </c>
    </row>
    <row r="34" spans="1:13" x14ac:dyDescent="0.3">
      <c r="A34" s="1">
        <v>45690</v>
      </c>
      <c r="B34" s="2" t="s">
        <v>19</v>
      </c>
      <c r="C34">
        <v>653.43255999999997</v>
      </c>
      <c r="D34">
        <v>662.63373000000001</v>
      </c>
      <c r="E34">
        <v>602.76116999999999</v>
      </c>
      <c r="F34">
        <v>617.60064999999997</v>
      </c>
      <c r="G34">
        <f>_xlfn.MAXIFS(Crypto[Close],Crypto[Name],Crypto[[#This Row],[Name]],Crypto[Date],"&lt;="&amp;Crypto[[#This Row],[Date]])</f>
        <v>729.40008999999998</v>
      </c>
      <c r="H34" s="3">
        <f>(Crypto[[#This Row],[Close]]/Crypto[[#This Row],[Peak Close]])-1</f>
        <v>-0.15327587908578411</v>
      </c>
      <c r="I34">
        <v>653.43291999999997</v>
      </c>
      <c r="J34" s="1">
        <v>45689</v>
      </c>
      <c r="K34" s="3">
        <v>-5.4836952506157798E-2</v>
      </c>
      <c r="L34">
        <v>2282982721</v>
      </c>
      <c r="M34" s="2" t="s">
        <v>20</v>
      </c>
    </row>
    <row r="35" spans="1:13" x14ac:dyDescent="0.3">
      <c r="A35" s="1">
        <v>45691</v>
      </c>
      <c r="B35" s="2" t="s">
        <v>19</v>
      </c>
      <c r="C35">
        <v>617.60064999999997</v>
      </c>
      <c r="D35">
        <v>619.10797000000002</v>
      </c>
      <c r="E35">
        <v>519.19226000000003</v>
      </c>
      <c r="F35">
        <v>617.12079000000006</v>
      </c>
      <c r="G35">
        <f>_xlfn.MAXIFS(Crypto[Close],Crypto[Name],Crypto[[#This Row],[Name]],Crypto[Date],"&lt;="&amp;Crypto[[#This Row],[Date]])</f>
        <v>729.40008999999998</v>
      </c>
      <c r="H35" s="3">
        <f>(Crypto[[#This Row],[Close]]/Crypto[[#This Row],[Peak Close]])-1</f>
        <v>-0.15393376219627275</v>
      </c>
      <c r="I35">
        <v>617.60064999999997</v>
      </c>
      <c r="J35" s="1">
        <v>45690</v>
      </c>
      <c r="K35" s="3">
        <v>-7.7697457086535904E-4</v>
      </c>
      <c r="L35">
        <v>3960962742</v>
      </c>
      <c r="M35" s="2" t="s">
        <v>20</v>
      </c>
    </row>
    <row r="36" spans="1:13" x14ac:dyDescent="0.3">
      <c r="A36" s="1">
        <v>45692</v>
      </c>
      <c r="B36" s="2" t="s">
        <v>19</v>
      </c>
      <c r="C36">
        <v>617.12079000000006</v>
      </c>
      <c r="D36">
        <v>619.34436000000005</v>
      </c>
      <c r="E36">
        <v>559.26349000000005</v>
      </c>
      <c r="F36">
        <v>573.32781999999997</v>
      </c>
      <c r="G36">
        <f>_xlfn.MAXIFS(Crypto[Close],Crypto[Name],Crypto[[#This Row],[Name]],Crypto[Date],"&lt;="&amp;Crypto[[#This Row],[Date]])</f>
        <v>729.40008999999998</v>
      </c>
      <c r="H36" s="3">
        <f>(Crypto[[#This Row],[Close]]/Crypto[[#This Row],[Peak Close]])-1</f>
        <v>-0.21397347236411779</v>
      </c>
      <c r="I36">
        <v>617.12079000000006</v>
      </c>
      <c r="J36" s="1">
        <v>45691</v>
      </c>
      <c r="K36" s="3">
        <v>-7.0963368451742004E-2</v>
      </c>
      <c r="L36">
        <v>2336864401</v>
      </c>
      <c r="M36" s="2" t="s">
        <v>20</v>
      </c>
    </row>
    <row r="37" spans="1:13" x14ac:dyDescent="0.3">
      <c r="A37" s="1">
        <v>45693</v>
      </c>
      <c r="B37" s="2" t="s">
        <v>19</v>
      </c>
      <c r="C37">
        <v>573.32781999999997</v>
      </c>
      <c r="D37">
        <v>578.9624</v>
      </c>
      <c r="E37">
        <v>562.06926999999996</v>
      </c>
      <c r="F37">
        <v>569.74689000000001</v>
      </c>
      <c r="G37">
        <f>_xlfn.MAXIFS(Crypto[Close],Crypto[Name],Crypto[[#This Row],[Name]],Crypto[Date],"&lt;="&amp;Crypto[[#This Row],[Date]])</f>
        <v>729.40008999999998</v>
      </c>
      <c r="H37" s="3">
        <f>(Crypto[[#This Row],[Close]]/Crypto[[#This Row],[Peak Close]])-1</f>
        <v>-0.21888289045865073</v>
      </c>
      <c r="I37">
        <v>573.32781999999997</v>
      </c>
      <c r="J37" s="1">
        <v>45692</v>
      </c>
      <c r="K37" s="3">
        <v>-6.2458682015464799E-3</v>
      </c>
      <c r="L37">
        <v>1494467850</v>
      </c>
      <c r="M37" s="2" t="s">
        <v>20</v>
      </c>
    </row>
    <row r="38" spans="1:13" x14ac:dyDescent="0.3">
      <c r="A38" s="1">
        <v>45694</v>
      </c>
      <c r="B38" s="2" t="s">
        <v>19</v>
      </c>
      <c r="C38">
        <v>569.74689000000001</v>
      </c>
      <c r="D38">
        <v>589.00635</v>
      </c>
      <c r="E38">
        <v>569.59740999999997</v>
      </c>
      <c r="F38">
        <v>572.27404999999999</v>
      </c>
      <c r="G38">
        <f>_xlfn.MAXIFS(Crypto[Close],Crypto[Name],Crypto[[#This Row],[Name]],Crypto[Date],"&lt;="&amp;Crypto[[#This Row],[Date]])</f>
        <v>729.40008999999998</v>
      </c>
      <c r="H38" s="3">
        <f>(Crypto[[#This Row],[Close]]/Crypto[[#This Row],[Peak Close]])-1</f>
        <v>-0.21541818016501757</v>
      </c>
      <c r="I38">
        <v>569.74689000000001</v>
      </c>
      <c r="J38" s="1">
        <v>45693</v>
      </c>
      <c r="K38" s="3">
        <v>4.4355836676879101E-3</v>
      </c>
      <c r="L38">
        <v>1722558011</v>
      </c>
      <c r="M38" s="2" t="s">
        <v>20</v>
      </c>
    </row>
    <row r="39" spans="1:13" x14ac:dyDescent="0.3">
      <c r="A39" s="1">
        <v>45695</v>
      </c>
      <c r="B39" s="2" t="s">
        <v>19</v>
      </c>
      <c r="C39">
        <v>572.27472</v>
      </c>
      <c r="D39">
        <v>589.62432999999999</v>
      </c>
      <c r="E39">
        <v>571.27752999999996</v>
      </c>
      <c r="F39">
        <v>578.06682999999998</v>
      </c>
      <c r="G39">
        <f>_xlfn.MAXIFS(Crypto[Close],Crypto[Name],Crypto[[#This Row],[Name]],Crypto[Date],"&lt;="&amp;Crypto[[#This Row],[Date]])</f>
        <v>729.40008999999998</v>
      </c>
      <c r="H39" s="3">
        <f>(Crypto[[#This Row],[Close]]/Crypto[[#This Row],[Peak Close]])-1</f>
        <v>-0.20747633853458947</v>
      </c>
      <c r="I39">
        <v>572.27404999999999</v>
      </c>
      <c r="J39" s="1">
        <v>45694</v>
      </c>
      <c r="K39" s="3">
        <v>1.0122388041184101E-2</v>
      </c>
      <c r="L39">
        <v>1583843573</v>
      </c>
      <c r="M39" s="2" t="s">
        <v>20</v>
      </c>
    </row>
    <row r="40" spans="1:13" x14ac:dyDescent="0.3">
      <c r="A40" s="1">
        <v>45696</v>
      </c>
      <c r="B40" s="2" t="s">
        <v>19</v>
      </c>
      <c r="C40">
        <v>578.06682999999998</v>
      </c>
      <c r="D40">
        <v>633.05524000000003</v>
      </c>
      <c r="E40">
        <v>574.04187000000002</v>
      </c>
      <c r="F40">
        <v>613.32421999999997</v>
      </c>
      <c r="G40">
        <f>_xlfn.MAXIFS(Crypto[Close],Crypto[Name],Crypto[[#This Row],[Name]],Crypto[Date],"&lt;="&amp;Crypto[[#This Row],[Date]])</f>
        <v>729.40008999999998</v>
      </c>
      <c r="H40" s="3">
        <f>(Crypto[[#This Row],[Close]]/Crypto[[#This Row],[Peak Close]])-1</f>
        <v>-0.15913882050658923</v>
      </c>
      <c r="I40">
        <v>578.06682999999998</v>
      </c>
      <c r="J40" s="1">
        <v>45695</v>
      </c>
      <c r="K40" s="3">
        <v>6.0991892581001399E-2</v>
      </c>
      <c r="L40">
        <v>2087349099</v>
      </c>
      <c r="M40" s="2" t="s">
        <v>20</v>
      </c>
    </row>
    <row r="41" spans="1:13" x14ac:dyDescent="0.3">
      <c r="A41" s="1">
        <v>45697</v>
      </c>
      <c r="B41" s="2" t="s">
        <v>19</v>
      </c>
      <c r="C41">
        <v>613.32421999999997</v>
      </c>
      <c r="D41">
        <v>647.78765999999996</v>
      </c>
      <c r="E41">
        <v>603.40386999999998</v>
      </c>
      <c r="F41">
        <v>616.64209000000005</v>
      </c>
      <c r="G41">
        <f>_xlfn.MAXIFS(Crypto[Close],Crypto[Name],Crypto[[#This Row],[Name]],Crypto[Date],"&lt;="&amp;Crypto[[#This Row],[Date]])</f>
        <v>729.40008999999998</v>
      </c>
      <c r="H41" s="3">
        <f>(Crypto[[#This Row],[Close]]/Crypto[[#This Row],[Peak Close]])-1</f>
        <v>-0.15459005495872635</v>
      </c>
      <c r="I41">
        <v>613.32421999999997</v>
      </c>
      <c r="J41" s="1">
        <v>45696</v>
      </c>
      <c r="K41" s="3">
        <v>5.4096510325323298E-3</v>
      </c>
      <c r="L41">
        <v>2630256614</v>
      </c>
      <c r="M41" s="2" t="s">
        <v>20</v>
      </c>
    </row>
    <row r="42" spans="1:13" x14ac:dyDescent="0.3">
      <c r="A42" s="1">
        <v>45698</v>
      </c>
      <c r="B42" s="2" t="s">
        <v>19</v>
      </c>
      <c r="C42">
        <v>616.64209000000005</v>
      </c>
      <c r="D42">
        <v>621.42034999999998</v>
      </c>
      <c r="E42">
        <v>597.06482000000005</v>
      </c>
      <c r="F42">
        <v>618.31451000000004</v>
      </c>
      <c r="G42">
        <f>_xlfn.MAXIFS(Crypto[Close],Crypto[Name],Crypto[[#This Row],[Name]],Crypto[Date],"&lt;="&amp;Crypto[[#This Row],[Date]])</f>
        <v>729.40008999999998</v>
      </c>
      <c r="H42" s="3">
        <f>(Crypto[[#This Row],[Close]]/Crypto[[#This Row],[Peak Close]])-1</f>
        <v>-0.15229718438888584</v>
      </c>
      <c r="I42">
        <v>616.64209000000005</v>
      </c>
      <c r="J42" s="1">
        <v>45697</v>
      </c>
      <c r="K42" s="3">
        <v>2.7121405222273898E-3</v>
      </c>
      <c r="L42">
        <v>1860480297</v>
      </c>
      <c r="M42" s="2" t="s">
        <v>20</v>
      </c>
    </row>
    <row r="43" spans="1:13" x14ac:dyDescent="0.3">
      <c r="A43" s="1">
        <v>45699</v>
      </c>
      <c r="B43" s="2" t="s">
        <v>19</v>
      </c>
      <c r="C43">
        <v>618.31451000000004</v>
      </c>
      <c r="D43">
        <v>646.09929999999997</v>
      </c>
      <c r="E43">
        <v>615.69164999999998</v>
      </c>
      <c r="F43">
        <v>642.58727999999996</v>
      </c>
      <c r="G43">
        <f>_xlfn.MAXIFS(Crypto[Close],Crypto[Name],Crypto[[#This Row],[Name]],Crypto[Date],"&lt;="&amp;Crypto[[#This Row],[Date]])</f>
        <v>729.40008999999998</v>
      </c>
      <c r="H43" s="3">
        <f>(Crypto[[#This Row],[Close]]/Crypto[[#This Row],[Peak Close]])-1</f>
        <v>-0.11901946708013156</v>
      </c>
      <c r="I43">
        <v>618.31451000000004</v>
      </c>
      <c r="J43" s="1">
        <v>45698</v>
      </c>
      <c r="K43" s="3">
        <v>3.92563486824851E-2</v>
      </c>
      <c r="L43">
        <v>2162944541</v>
      </c>
      <c r="M43" s="2" t="s">
        <v>20</v>
      </c>
    </row>
    <row r="44" spans="1:13" x14ac:dyDescent="0.3">
      <c r="A44" s="1">
        <v>45700</v>
      </c>
      <c r="B44" s="2" t="s">
        <v>19</v>
      </c>
      <c r="C44">
        <v>642.58727999999996</v>
      </c>
      <c r="D44">
        <v>704.70203000000004</v>
      </c>
      <c r="E44">
        <v>627.57135000000005</v>
      </c>
      <c r="F44">
        <v>698.03734999999995</v>
      </c>
      <c r="G44">
        <f>_xlfn.MAXIFS(Crypto[Close],Crypto[Name],Crypto[[#This Row],[Name]],Crypto[Date],"&lt;="&amp;Crypto[[#This Row],[Date]])</f>
        <v>729.40008999999998</v>
      </c>
      <c r="H44" s="3">
        <f>(Crypto[[#This Row],[Close]]/Crypto[[#This Row],[Peak Close]])-1</f>
        <v>-4.2997993049329164E-2</v>
      </c>
      <c r="I44">
        <v>642.58727999999996</v>
      </c>
      <c r="J44" s="1">
        <v>45699</v>
      </c>
      <c r="K44" s="3">
        <v>8.6291888628732202E-2</v>
      </c>
      <c r="L44">
        <v>3007130370</v>
      </c>
      <c r="M44" s="2" t="s">
        <v>20</v>
      </c>
    </row>
    <row r="45" spans="1:13" x14ac:dyDescent="0.3">
      <c r="A45" s="1">
        <v>45701</v>
      </c>
      <c r="B45" s="2" t="s">
        <v>19</v>
      </c>
      <c r="C45">
        <v>698.03734999999995</v>
      </c>
      <c r="D45">
        <v>730.83471999999995</v>
      </c>
      <c r="E45">
        <v>660.64673000000005</v>
      </c>
      <c r="F45">
        <v>668.27752999999996</v>
      </c>
      <c r="G45">
        <f>_xlfn.MAXIFS(Crypto[Close],Crypto[Name],Crypto[[#This Row],[Name]],Crypto[Date],"&lt;="&amp;Crypto[[#This Row],[Date]])</f>
        <v>729.40008999999998</v>
      </c>
      <c r="H45" s="3">
        <f>(Crypto[[#This Row],[Close]]/Crypto[[#This Row],[Peak Close]])-1</f>
        <v>-8.3798399311960647E-2</v>
      </c>
      <c r="I45">
        <v>698.03734999999995</v>
      </c>
      <c r="J45" s="1">
        <v>45700</v>
      </c>
      <c r="K45" s="3">
        <v>-4.2633563948977798E-2</v>
      </c>
      <c r="L45">
        <v>5139846836</v>
      </c>
      <c r="M45" s="2" t="s">
        <v>20</v>
      </c>
    </row>
    <row r="46" spans="1:13" x14ac:dyDescent="0.3">
      <c r="A46" s="1">
        <v>45702</v>
      </c>
      <c r="B46" s="2" t="s">
        <v>19</v>
      </c>
      <c r="C46">
        <v>668.27752999999996</v>
      </c>
      <c r="D46">
        <v>683.99994000000004</v>
      </c>
      <c r="E46">
        <v>652.46758999999997</v>
      </c>
      <c r="F46">
        <v>658.04363999999998</v>
      </c>
      <c r="G46">
        <f>_xlfn.MAXIFS(Crypto[Close],Crypto[Name],Crypto[[#This Row],[Name]],Crypto[Date],"&lt;="&amp;Crypto[[#This Row],[Date]])</f>
        <v>729.40008999999998</v>
      </c>
      <c r="H46" s="3">
        <f>(Crypto[[#This Row],[Close]]/Crypto[[#This Row],[Peak Close]])-1</f>
        <v>-9.7828956944603584E-2</v>
      </c>
      <c r="I46">
        <v>668.27752999999996</v>
      </c>
      <c r="J46" s="1">
        <v>45701</v>
      </c>
      <c r="K46" s="3">
        <v>-1.5313832263670399E-2</v>
      </c>
      <c r="L46">
        <v>2581045409</v>
      </c>
      <c r="M46" s="2" t="s">
        <v>20</v>
      </c>
    </row>
    <row r="47" spans="1:13" x14ac:dyDescent="0.3">
      <c r="A47" s="1">
        <v>45703</v>
      </c>
      <c r="B47" s="2" t="s">
        <v>19</v>
      </c>
      <c r="C47">
        <v>658.04363999999998</v>
      </c>
      <c r="D47">
        <v>670.76233000000002</v>
      </c>
      <c r="E47">
        <v>654.47028</v>
      </c>
      <c r="F47">
        <v>662.32770000000005</v>
      </c>
      <c r="G47">
        <f>_xlfn.MAXIFS(Crypto[Close],Crypto[Name],Crypto[[#This Row],[Name]],Crypto[Date],"&lt;="&amp;Crypto[[#This Row],[Date]])</f>
        <v>729.40008999999998</v>
      </c>
      <c r="H47" s="3">
        <f>(Crypto[[#This Row],[Close]]/Crypto[[#This Row],[Peak Close]])-1</f>
        <v>-9.1955554872497958E-2</v>
      </c>
      <c r="I47">
        <v>658.04363999999998</v>
      </c>
      <c r="J47" s="1">
        <v>45702</v>
      </c>
      <c r="K47" s="3">
        <v>6.51029770609145E-3</v>
      </c>
      <c r="L47">
        <v>1794465917</v>
      </c>
      <c r="M47" s="2" t="s">
        <v>20</v>
      </c>
    </row>
    <row r="48" spans="1:13" x14ac:dyDescent="0.3">
      <c r="A48" s="1">
        <v>45704</v>
      </c>
      <c r="B48" s="2" t="s">
        <v>19</v>
      </c>
      <c r="C48">
        <v>662.32758000000001</v>
      </c>
      <c r="D48">
        <v>685.08587999999997</v>
      </c>
      <c r="E48">
        <v>654.38103999999998</v>
      </c>
      <c r="F48">
        <v>674.10082999999997</v>
      </c>
      <c r="G48">
        <f>_xlfn.MAXIFS(Crypto[Close],Crypto[Name],Crypto[[#This Row],[Name]],Crypto[Date],"&lt;="&amp;Crypto[[#This Row],[Date]])</f>
        <v>729.40008999999998</v>
      </c>
      <c r="H48" s="3">
        <f>(Crypto[[#This Row],[Close]]/Crypto[[#This Row],[Peak Close]])-1</f>
        <v>-7.5814715076330752E-2</v>
      </c>
      <c r="I48">
        <v>662.32770000000005</v>
      </c>
      <c r="J48" s="1">
        <v>45703</v>
      </c>
      <c r="K48" s="3">
        <v>1.7775385205842799E-2</v>
      </c>
      <c r="L48">
        <v>2009553142</v>
      </c>
      <c r="M48" s="2" t="s">
        <v>20</v>
      </c>
    </row>
    <row r="49" spans="1:13" x14ac:dyDescent="0.3">
      <c r="A49" s="1">
        <v>45705</v>
      </c>
      <c r="B49" s="2" t="s">
        <v>19</v>
      </c>
      <c r="C49">
        <v>674.10082999999997</v>
      </c>
      <c r="D49">
        <v>681.62554999999998</v>
      </c>
      <c r="E49">
        <v>659.29309000000001</v>
      </c>
      <c r="F49">
        <v>667.22906</v>
      </c>
      <c r="G49">
        <f>_xlfn.MAXIFS(Crypto[Close],Crypto[Name],Crypto[[#This Row],[Name]],Crypto[Date],"&lt;="&amp;Crypto[[#This Row],[Date]])</f>
        <v>729.40008999999998</v>
      </c>
      <c r="H49" s="3">
        <f>(Crypto[[#This Row],[Close]]/Crypto[[#This Row],[Peak Close]])-1</f>
        <v>-8.5235840867527113E-2</v>
      </c>
      <c r="I49">
        <v>674.10082999999997</v>
      </c>
      <c r="J49" s="1">
        <v>45704</v>
      </c>
      <c r="K49" s="3">
        <v>-1.0193979437764501E-2</v>
      </c>
      <c r="L49">
        <v>1942930816</v>
      </c>
      <c r="M49" s="2" t="s">
        <v>20</v>
      </c>
    </row>
    <row r="50" spans="1:13" x14ac:dyDescent="0.3">
      <c r="A50" s="1">
        <v>45706</v>
      </c>
      <c r="B50" s="2" t="s">
        <v>19</v>
      </c>
      <c r="C50">
        <v>667.23621000000003</v>
      </c>
      <c r="D50">
        <v>667.75951999999995</v>
      </c>
      <c r="E50">
        <v>630.65526999999997</v>
      </c>
      <c r="F50">
        <v>647.44335999999998</v>
      </c>
      <c r="G50">
        <f>_xlfn.MAXIFS(Crypto[Close],Crypto[Name],Crypto[[#This Row],[Name]],Crypto[Date],"&lt;="&amp;Crypto[[#This Row],[Date]])</f>
        <v>729.40008999999998</v>
      </c>
      <c r="H50" s="3">
        <f>(Crypto[[#This Row],[Close]]/Crypto[[#This Row],[Peak Close]])-1</f>
        <v>-0.11236183148812062</v>
      </c>
      <c r="I50">
        <v>667.22906</v>
      </c>
      <c r="J50" s="1">
        <v>45705</v>
      </c>
      <c r="K50" s="3">
        <v>-2.96535345747681E-2</v>
      </c>
      <c r="L50">
        <v>1985512627</v>
      </c>
      <c r="M50" s="2" t="s">
        <v>20</v>
      </c>
    </row>
    <row r="51" spans="1:13" x14ac:dyDescent="0.3">
      <c r="A51" s="1">
        <v>45707</v>
      </c>
      <c r="B51" s="2" t="s">
        <v>19</v>
      </c>
      <c r="C51">
        <v>647.44359999999995</v>
      </c>
      <c r="D51">
        <v>659.98859000000004</v>
      </c>
      <c r="E51">
        <v>638.14086999999995</v>
      </c>
      <c r="F51">
        <v>653.51471000000004</v>
      </c>
      <c r="G51">
        <f>_xlfn.MAXIFS(Crypto[Close],Crypto[Name],Crypto[[#This Row],[Name]],Crypto[Date],"&lt;="&amp;Crypto[[#This Row],[Date]])</f>
        <v>729.40008999999998</v>
      </c>
      <c r="H51" s="3">
        <f>(Crypto[[#This Row],[Close]]/Crypto[[#This Row],[Peak Close]])-1</f>
        <v>-0.1040380732609999</v>
      </c>
      <c r="I51">
        <v>647.44335999999998</v>
      </c>
      <c r="J51" s="1">
        <v>45706</v>
      </c>
      <c r="K51" s="3">
        <v>9.3774226057396805E-3</v>
      </c>
      <c r="L51">
        <v>1916599180</v>
      </c>
      <c r="M51" s="2" t="s">
        <v>20</v>
      </c>
    </row>
    <row r="52" spans="1:13" x14ac:dyDescent="0.3">
      <c r="A52" s="1">
        <v>45708</v>
      </c>
      <c r="B52" s="2" t="s">
        <v>19</v>
      </c>
      <c r="C52">
        <v>653.51471000000004</v>
      </c>
      <c r="D52">
        <v>658.92913999999996</v>
      </c>
      <c r="E52">
        <v>646.67034999999998</v>
      </c>
      <c r="F52">
        <v>657.20099000000005</v>
      </c>
      <c r="G52">
        <f>_xlfn.MAXIFS(Crypto[Close],Crypto[Name],Crypto[[#This Row],[Name]],Crypto[Date],"&lt;="&amp;Crypto[[#This Row],[Date]])</f>
        <v>729.40008999999998</v>
      </c>
      <c r="H52" s="3">
        <f>(Crypto[[#This Row],[Close]]/Crypto[[#This Row],[Peak Close]])-1</f>
        <v>-9.8984221403098482E-2</v>
      </c>
      <c r="I52">
        <v>653.51471000000004</v>
      </c>
      <c r="J52" s="1">
        <v>45707</v>
      </c>
      <c r="K52" s="3">
        <v>5.6406993501339998E-3</v>
      </c>
      <c r="L52">
        <v>1709065792</v>
      </c>
      <c r="M52" s="2" t="s">
        <v>20</v>
      </c>
    </row>
    <row r="53" spans="1:13" x14ac:dyDescent="0.3">
      <c r="A53" s="1">
        <v>45709</v>
      </c>
      <c r="B53" s="2" t="s">
        <v>19</v>
      </c>
      <c r="C53">
        <v>657.20099000000005</v>
      </c>
      <c r="D53">
        <v>668.00329999999997</v>
      </c>
      <c r="E53">
        <v>635.33989999999994</v>
      </c>
      <c r="F53">
        <v>646.89954</v>
      </c>
      <c r="G53">
        <f>_xlfn.MAXIFS(Crypto[Close],Crypto[Name],Crypto[[#This Row],[Name]],Crypto[Date],"&lt;="&amp;Crypto[[#This Row],[Date]])</f>
        <v>729.40008999999998</v>
      </c>
      <c r="H53" s="3">
        <f>(Crypto[[#This Row],[Close]]/Crypto[[#This Row],[Peak Close]])-1</f>
        <v>-0.11310740309889455</v>
      </c>
      <c r="I53">
        <v>657.20099000000005</v>
      </c>
      <c r="J53" s="1">
        <v>45708</v>
      </c>
      <c r="K53" s="3">
        <v>-1.56747329306367E-2</v>
      </c>
      <c r="L53">
        <v>1926193637</v>
      </c>
      <c r="M53" s="2" t="s">
        <v>20</v>
      </c>
    </row>
    <row r="54" spans="1:13" x14ac:dyDescent="0.3">
      <c r="A54" s="1">
        <v>45710</v>
      </c>
      <c r="B54" s="2" t="s">
        <v>19</v>
      </c>
      <c r="C54">
        <v>646.89954</v>
      </c>
      <c r="D54">
        <v>679.12329</v>
      </c>
      <c r="E54">
        <v>645.65337999999997</v>
      </c>
      <c r="F54">
        <v>668.57476999999994</v>
      </c>
      <c r="G54">
        <f>_xlfn.MAXIFS(Crypto[Close],Crypto[Name],Crypto[[#This Row],[Name]],Crypto[Date],"&lt;="&amp;Crypto[[#This Row],[Date]])</f>
        <v>729.40008999999998</v>
      </c>
      <c r="H54" s="3">
        <f>(Crypto[[#This Row],[Close]]/Crypto[[#This Row],[Peak Close]])-1</f>
        <v>-8.3390886337839643E-2</v>
      </c>
      <c r="I54">
        <v>646.89954</v>
      </c>
      <c r="J54" s="1">
        <v>45709</v>
      </c>
      <c r="K54" s="3">
        <v>3.3506330828431199E-2</v>
      </c>
      <c r="L54">
        <v>1899367077</v>
      </c>
      <c r="M54" s="2" t="s">
        <v>20</v>
      </c>
    </row>
    <row r="55" spans="1:13" x14ac:dyDescent="0.3">
      <c r="A55" s="1">
        <v>45711</v>
      </c>
      <c r="B55" s="2" t="s">
        <v>19</v>
      </c>
      <c r="C55">
        <v>668.57446000000004</v>
      </c>
      <c r="D55">
        <v>671.07195999999999</v>
      </c>
      <c r="E55">
        <v>648.97991999999999</v>
      </c>
      <c r="F55">
        <v>657.90368999999998</v>
      </c>
      <c r="G55">
        <f>_xlfn.MAXIFS(Crypto[Close],Crypto[Name],Crypto[[#This Row],[Name]],Crypto[Date],"&lt;="&amp;Crypto[[#This Row],[Date]])</f>
        <v>729.40008999999998</v>
      </c>
      <c r="H55" s="3">
        <f>(Crypto[[#This Row],[Close]]/Crypto[[#This Row],[Peak Close]])-1</f>
        <v>-9.8020826951090712E-2</v>
      </c>
      <c r="I55">
        <v>668.57476999999994</v>
      </c>
      <c r="J55" s="1">
        <v>45710</v>
      </c>
      <c r="K55" s="3">
        <v>-1.5960937323434999E-2</v>
      </c>
      <c r="L55">
        <v>1502735946</v>
      </c>
      <c r="M55" s="2" t="s">
        <v>20</v>
      </c>
    </row>
    <row r="56" spans="1:13" x14ac:dyDescent="0.3">
      <c r="A56" s="1">
        <v>45712</v>
      </c>
      <c r="B56" s="2" t="s">
        <v>19</v>
      </c>
      <c r="C56">
        <v>657.90368999999998</v>
      </c>
      <c r="D56">
        <v>659.14832000000001</v>
      </c>
      <c r="E56">
        <v>612.82123000000001</v>
      </c>
      <c r="F56">
        <v>613.96301000000005</v>
      </c>
      <c r="G56">
        <f>_xlfn.MAXIFS(Crypto[Close],Crypto[Name],Crypto[[#This Row],[Name]],Crypto[Date],"&lt;="&amp;Crypto[[#This Row],[Date]])</f>
        <v>729.40008999999998</v>
      </c>
      <c r="H56" s="3">
        <f>(Crypto[[#This Row],[Close]]/Crypto[[#This Row],[Peak Close]])-1</f>
        <v>-0.15826304600538221</v>
      </c>
      <c r="I56">
        <v>657.90368999999998</v>
      </c>
      <c r="J56" s="1">
        <v>45711</v>
      </c>
      <c r="K56" s="3">
        <v>-6.6788924682881695E-2</v>
      </c>
      <c r="L56">
        <v>1901201673</v>
      </c>
      <c r="M56" s="2" t="s">
        <v>20</v>
      </c>
    </row>
    <row r="57" spans="1:13" x14ac:dyDescent="0.3">
      <c r="A57" s="1">
        <v>45713</v>
      </c>
      <c r="B57" s="2" t="s">
        <v>19</v>
      </c>
      <c r="C57">
        <v>613.96301000000005</v>
      </c>
      <c r="D57">
        <v>627.24401999999998</v>
      </c>
      <c r="E57">
        <v>589.26984000000004</v>
      </c>
      <c r="F57">
        <v>622.94079999999997</v>
      </c>
      <c r="G57">
        <f>_xlfn.MAXIFS(Crypto[Close],Crypto[Name],Crypto[[#This Row],[Name]],Crypto[Date],"&lt;="&amp;Crypto[[#This Row],[Date]])</f>
        <v>729.40008999999998</v>
      </c>
      <c r="H57" s="3">
        <f>(Crypto[[#This Row],[Close]]/Crypto[[#This Row],[Peak Close]])-1</f>
        <v>-0.14595458851670828</v>
      </c>
      <c r="I57">
        <v>613.96301000000005</v>
      </c>
      <c r="J57" s="1">
        <v>45712</v>
      </c>
      <c r="K57" s="3">
        <v>1.46226887512326E-2</v>
      </c>
      <c r="L57">
        <v>2591258749</v>
      </c>
      <c r="M57" s="2" t="s">
        <v>20</v>
      </c>
    </row>
    <row r="58" spans="1:13" x14ac:dyDescent="0.3">
      <c r="A58" s="1">
        <v>45714</v>
      </c>
      <c r="B58" s="2" t="s">
        <v>19</v>
      </c>
      <c r="C58">
        <v>622.94079999999997</v>
      </c>
      <c r="D58">
        <v>630.81975999999997</v>
      </c>
      <c r="E58">
        <v>595.26500999999996</v>
      </c>
      <c r="F58">
        <v>610.69304999999997</v>
      </c>
      <c r="G58">
        <f>_xlfn.MAXIFS(Crypto[Close],Crypto[Name],Crypto[[#This Row],[Name]],Crypto[Date],"&lt;="&amp;Crypto[[#This Row],[Date]])</f>
        <v>729.40008999999998</v>
      </c>
      <c r="H58" s="3">
        <f>(Crypto[[#This Row],[Close]]/Crypto[[#This Row],[Peak Close]])-1</f>
        <v>-0.16274612743741235</v>
      </c>
      <c r="I58">
        <v>622.94079999999997</v>
      </c>
      <c r="J58" s="1">
        <v>45713</v>
      </c>
      <c r="K58" s="3">
        <v>-1.9661178076632601E-2</v>
      </c>
      <c r="L58">
        <v>1996066325</v>
      </c>
      <c r="M58" s="2" t="s">
        <v>20</v>
      </c>
    </row>
    <row r="59" spans="1:13" x14ac:dyDescent="0.3">
      <c r="A59" s="1">
        <v>45715</v>
      </c>
      <c r="B59" s="2" t="s">
        <v>19</v>
      </c>
      <c r="C59">
        <v>610.69304999999997</v>
      </c>
      <c r="D59">
        <v>618.62823000000003</v>
      </c>
      <c r="E59">
        <v>595.80029000000002</v>
      </c>
      <c r="F59">
        <v>605.12365999999997</v>
      </c>
      <c r="G59">
        <f>_xlfn.MAXIFS(Crypto[Close],Crypto[Name],Crypto[[#This Row],[Name]],Crypto[Date],"&lt;="&amp;Crypto[[#This Row],[Date]])</f>
        <v>729.40008999999998</v>
      </c>
      <c r="H59" s="3">
        <f>(Crypto[[#This Row],[Close]]/Crypto[[#This Row],[Peak Close]])-1</f>
        <v>-0.17038170368199435</v>
      </c>
      <c r="I59">
        <v>610.69304999999997</v>
      </c>
      <c r="J59" s="1">
        <v>45714</v>
      </c>
      <c r="K59" s="3">
        <v>-9.1197861184108796E-3</v>
      </c>
      <c r="L59">
        <v>1866447677</v>
      </c>
      <c r="M59" s="2" t="s">
        <v>20</v>
      </c>
    </row>
    <row r="60" spans="1:13" x14ac:dyDescent="0.3">
      <c r="A60" s="1">
        <v>45716</v>
      </c>
      <c r="B60" s="2" t="s">
        <v>19</v>
      </c>
      <c r="C60">
        <v>605.12365999999997</v>
      </c>
      <c r="D60">
        <v>605.40125</v>
      </c>
      <c r="E60">
        <v>559.97046</v>
      </c>
      <c r="F60">
        <v>587.45159999999998</v>
      </c>
      <c r="G60">
        <f>_xlfn.MAXIFS(Crypto[Close],Crypto[Name],Crypto[[#This Row],[Name]],Crypto[Date],"&lt;="&amp;Crypto[[#This Row],[Date]])</f>
        <v>729.40008999999998</v>
      </c>
      <c r="H60" s="3">
        <f>(Crypto[[#This Row],[Close]]/Crypto[[#This Row],[Peak Close]])-1</f>
        <v>-0.19460991566370656</v>
      </c>
      <c r="I60">
        <v>605.12365999999997</v>
      </c>
      <c r="J60" s="1">
        <v>45715</v>
      </c>
      <c r="K60" s="3">
        <v>-2.9204047318196098E-2</v>
      </c>
      <c r="L60">
        <v>2166029990</v>
      </c>
      <c r="M60" s="2" t="s">
        <v>20</v>
      </c>
    </row>
    <row r="61" spans="1:13" x14ac:dyDescent="0.3">
      <c r="A61" s="1">
        <v>45717</v>
      </c>
      <c r="B61" s="2" t="s">
        <v>19</v>
      </c>
      <c r="C61">
        <v>587.44579999999996</v>
      </c>
      <c r="D61">
        <v>608.89594</v>
      </c>
      <c r="E61">
        <v>586.59283000000005</v>
      </c>
      <c r="F61">
        <v>607.51153999999997</v>
      </c>
      <c r="G61">
        <f>_xlfn.MAXIFS(Crypto[Close],Crypto[Name],Crypto[[#This Row],[Name]],Crypto[Date],"&lt;="&amp;Crypto[[#This Row],[Date]])</f>
        <v>729.40008999999998</v>
      </c>
      <c r="H61" s="3">
        <f>(Crypto[[#This Row],[Close]]/Crypto[[#This Row],[Peak Close]])-1</f>
        <v>-0.16710794483175895</v>
      </c>
      <c r="I61">
        <v>587.45159999999998</v>
      </c>
      <c r="J61" s="1">
        <v>45716</v>
      </c>
      <c r="K61" s="3">
        <v>3.4147391887263498E-2</v>
      </c>
      <c r="L61">
        <v>1694454521</v>
      </c>
      <c r="M61" s="2" t="s">
        <v>20</v>
      </c>
    </row>
    <row r="62" spans="1:13" x14ac:dyDescent="0.3">
      <c r="A62" s="1">
        <v>45718</v>
      </c>
      <c r="B62" s="2" t="s">
        <v>19</v>
      </c>
      <c r="C62">
        <v>607.51093000000003</v>
      </c>
      <c r="D62">
        <v>634.54265999999996</v>
      </c>
      <c r="E62">
        <v>602.63300000000004</v>
      </c>
      <c r="F62">
        <v>622.93610000000001</v>
      </c>
      <c r="G62">
        <f>_xlfn.MAXIFS(Crypto[Close],Crypto[Name],Crypto[[#This Row],[Name]],Crypto[Date],"&lt;="&amp;Crypto[[#This Row],[Date]])</f>
        <v>729.40008999999998</v>
      </c>
      <c r="H62" s="3">
        <f>(Crypto[[#This Row],[Close]]/Crypto[[#This Row],[Peak Close]])-1</f>
        <v>-0.1459610321682302</v>
      </c>
      <c r="I62">
        <v>607.51153999999997</v>
      </c>
      <c r="J62" s="1">
        <v>45717</v>
      </c>
      <c r="K62" s="3">
        <v>2.5389739921648301E-2</v>
      </c>
      <c r="L62">
        <v>2130538305</v>
      </c>
      <c r="M62" s="2" t="s">
        <v>20</v>
      </c>
    </row>
    <row r="63" spans="1:13" x14ac:dyDescent="0.3">
      <c r="A63" s="1">
        <v>45719</v>
      </c>
      <c r="B63" s="2" t="s">
        <v>19</v>
      </c>
      <c r="C63">
        <v>622.93610000000001</v>
      </c>
      <c r="D63">
        <v>623.29956000000004</v>
      </c>
      <c r="E63">
        <v>568.54070999999999</v>
      </c>
      <c r="F63">
        <v>575.16998000000001</v>
      </c>
      <c r="G63">
        <f>_xlfn.MAXIFS(Crypto[Close],Crypto[Name],Crypto[[#This Row],[Name]],Crypto[Date],"&lt;="&amp;Crypto[[#This Row],[Date]])</f>
        <v>729.40008999999998</v>
      </c>
      <c r="H63" s="3">
        <f>(Crypto[[#This Row],[Close]]/Crypto[[#This Row],[Peak Close]])-1</f>
        <v>-0.21144789000505881</v>
      </c>
      <c r="I63">
        <v>622.93610000000001</v>
      </c>
      <c r="J63" s="1">
        <v>45718</v>
      </c>
      <c r="K63" s="3">
        <v>-7.6679004475739998E-2</v>
      </c>
      <c r="L63">
        <v>2161303026</v>
      </c>
      <c r="M63" s="2" t="s">
        <v>20</v>
      </c>
    </row>
    <row r="64" spans="1:13" x14ac:dyDescent="0.3">
      <c r="A64" s="1">
        <v>45720</v>
      </c>
      <c r="B64" s="2" t="s">
        <v>19</v>
      </c>
      <c r="C64">
        <v>575.16998000000001</v>
      </c>
      <c r="D64">
        <v>587.87018</v>
      </c>
      <c r="E64">
        <v>551.6925</v>
      </c>
      <c r="F64">
        <v>583.58685000000003</v>
      </c>
      <c r="G64">
        <f>_xlfn.MAXIFS(Crypto[Close],Crypto[Name],Crypto[[#This Row],[Name]],Crypto[Date],"&lt;="&amp;Crypto[[#This Row],[Date]])</f>
        <v>729.40008999999998</v>
      </c>
      <c r="H64" s="3">
        <f>(Crypto[[#This Row],[Close]]/Crypto[[#This Row],[Peak Close]])-1</f>
        <v>-0.19990844805078101</v>
      </c>
      <c r="I64">
        <v>575.16998000000001</v>
      </c>
      <c r="J64" s="1">
        <v>45719</v>
      </c>
      <c r="K64" s="3">
        <v>1.4633708803786999E-2</v>
      </c>
      <c r="L64">
        <v>1969539538</v>
      </c>
      <c r="M64" s="2" t="s">
        <v>20</v>
      </c>
    </row>
    <row r="65" spans="1:13" x14ac:dyDescent="0.3">
      <c r="A65" s="1">
        <v>45721</v>
      </c>
      <c r="B65" s="2" t="s">
        <v>19</v>
      </c>
      <c r="C65">
        <v>583.58600000000001</v>
      </c>
      <c r="D65">
        <v>604.53716999999995</v>
      </c>
      <c r="E65">
        <v>581.32153000000005</v>
      </c>
      <c r="F65">
        <v>597.97582999999997</v>
      </c>
      <c r="G65">
        <f>_xlfn.MAXIFS(Crypto[Close],Crypto[Name],Crypto[[#This Row],[Name]],Crypto[Date],"&lt;="&amp;Crypto[[#This Row],[Date]])</f>
        <v>729.40008999999998</v>
      </c>
      <c r="H65" s="3">
        <f>(Crypto[[#This Row],[Close]]/Crypto[[#This Row],[Peak Close]])-1</f>
        <v>-0.18018130488577266</v>
      </c>
      <c r="I65">
        <v>583.58685000000003</v>
      </c>
      <c r="J65" s="1">
        <v>45720</v>
      </c>
      <c r="K65" s="3">
        <v>2.4656107312904602E-2</v>
      </c>
      <c r="L65">
        <v>1534770591</v>
      </c>
      <c r="M65" s="2" t="s">
        <v>20</v>
      </c>
    </row>
    <row r="66" spans="1:13" x14ac:dyDescent="0.3">
      <c r="A66" s="1">
        <v>45722</v>
      </c>
      <c r="B66" s="2" t="s">
        <v>19</v>
      </c>
      <c r="C66">
        <v>597.97582999999997</v>
      </c>
      <c r="D66">
        <v>612.03130999999996</v>
      </c>
      <c r="E66">
        <v>589.89135999999996</v>
      </c>
      <c r="F66">
        <v>596.72375</v>
      </c>
      <c r="G66">
        <f>_xlfn.MAXIFS(Crypto[Close],Crypto[Name],Crypto[[#This Row],[Name]],Crypto[Date],"&lt;="&amp;Crypto[[#This Row],[Date]])</f>
        <v>729.40008999999998</v>
      </c>
      <c r="H66" s="3">
        <f>(Crypto[[#This Row],[Close]]/Crypto[[#This Row],[Peak Close]])-1</f>
        <v>-0.1818978936512059</v>
      </c>
      <c r="I66">
        <v>597.97582999999997</v>
      </c>
      <c r="J66" s="1">
        <v>45721</v>
      </c>
      <c r="K66" s="3">
        <v>-2.0938638941309399E-3</v>
      </c>
      <c r="L66">
        <v>1621101888</v>
      </c>
      <c r="M66" s="2" t="s">
        <v>20</v>
      </c>
    </row>
    <row r="67" spans="1:13" x14ac:dyDescent="0.3">
      <c r="A67" s="1">
        <v>45723</v>
      </c>
      <c r="B67" s="2" t="s">
        <v>19</v>
      </c>
      <c r="C67">
        <v>596.72369000000003</v>
      </c>
      <c r="D67">
        <v>609.43115</v>
      </c>
      <c r="E67">
        <v>579.36779999999999</v>
      </c>
      <c r="F67">
        <v>593.96338000000003</v>
      </c>
      <c r="G67">
        <f>_xlfn.MAXIFS(Crypto[Close],Crypto[Name],Crypto[[#This Row],[Name]],Crypto[Date],"&lt;="&amp;Crypto[[#This Row],[Date]])</f>
        <v>729.40008999999998</v>
      </c>
      <c r="H67" s="3">
        <f>(Crypto[[#This Row],[Close]]/Crypto[[#This Row],[Peak Close]])-1</f>
        <v>-0.1856823324493968</v>
      </c>
      <c r="I67">
        <v>596.72375</v>
      </c>
      <c r="J67" s="1">
        <v>45722</v>
      </c>
      <c r="K67" s="3">
        <v>-4.62587587640004E-3</v>
      </c>
      <c r="L67">
        <v>1866542048</v>
      </c>
      <c r="M67" s="2" t="s">
        <v>20</v>
      </c>
    </row>
    <row r="68" spans="1:13" x14ac:dyDescent="0.3">
      <c r="A68" s="1">
        <v>45724</v>
      </c>
      <c r="B68" s="2" t="s">
        <v>19</v>
      </c>
      <c r="C68">
        <v>593.96375</v>
      </c>
      <c r="D68">
        <v>601.64788999999996</v>
      </c>
      <c r="E68">
        <v>591.71020999999996</v>
      </c>
      <c r="F68">
        <v>593.08087</v>
      </c>
      <c r="G68">
        <f>_xlfn.MAXIFS(Crypto[Close],Crypto[Name],Crypto[[#This Row],[Name]],Crypto[Date],"&lt;="&amp;Crypto[[#This Row],[Date]])</f>
        <v>729.40008999999998</v>
      </c>
      <c r="H68" s="3">
        <f>(Crypto[[#This Row],[Close]]/Crypto[[#This Row],[Peak Close]])-1</f>
        <v>-0.18689224455675624</v>
      </c>
      <c r="I68">
        <v>593.96338000000003</v>
      </c>
      <c r="J68" s="1">
        <v>45723</v>
      </c>
      <c r="K68" s="3">
        <v>-1.4857986699449799E-3</v>
      </c>
      <c r="L68">
        <v>1147671365</v>
      </c>
      <c r="M68" s="2" t="s">
        <v>20</v>
      </c>
    </row>
    <row r="69" spans="1:13" x14ac:dyDescent="0.3">
      <c r="A69" s="1">
        <v>45725</v>
      </c>
      <c r="B69" s="2" t="s">
        <v>19</v>
      </c>
      <c r="C69">
        <v>593.08240000000001</v>
      </c>
      <c r="D69">
        <v>593.09973000000002</v>
      </c>
      <c r="E69">
        <v>551.14813000000004</v>
      </c>
      <c r="F69">
        <v>554.58043999999995</v>
      </c>
      <c r="G69">
        <f>_xlfn.MAXIFS(Crypto[Close],Crypto[Name],Crypto[[#This Row],[Name]],Crypto[Date],"&lt;="&amp;Crypto[[#This Row],[Date]])</f>
        <v>729.40008999999998</v>
      </c>
      <c r="H69" s="3">
        <f>(Crypto[[#This Row],[Close]]/Crypto[[#This Row],[Peak Close]])-1</f>
        <v>-0.23967593697445255</v>
      </c>
      <c r="I69">
        <v>593.08087</v>
      </c>
      <c r="J69" s="1">
        <v>45724</v>
      </c>
      <c r="K69" s="3">
        <v>-6.4915986920974306E-2</v>
      </c>
      <c r="L69">
        <v>1540503120</v>
      </c>
      <c r="M69" s="2" t="s">
        <v>20</v>
      </c>
    </row>
    <row r="70" spans="1:13" x14ac:dyDescent="0.3">
      <c r="A70" s="1">
        <v>45726</v>
      </c>
      <c r="B70" s="2" t="s">
        <v>19</v>
      </c>
      <c r="C70">
        <v>554.58043999999995</v>
      </c>
      <c r="D70">
        <v>572.05034999999998</v>
      </c>
      <c r="E70">
        <v>524.99608999999998</v>
      </c>
      <c r="F70">
        <v>532.12189000000001</v>
      </c>
      <c r="G70">
        <f>_xlfn.MAXIFS(Crypto[Close],Crypto[Name],Crypto[[#This Row],[Name]],Crypto[Date],"&lt;="&amp;Crypto[[#This Row],[Date]])</f>
        <v>729.40008999999998</v>
      </c>
      <c r="H70" s="3">
        <f>(Crypto[[#This Row],[Close]]/Crypto[[#This Row],[Peak Close]])-1</f>
        <v>-0.27046637737596113</v>
      </c>
      <c r="I70">
        <v>554.58043999999995</v>
      </c>
      <c r="J70" s="1">
        <v>45725</v>
      </c>
      <c r="K70" s="3">
        <v>-4.0496469727637603E-2</v>
      </c>
      <c r="L70">
        <v>1896805158</v>
      </c>
      <c r="M70" s="2" t="s">
        <v>20</v>
      </c>
    </row>
    <row r="71" spans="1:13" x14ac:dyDescent="0.3">
      <c r="A71" s="1">
        <v>45727</v>
      </c>
      <c r="B71" s="2" t="s">
        <v>19</v>
      </c>
      <c r="C71">
        <v>532.10619999999994</v>
      </c>
      <c r="D71">
        <v>565.15819999999997</v>
      </c>
      <c r="E71">
        <v>509.83569</v>
      </c>
      <c r="F71">
        <v>551.47455000000002</v>
      </c>
      <c r="G71">
        <f>_xlfn.MAXIFS(Crypto[Close],Crypto[Name],Crypto[[#This Row],[Name]],Crypto[Date],"&lt;="&amp;Crypto[[#This Row],[Date]])</f>
        <v>729.40008999999998</v>
      </c>
      <c r="H71" s="3">
        <f>(Crypto[[#This Row],[Close]]/Crypto[[#This Row],[Peak Close]])-1</f>
        <v>-0.24393408012878082</v>
      </c>
      <c r="I71">
        <v>532.12189000000001</v>
      </c>
      <c r="J71" s="1">
        <v>45726</v>
      </c>
      <c r="K71" s="3">
        <v>3.6368847746519203E-2</v>
      </c>
      <c r="L71">
        <v>2438043846</v>
      </c>
      <c r="M71" s="2" t="s">
        <v>20</v>
      </c>
    </row>
    <row r="72" spans="1:13" x14ac:dyDescent="0.3">
      <c r="A72" s="1">
        <v>45728</v>
      </c>
      <c r="B72" s="2" t="s">
        <v>19</v>
      </c>
      <c r="C72">
        <v>551.47455000000002</v>
      </c>
      <c r="D72">
        <v>574.42156999999997</v>
      </c>
      <c r="E72">
        <v>545.26684999999998</v>
      </c>
      <c r="F72">
        <v>569.89484000000004</v>
      </c>
      <c r="G72">
        <f>_xlfn.MAXIFS(Crypto[Close],Crypto[Name],Crypto[[#This Row],[Name]],Crypto[Date],"&lt;="&amp;Crypto[[#This Row],[Date]])</f>
        <v>729.40008999999998</v>
      </c>
      <c r="H72" s="3">
        <f>(Crypto[[#This Row],[Close]]/Crypto[[#This Row],[Peak Close]])-1</f>
        <v>-0.21868005253467948</v>
      </c>
      <c r="I72">
        <v>551.47455000000002</v>
      </c>
      <c r="J72" s="1">
        <v>45727</v>
      </c>
      <c r="K72" s="3">
        <v>3.3401885907518303E-2</v>
      </c>
      <c r="L72">
        <v>1792696031</v>
      </c>
      <c r="M72" s="2" t="s">
        <v>20</v>
      </c>
    </row>
    <row r="73" spans="1:13" x14ac:dyDescent="0.3">
      <c r="A73" s="1">
        <v>45729</v>
      </c>
      <c r="B73" s="2" t="s">
        <v>19</v>
      </c>
      <c r="C73">
        <v>569.89484000000004</v>
      </c>
      <c r="D73">
        <v>603.40503000000001</v>
      </c>
      <c r="E73">
        <v>568.12603999999999</v>
      </c>
      <c r="F73">
        <v>579.21880999999996</v>
      </c>
      <c r="G73">
        <f>_xlfn.MAXIFS(Crypto[Close],Crypto[Name],Crypto[[#This Row],[Name]],Crypto[Date],"&lt;="&amp;Crypto[[#This Row],[Date]])</f>
        <v>729.40008999999998</v>
      </c>
      <c r="H73" s="3">
        <f>(Crypto[[#This Row],[Close]]/Crypto[[#This Row],[Peak Close]])-1</f>
        <v>-0.20589698583667571</v>
      </c>
      <c r="I73">
        <v>569.89484000000004</v>
      </c>
      <c r="J73" s="1">
        <v>45728</v>
      </c>
      <c r="K73" s="3">
        <v>1.63608605405164E-2</v>
      </c>
      <c r="L73">
        <v>2402408414</v>
      </c>
      <c r="M73" s="2" t="s">
        <v>20</v>
      </c>
    </row>
    <row r="74" spans="1:13" x14ac:dyDescent="0.3">
      <c r="A74" s="1">
        <v>45730</v>
      </c>
      <c r="B74" s="2" t="s">
        <v>19</v>
      </c>
      <c r="C74">
        <v>579.21880999999996</v>
      </c>
      <c r="D74">
        <v>589.16321000000005</v>
      </c>
      <c r="E74">
        <v>577.24652000000003</v>
      </c>
      <c r="F74">
        <v>587.13629000000003</v>
      </c>
      <c r="G74">
        <f>_xlfn.MAXIFS(Crypto[Close],Crypto[Name],Crypto[[#This Row],[Name]],Crypto[Date],"&lt;="&amp;Crypto[[#This Row],[Date]])</f>
        <v>729.40008999999998</v>
      </c>
      <c r="H74" s="3">
        <f>(Crypto[[#This Row],[Close]]/Crypto[[#This Row],[Peak Close]])-1</f>
        <v>-0.19504220242144465</v>
      </c>
      <c r="I74">
        <v>579.21880999999996</v>
      </c>
      <c r="J74" s="1">
        <v>45729</v>
      </c>
      <c r="K74" s="3">
        <v>1.3669238400597E-2</v>
      </c>
      <c r="L74">
        <v>1535548122</v>
      </c>
      <c r="M74" s="2" t="s">
        <v>20</v>
      </c>
    </row>
    <row r="75" spans="1:13" x14ac:dyDescent="0.3">
      <c r="A75" s="1">
        <v>45731</v>
      </c>
      <c r="B75" s="2" t="s">
        <v>19</v>
      </c>
      <c r="C75">
        <v>587.11406999999997</v>
      </c>
      <c r="D75">
        <v>619.49950999999999</v>
      </c>
      <c r="E75">
        <v>587.08398</v>
      </c>
      <c r="F75">
        <v>619.48608000000002</v>
      </c>
      <c r="G75">
        <f>_xlfn.MAXIFS(Crypto[Close],Crypto[Name],Crypto[[#This Row],[Name]],Crypto[Date],"&lt;="&amp;Crypto[[#This Row],[Date]])</f>
        <v>729.40008999999998</v>
      </c>
      <c r="H75" s="3">
        <f>(Crypto[[#This Row],[Close]]/Crypto[[#This Row],[Peak Close]])-1</f>
        <v>-0.150690974003033</v>
      </c>
      <c r="I75">
        <v>587.13629000000003</v>
      </c>
      <c r="J75" s="1">
        <v>45730</v>
      </c>
      <c r="K75" s="3">
        <v>5.5097582198504497E-2</v>
      </c>
      <c r="L75">
        <v>1403335470</v>
      </c>
      <c r="M75" s="2" t="s">
        <v>20</v>
      </c>
    </row>
    <row r="76" spans="1:13" x14ac:dyDescent="0.3">
      <c r="A76" s="1">
        <v>45732</v>
      </c>
      <c r="B76" s="2" t="s">
        <v>19</v>
      </c>
      <c r="C76">
        <v>619.49274000000003</v>
      </c>
      <c r="D76">
        <v>621.36150999999995</v>
      </c>
      <c r="E76">
        <v>593.95708999999999</v>
      </c>
      <c r="F76">
        <v>602.21660999999995</v>
      </c>
      <c r="G76">
        <f>_xlfn.MAXIFS(Crypto[Close],Crypto[Name],Crypto[[#This Row],[Name]],Crypto[Date],"&lt;="&amp;Crypto[[#This Row],[Date]])</f>
        <v>729.40008999999998</v>
      </c>
      <c r="H76" s="3">
        <f>(Crypto[[#This Row],[Close]]/Crypto[[#This Row],[Peak Close]])-1</f>
        <v>-0.17436723924725595</v>
      </c>
      <c r="I76">
        <v>619.48608000000002</v>
      </c>
      <c r="J76" s="1">
        <v>45731</v>
      </c>
      <c r="K76" s="3">
        <v>-2.7877091281857499E-2</v>
      </c>
      <c r="L76">
        <v>1437680152</v>
      </c>
      <c r="M76" s="2" t="s">
        <v>20</v>
      </c>
    </row>
    <row r="77" spans="1:13" x14ac:dyDescent="0.3">
      <c r="A77" s="1">
        <v>45733</v>
      </c>
      <c r="B77" s="2" t="s">
        <v>19</v>
      </c>
      <c r="C77">
        <v>602.20965999999999</v>
      </c>
      <c r="D77">
        <v>643.04034000000001</v>
      </c>
      <c r="E77">
        <v>602.20965999999999</v>
      </c>
      <c r="F77">
        <v>631.36261000000002</v>
      </c>
      <c r="G77">
        <f>_xlfn.MAXIFS(Crypto[Close],Crypto[Name],Crypto[[#This Row],[Name]],Crypto[Date],"&lt;="&amp;Crypto[[#This Row],[Date]])</f>
        <v>729.40008999999998</v>
      </c>
      <c r="H77" s="3">
        <f>(Crypto[[#This Row],[Close]]/Crypto[[#This Row],[Peak Close]])-1</f>
        <v>-0.134408373873384</v>
      </c>
      <c r="I77">
        <v>602.21660999999995</v>
      </c>
      <c r="J77" s="1">
        <v>45732</v>
      </c>
      <c r="K77" s="3">
        <v>4.8397868003009901E-2</v>
      </c>
      <c r="L77">
        <v>2488514984</v>
      </c>
      <c r="M77" s="2" t="s">
        <v>20</v>
      </c>
    </row>
    <row r="78" spans="1:13" x14ac:dyDescent="0.3">
      <c r="A78" s="1">
        <v>45734</v>
      </c>
      <c r="B78" s="2" t="s">
        <v>19</v>
      </c>
      <c r="C78">
        <v>631.34649999999999</v>
      </c>
      <c r="D78">
        <v>642.88886000000002</v>
      </c>
      <c r="E78">
        <v>622.40015000000005</v>
      </c>
      <c r="F78">
        <v>628.13445999999999</v>
      </c>
      <c r="G78">
        <f>_xlfn.MAXIFS(Crypto[Close],Crypto[Name],Crypto[[#This Row],[Name]],Crypto[Date],"&lt;="&amp;Crypto[[#This Row],[Date]])</f>
        <v>729.40008999999998</v>
      </c>
      <c r="H78" s="3">
        <f>(Crypto[[#This Row],[Close]]/Crypto[[#This Row],[Peak Close]])-1</f>
        <v>-0.13883413422666291</v>
      </c>
      <c r="I78">
        <v>631.36261000000002</v>
      </c>
      <c r="J78" s="1">
        <v>45733</v>
      </c>
      <c r="K78" s="3">
        <v>-5.1129888733829603E-3</v>
      </c>
      <c r="L78">
        <v>2175151767</v>
      </c>
      <c r="M78" s="2" t="s">
        <v>20</v>
      </c>
    </row>
    <row r="79" spans="1:13" x14ac:dyDescent="0.3">
      <c r="A79" s="1">
        <v>45735</v>
      </c>
      <c r="B79" s="2" t="s">
        <v>19</v>
      </c>
      <c r="C79">
        <v>628.13445999999999</v>
      </c>
      <c r="D79">
        <v>628.13762999999994</v>
      </c>
      <c r="E79">
        <v>605.61792000000003</v>
      </c>
      <c r="F79">
        <v>619.25751000000002</v>
      </c>
      <c r="G79">
        <f>_xlfn.MAXIFS(Crypto[Close],Crypto[Name],Crypto[[#This Row],[Name]],Crypto[Date],"&lt;="&amp;Crypto[[#This Row],[Date]])</f>
        <v>729.40008999999998</v>
      </c>
      <c r="H79" s="3">
        <f>(Crypto[[#This Row],[Close]]/Crypto[[#This Row],[Peak Close]])-1</f>
        <v>-0.15100434111545002</v>
      </c>
      <c r="I79">
        <v>628.13445999999999</v>
      </c>
      <c r="J79" s="1">
        <v>45734</v>
      </c>
      <c r="K79" s="3">
        <v>-1.41322448699916E-2</v>
      </c>
      <c r="L79">
        <v>2006233746</v>
      </c>
      <c r="M79" s="2" t="s">
        <v>20</v>
      </c>
    </row>
    <row r="80" spans="1:13" x14ac:dyDescent="0.3">
      <c r="A80" s="1">
        <v>45736</v>
      </c>
      <c r="B80" s="2" t="s">
        <v>19</v>
      </c>
      <c r="C80">
        <v>619.25098000000003</v>
      </c>
      <c r="D80">
        <v>637.21636999999998</v>
      </c>
      <c r="E80">
        <v>616.96375</v>
      </c>
      <c r="F80">
        <v>629.94244000000003</v>
      </c>
      <c r="G80">
        <f>_xlfn.MAXIFS(Crypto[Close],Crypto[Name],Crypto[[#This Row],[Name]],Crypto[Date],"&lt;="&amp;Crypto[[#This Row],[Date]])</f>
        <v>729.40008999999998</v>
      </c>
      <c r="H80" s="3">
        <f>(Crypto[[#This Row],[Close]]/Crypto[[#This Row],[Peak Close]])-1</f>
        <v>-0.13635541229505466</v>
      </c>
      <c r="I80">
        <v>619.25751000000002</v>
      </c>
      <c r="J80" s="1">
        <v>45735</v>
      </c>
      <c r="K80" s="3">
        <v>1.7254421347268002E-2</v>
      </c>
      <c r="L80">
        <v>2327219768</v>
      </c>
      <c r="M80" s="2" t="s">
        <v>20</v>
      </c>
    </row>
    <row r="81" spans="1:13" x14ac:dyDescent="0.3">
      <c r="A81" s="1">
        <v>45737</v>
      </c>
      <c r="B81" s="2" t="s">
        <v>19</v>
      </c>
      <c r="C81">
        <v>629.94244000000003</v>
      </c>
      <c r="D81">
        <v>637.19006000000002</v>
      </c>
      <c r="E81">
        <v>625.85706000000005</v>
      </c>
      <c r="F81">
        <v>634.60779000000002</v>
      </c>
      <c r="G81">
        <f>_xlfn.MAXIFS(Crypto[Close],Crypto[Name],Crypto[[#This Row],[Name]],Crypto[Date],"&lt;="&amp;Crypto[[#This Row],[Date]])</f>
        <v>729.40008999999998</v>
      </c>
      <c r="H81" s="3">
        <f>(Crypto[[#This Row],[Close]]/Crypto[[#This Row],[Peak Close]])-1</f>
        <v>-0.12995926556576098</v>
      </c>
      <c r="I81">
        <v>629.94244000000003</v>
      </c>
      <c r="J81" s="1">
        <v>45736</v>
      </c>
      <c r="K81" s="3">
        <v>7.4059941095570396E-3</v>
      </c>
      <c r="L81">
        <v>1472201311</v>
      </c>
      <c r="M81" s="2" t="s">
        <v>20</v>
      </c>
    </row>
    <row r="82" spans="1:13" x14ac:dyDescent="0.3">
      <c r="A82" s="1">
        <v>45738</v>
      </c>
      <c r="B82" s="2" t="s">
        <v>19</v>
      </c>
      <c r="C82">
        <v>634.59698000000003</v>
      </c>
      <c r="D82">
        <v>635.76549999999997</v>
      </c>
      <c r="E82">
        <v>624.19672000000003</v>
      </c>
      <c r="F82">
        <v>626.57439999999997</v>
      </c>
      <c r="G82">
        <f>_xlfn.MAXIFS(Crypto[Close],Crypto[Name],Crypto[[#This Row],[Name]],Crypto[Date],"&lt;="&amp;Crypto[[#This Row],[Date]])</f>
        <v>729.40008999999998</v>
      </c>
      <c r="H82" s="3">
        <f>(Crypto[[#This Row],[Close]]/Crypto[[#This Row],[Peak Close]])-1</f>
        <v>-0.14097296039543949</v>
      </c>
      <c r="I82">
        <v>634.60779000000002</v>
      </c>
      <c r="J82" s="1">
        <v>45737</v>
      </c>
      <c r="K82" s="3">
        <v>-1.26588266431461E-2</v>
      </c>
      <c r="L82">
        <v>1182741851</v>
      </c>
      <c r="M82" s="2" t="s">
        <v>20</v>
      </c>
    </row>
    <row r="83" spans="1:13" x14ac:dyDescent="0.3">
      <c r="A83" s="1">
        <v>45739</v>
      </c>
      <c r="B83" s="2" t="s">
        <v>19</v>
      </c>
      <c r="C83">
        <v>626.57439999999997</v>
      </c>
      <c r="D83">
        <v>628.96564000000001</v>
      </c>
      <c r="E83">
        <v>619.85846000000004</v>
      </c>
      <c r="F83">
        <v>623.34948999999995</v>
      </c>
      <c r="G83">
        <f>_xlfn.MAXIFS(Crypto[Close],Crypto[Name],Crypto[[#This Row],[Name]],Crypto[Date],"&lt;="&amp;Crypto[[#This Row],[Date]])</f>
        <v>729.40008999999998</v>
      </c>
      <c r="H83" s="3">
        <f>(Crypto[[#This Row],[Close]]/Crypto[[#This Row],[Peak Close]])-1</f>
        <v>-0.14539427874213728</v>
      </c>
      <c r="I83">
        <v>626.57439999999997</v>
      </c>
      <c r="J83" s="1">
        <v>45738</v>
      </c>
      <c r="K83" s="3">
        <v>-5.1468907762590096E-3</v>
      </c>
      <c r="L83">
        <v>1222239081</v>
      </c>
      <c r="M83" s="2" t="s">
        <v>20</v>
      </c>
    </row>
    <row r="84" spans="1:13" x14ac:dyDescent="0.3">
      <c r="A84" s="1">
        <v>45740</v>
      </c>
      <c r="B84" s="2" t="s">
        <v>19</v>
      </c>
      <c r="C84">
        <v>623.34948999999995</v>
      </c>
      <c r="D84">
        <v>639.02257999999995</v>
      </c>
      <c r="E84">
        <v>619.05016999999998</v>
      </c>
      <c r="F84">
        <v>636.64453000000003</v>
      </c>
      <c r="G84">
        <f>_xlfn.MAXIFS(Crypto[Close],Crypto[Name],Crypto[[#This Row],[Name]],Crypto[Date],"&lt;="&amp;Crypto[[#This Row],[Date]])</f>
        <v>729.40008999999998</v>
      </c>
      <c r="H84" s="3">
        <f>(Crypto[[#This Row],[Close]]/Crypto[[#This Row],[Peak Close]])-1</f>
        <v>-0.12716691603369557</v>
      </c>
      <c r="I84">
        <v>623.34948999999995</v>
      </c>
      <c r="J84" s="1">
        <v>45739</v>
      </c>
      <c r="K84" s="3">
        <v>2.13283883492069E-2</v>
      </c>
      <c r="L84">
        <v>1788439257</v>
      </c>
      <c r="M84" s="2" t="s">
        <v>20</v>
      </c>
    </row>
    <row r="85" spans="1:13" x14ac:dyDescent="0.3">
      <c r="A85" s="1">
        <v>45741</v>
      </c>
      <c r="B85" s="2" t="s">
        <v>19</v>
      </c>
      <c r="C85">
        <v>636.64495999999997</v>
      </c>
      <c r="D85">
        <v>644.87427000000002</v>
      </c>
      <c r="E85">
        <v>627.44408999999996</v>
      </c>
      <c r="F85">
        <v>629.94286999999997</v>
      </c>
      <c r="G85">
        <f>_xlfn.MAXIFS(Crypto[Close],Crypto[Name],Crypto[[#This Row],[Name]],Crypto[Date],"&lt;="&amp;Crypto[[#This Row],[Date]])</f>
        <v>729.40008999999998</v>
      </c>
      <c r="H85" s="3">
        <f>(Crypto[[#This Row],[Close]]/Crypto[[#This Row],[Peak Close]])-1</f>
        <v>-0.13635482276948996</v>
      </c>
      <c r="I85">
        <v>636.64453000000003</v>
      </c>
      <c r="J85" s="1">
        <v>45740</v>
      </c>
      <c r="K85" s="3">
        <v>-1.05265335429805E-2</v>
      </c>
      <c r="L85">
        <v>2238118522</v>
      </c>
      <c r="M85" s="2" t="s">
        <v>20</v>
      </c>
    </row>
    <row r="86" spans="1:13" x14ac:dyDescent="0.3">
      <c r="A86" s="1">
        <v>45742</v>
      </c>
      <c r="B86" s="2" t="s">
        <v>19</v>
      </c>
      <c r="C86">
        <v>629.94237999999996</v>
      </c>
      <c r="D86">
        <v>634.04767000000004</v>
      </c>
      <c r="E86">
        <v>615.84551999999996</v>
      </c>
      <c r="F86">
        <v>617.81677000000002</v>
      </c>
      <c r="G86">
        <f>_xlfn.MAXIFS(Crypto[Close],Crypto[Name],Crypto[[#This Row],[Name]],Crypto[Date],"&lt;="&amp;Crypto[[#This Row],[Date]])</f>
        <v>729.40008999999998</v>
      </c>
      <c r="H86" s="3">
        <f>(Crypto[[#This Row],[Close]]/Crypto[[#This Row],[Peak Close]])-1</f>
        <v>-0.15297958079495155</v>
      </c>
      <c r="I86">
        <v>629.94286999999997</v>
      </c>
      <c r="J86" s="1">
        <v>45741</v>
      </c>
      <c r="K86" s="3">
        <v>-1.9249523373444901E-2</v>
      </c>
      <c r="L86">
        <v>1600178624</v>
      </c>
      <c r="M86" s="2" t="s">
        <v>20</v>
      </c>
    </row>
    <row r="87" spans="1:13" x14ac:dyDescent="0.3">
      <c r="A87" s="1">
        <v>45743</v>
      </c>
      <c r="B87" s="2" t="s">
        <v>19</v>
      </c>
      <c r="C87">
        <v>617.81677000000002</v>
      </c>
      <c r="D87">
        <v>641.48961999999995</v>
      </c>
      <c r="E87">
        <v>617.67780000000005</v>
      </c>
      <c r="F87">
        <v>637.20696999999996</v>
      </c>
      <c r="G87">
        <f>_xlfn.MAXIFS(Crypto[Close],Crypto[Name],Crypto[[#This Row],[Name]],Crypto[Date],"&lt;="&amp;Crypto[[#This Row],[Date]])</f>
        <v>729.40008999999998</v>
      </c>
      <c r="H87" s="3">
        <f>(Crypto[[#This Row],[Close]]/Crypto[[#This Row],[Peak Close]])-1</f>
        <v>-0.12639581659497745</v>
      </c>
      <c r="I87">
        <v>617.81677000000002</v>
      </c>
      <c r="J87" s="1">
        <v>45742</v>
      </c>
      <c r="K87" s="3">
        <v>3.1385033462267398E-2</v>
      </c>
      <c r="L87">
        <v>2441273622</v>
      </c>
      <c r="M87" s="2" t="s">
        <v>20</v>
      </c>
    </row>
    <row r="88" spans="1:13" x14ac:dyDescent="0.3">
      <c r="A88" s="1">
        <v>45744</v>
      </c>
      <c r="B88" s="2" t="s">
        <v>19</v>
      </c>
      <c r="C88">
        <v>637.20641999999998</v>
      </c>
      <c r="D88">
        <v>637.24188000000004</v>
      </c>
      <c r="E88">
        <v>615.92511000000002</v>
      </c>
      <c r="F88">
        <v>619.47491000000002</v>
      </c>
      <c r="G88">
        <f>_xlfn.MAXIFS(Crypto[Close],Crypto[Name],Crypto[[#This Row],[Name]],Crypto[Date],"&lt;="&amp;Crypto[[#This Row],[Date]])</f>
        <v>729.40008999999998</v>
      </c>
      <c r="H88" s="3">
        <f>(Crypto[[#This Row],[Close]]/Crypto[[#This Row],[Peak Close]])-1</f>
        <v>-0.15070628795782015</v>
      </c>
      <c r="I88">
        <v>637.20696999999996</v>
      </c>
      <c r="J88" s="1">
        <v>45743</v>
      </c>
      <c r="K88" s="3">
        <v>-2.78277872572548E-2</v>
      </c>
      <c r="L88">
        <v>1608298526</v>
      </c>
      <c r="M88" s="2" t="s">
        <v>20</v>
      </c>
    </row>
    <row r="89" spans="1:13" x14ac:dyDescent="0.3">
      <c r="A89" s="1">
        <v>45745</v>
      </c>
      <c r="B89" s="2" t="s">
        <v>19</v>
      </c>
      <c r="C89">
        <v>619.47460999999998</v>
      </c>
      <c r="D89">
        <v>623.2124</v>
      </c>
      <c r="E89">
        <v>598.21880999999996</v>
      </c>
      <c r="F89">
        <v>603.23784999999998</v>
      </c>
      <c r="G89">
        <f>_xlfn.MAXIFS(Crypto[Close],Crypto[Name],Crypto[[#This Row],[Name]],Crypto[Date],"&lt;="&amp;Crypto[[#This Row],[Date]])</f>
        <v>729.40008999999998</v>
      </c>
      <c r="H89" s="3">
        <f>(Crypto[[#This Row],[Close]]/Crypto[[#This Row],[Peak Close]])-1</f>
        <v>-0.17296712974082573</v>
      </c>
      <c r="I89">
        <v>619.47491000000002</v>
      </c>
      <c r="J89" s="1">
        <v>45744</v>
      </c>
      <c r="K89" s="3">
        <v>-2.6211005059107301E-2</v>
      </c>
      <c r="L89">
        <v>1367332800</v>
      </c>
      <c r="M89" s="2" t="s">
        <v>20</v>
      </c>
    </row>
    <row r="90" spans="1:13" x14ac:dyDescent="0.3">
      <c r="A90" s="1">
        <v>45746</v>
      </c>
      <c r="B90" s="2" t="s">
        <v>19</v>
      </c>
      <c r="C90">
        <v>603.19135000000006</v>
      </c>
      <c r="D90">
        <v>612.78936999999996</v>
      </c>
      <c r="E90">
        <v>594.21436000000006</v>
      </c>
      <c r="F90">
        <v>601.83019999999999</v>
      </c>
      <c r="G90">
        <f>_xlfn.MAXIFS(Crypto[Close],Crypto[Name],Crypto[[#This Row],[Name]],Crypto[Date],"&lt;="&amp;Crypto[[#This Row],[Date]])</f>
        <v>729.40008999999998</v>
      </c>
      <c r="H90" s="3">
        <f>(Crypto[[#This Row],[Close]]/Crypto[[#This Row],[Peak Close]])-1</f>
        <v>-0.17489700337163383</v>
      </c>
      <c r="I90">
        <v>603.23784999999998</v>
      </c>
      <c r="J90" s="1">
        <v>45745</v>
      </c>
      <c r="K90" s="3">
        <v>-2.33349084444882E-3</v>
      </c>
      <c r="L90">
        <v>1204098085</v>
      </c>
      <c r="M90" s="2" t="s">
        <v>20</v>
      </c>
    </row>
    <row r="91" spans="1:13" x14ac:dyDescent="0.3">
      <c r="A91" s="1">
        <v>45747</v>
      </c>
      <c r="B91" s="2" t="s">
        <v>19</v>
      </c>
      <c r="C91">
        <v>601.83019999999999</v>
      </c>
      <c r="D91">
        <v>608.50109999999995</v>
      </c>
      <c r="E91">
        <v>588.08618000000001</v>
      </c>
      <c r="F91">
        <v>605.07281</v>
      </c>
      <c r="G91">
        <f>_xlfn.MAXIFS(Crypto[Close],Crypto[Name],Crypto[[#This Row],[Name]],Crypto[Date],"&lt;="&amp;Crypto[[#This Row],[Date]])</f>
        <v>729.40008999999998</v>
      </c>
      <c r="H91" s="3">
        <f>(Crypto[[#This Row],[Close]]/Crypto[[#This Row],[Peak Close]])-1</f>
        <v>-0.17045141850750245</v>
      </c>
      <c r="I91">
        <v>601.83019999999999</v>
      </c>
      <c r="J91" s="1">
        <v>45746</v>
      </c>
      <c r="K91" s="3">
        <v>5.3879150630859202E-3</v>
      </c>
      <c r="L91">
        <v>1538796118</v>
      </c>
      <c r="M91" s="2" t="s">
        <v>20</v>
      </c>
    </row>
    <row r="92" spans="1:13" x14ac:dyDescent="0.3">
      <c r="A92" s="1">
        <v>45748</v>
      </c>
      <c r="B92" s="2" t="s">
        <v>19</v>
      </c>
      <c r="C92">
        <v>605.07281</v>
      </c>
      <c r="D92">
        <v>618.12378000000001</v>
      </c>
      <c r="E92">
        <v>604.75476000000003</v>
      </c>
      <c r="F92">
        <v>611.29711999999995</v>
      </c>
      <c r="G92">
        <f>_xlfn.MAXIFS(Crypto[Close],Crypto[Name],Crypto[[#This Row],[Name]],Crypto[Date],"&lt;="&amp;Crypto[[#This Row],[Date]])</f>
        <v>729.40008999999998</v>
      </c>
      <c r="H92" s="3">
        <f>(Crypto[[#This Row],[Close]]/Crypto[[#This Row],[Peak Close]])-1</f>
        <v>-0.16191795369808637</v>
      </c>
      <c r="I92">
        <v>605.07281</v>
      </c>
      <c r="J92" s="1">
        <v>45747</v>
      </c>
      <c r="K92" s="3">
        <v>1.02868777065027E-2</v>
      </c>
      <c r="L92">
        <v>2091803391</v>
      </c>
      <c r="M92" s="2" t="s">
        <v>20</v>
      </c>
    </row>
    <row r="93" spans="1:13" x14ac:dyDescent="0.3">
      <c r="A93" s="1">
        <v>45749</v>
      </c>
      <c r="B93" s="2" t="s">
        <v>19</v>
      </c>
      <c r="C93">
        <v>611.29711999999995</v>
      </c>
      <c r="D93">
        <v>611.51819</v>
      </c>
      <c r="E93">
        <v>585.12189000000001</v>
      </c>
      <c r="F93">
        <v>590.63756999999998</v>
      </c>
      <c r="G93">
        <f>_xlfn.MAXIFS(Crypto[Close],Crypto[Name],Crypto[[#This Row],[Name]],Crypto[Date],"&lt;="&amp;Crypto[[#This Row],[Date]])</f>
        <v>729.40008999999998</v>
      </c>
      <c r="H93" s="3">
        <f>(Crypto[[#This Row],[Close]]/Crypto[[#This Row],[Peak Close]])-1</f>
        <v>-0.1902419836553626</v>
      </c>
      <c r="I93">
        <v>611.29711999999995</v>
      </c>
      <c r="J93" s="1">
        <v>45748</v>
      </c>
      <c r="K93" s="3">
        <v>-3.3796249522654302E-2</v>
      </c>
      <c r="L93">
        <v>1835749587</v>
      </c>
      <c r="M93" s="2" t="s">
        <v>20</v>
      </c>
    </row>
    <row r="94" spans="1:13" x14ac:dyDescent="0.3">
      <c r="A94" s="1">
        <v>45750</v>
      </c>
      <c r="B94" s="2" t="s">
        <v>19</v>
      </c>
      <c r="C94">
        <v>590.63756999999998</v>
      </c>
      <c r="D94">
        <v>609.34466999999995</v>
      </c>
      <c r="E94">
        <v>579.44408999999996</v>
      </c>
      <c r="F94">
        <v>592.12445000000002</v>
      </c>
      <c r="G94">
        <f>_xlfn.MAXIFS(Crypto[Close],Crypto[Name],Crypto[[#This Row],[Name]],Crypto[Date],"&lt;="&amp;Crypto[[#This Row],[Date]])</f>
        <v>729.40008999999998</v>
      </c>
      <c r="H94" s="3">
        <f>(Crypto[[#This Row],[Close]]/Crypto[[#This Row],[Peak Close]])-1</f>
        <v>-0.18820348651177154</v>
      </c>
      <c r="I94">
        <v>590.63756999999998</v>
      </c>
      <c r="J94" s="1">
        <v>45749</v>
      </c>
      <c r="K94" s="3">
        <v>2.5174152060798301E-3</v>
      </c>
      <c r="L94">
        <v>2067033502</v>
      </c>
      <c r="M94" s="2" t="s">
        <v>20</v>
      </c>
    </row>
    <row r="95" spans="1:13" x14ac:dyDescent="0.3">
      <c r="A95" s="1">
        <v>45751</v>
      </c>
      <c r="B95" s="2" t="s">
        <v>19</v>
      </c>
      <c r="C95">
        <v>592.12372000000005</v>
      </c>
      <c r="D95">
        <v>599.47986000000003</v>
      </c>
      <c r="E95">
        <v>585.35393999999997</v>
      </c>
      <c r="F95">
        <v>597.57941000000005</v>
      </c>
      <c r="G95">
        <f>_xlfn.MAXIFS(Crypto[Close],Crypto[Name],Crypto[[#This Row],[Name]],Crypto[Date],"&lt;="&amp;Crypto[[#This Row],[Date]])</f>
        <v>729.40008999999998</v>
      </c>
      <c r="H95" s="3">
        <f>(Crypto[[#This Row],[Close]]/Crypto[[#This Row],[Peak Close]])-1</f>
        <v>-0.18072479261690233</v>
      </c>
      <c r="I95">
        <v>592.12445000000002</v>
      </c>
      <c r="J95" s="1">
        <v>45750</v>
      </c>
      <c r="K95" s="3">
        <v>9.2125228066499004E-3</v>
      </c>
      <c r="L95">
        <v>1520730677</v>
      </c>
      <c r="M95" s="2" t="s">
        <v>20</v>
      </c>
    </row>
    <row r="96" spans="1:13" x14ac:dyDescent="0.3">
      <c r="A96" s="1">
        <v>45752</v>
      </c>
      <c r="B96" s="2" t="s">
        <v>19</v>
      </c>
      <c r="C96">
        <v>597.57928000000004</v>
      </c>
      <c r="D96">
        <v>598.54633000000001</v>
      </c>
      <c r="E96">
        <v>589.93298000000004</v>
      </c>
      <c r="F96">
        <v>593.11487</v>
      </c>
      <c r="G96">
        <f>_xlfn.MAXIFS(Crypto[Close],Crypto[Name],Crypto[[#This Row],[Name]],Crypto[Date],"&lt;="&amp;Crypto[[#This Row],[Date]])</f>
        <v>729.40008999999998</v>
      </c>
      <c r="H96" s="3">
        <f>(Crypto[[#This Row],[Close]]/Crypto[[#This Row],[Peak Close]])-1</f>
        <v>-0.18684563090744888</v>
      </c>
      <c r="I96">
        <v>597.57941000000005</v>
      </c>
      <c r="J96" s="1">
        <v>45751</v>
      </c>
      <c r="K96" s="3">
        <v>-7.4710405433816001E-3</v>
      </c>
      <c r="L96">
        <v>1008300251</v>
      </c>
      <c r="M96" s="2" t="s">
        <v>20</v>
      </c>
    </row>
    <row r="97" spans="1:13" x14ac:dyDescent="0.3">
      <c r="A97" s="1">
        <v>45753</v>
      </c>
      <c r="B97" s="2" t="s">
        <v>19</v>
      </c>
      <c r="C97">
        <v>593.13878999999997</v>
      </c>
      <c r="D97">
        <v>593.46149000000003</v>
      </c>
      <c r="E97">
        <v>545.32268999999997</v>
      </c>
      <c r="F97">
        <v>554.59491000000003</v>
      </c>
      <c r="G97">
        <f>_xlfn.MAXIFS(Crypto[Close],Crypto[Name],Crypto[[#This Row],[Name]],Crypto[Date],"&lt;="&amp;Crypto[[#This Row],[Date]])</f>
        <v>729.40008999999998</v>
      </c>
      <c r="H97" s="3">
        <f>(Crypto[[#This Row],[Close]]/Crypto[[#This Row],[Peak Close]])-1</f>
        <v>-0.23965609875370308</v>
      </c>
      <c r="I97">
        <v>593.11487</v>
      </c>
      <c r="J97" s="1">
        <v>45752</v>
      </c>
      <c r="K97" s="3">
        <v>-6.4945193500206805E-2</v>
      </c>
      <c r="L97">
        <v>1679604717</v>
      </c>
      <c r="M97" s="2" t="s">
        <v>20</v>
      </c>
    </row>
    <row r="98" spans="1:13" x14ac:dyDescent="0.3">
      <c r="A98" s="1">
        <v>45754</v>
      </c>
      <c r="B98" s="2" t="s">
        <v>19</v>
      </c>
      <c r="C98">
        <v>554.59491000000003</v>
      </c>
      <c r="D98">
        <v>564.79241999999999</v>
      </c>
      <c r="E98">
        <v>522.71576000000005</v>
      </c>
      <c r="F98">
        <v>554.48339999999996</v>
      </c>
      <c r="G98">
        <f>_xlfn.MAXIFS(Crypto[Close],Crypto[Name],Crypto[[#This Row],[Name]],Crypto[Date],"&lt;="&amp;Crypto[[#This Row],[Date]])</f>
        <v>729.40008999999998</v>
      </c>
      <c r="H98" s="3">
        <f>(Crypto[[#This Row],[Close]]/Crypto[[#This Row],[Peak Close]])-1</f>
        <v>-0.23980897781353439</v>
      </c>
      <c r="I98">
        <v>554.59491000000003</v>
      </c>
      <c r="J98" s="1">
        <v>45753</v>
      </c>
      <c r="K98" s="3">
        <v>-2.0106567512504999E-4</v>
      </c>
      <c r="L98">
        <v>2852045942</v>
      </c>
      <c r="M98" s="2" t="s">
        <v>20</v>
      </c>
    </row>
    <row r="99" spans="1:13" x14ac:dyDescent="0.3">
      <c r="A99" s="1">
        <v>45755</v>
      </c>
      <c r="B99" s="2" t="s">
        <v>19</v>
      </c>
      <c r="C99">
        <v>554.48590000000002</v>
      </c>
      <c r="D99">
        <v>564.93822999999998</v>
      </c>
      <c r="E99">
        <v>548.14124000000004</v>
      </c>
      <c r="F99">
        <v>553.46740999999997</v>
      </c>
      <c r="G99">
        <f>_xlfn.MAXIFS(Crypto[Close],Crypto[Name],Crypto[[#This Row],[Name]],Crypto[Date],"&lt;="&amp;Crypto[[#This Row],[Date]])</f>
        <v>729.40008999999998</v>
      </c>
      <c r="H99" s="3">
        <f>(Crypto[[#This Row],[Close]]/Crypto[[#This Row],[Peak Close]])-1</f>
        <v>-0.2412018896241156</v>
      </c>
      <c r="I99">
        <v>554.48339999999996</v>
      </c>
      <c r="J99" s="1">
        <v>45754</v>
      </c>
      <c r="K99" s="3">
        <v>-1.8323181541593299E-3</v>
      </c>
      <c r="L99">
        <v>1676208165</v>
      </c>
      <c r="M99" s="2" t="s">
        <v>20</v>
      </c>
    </row>
    <row r="100" spans="1:13" x14ac:dyDescent="0.3">
      <c r="A100" s="1">
        <v>45756</v>
      </c>
      <c r="B100" s="2" t="s">
        <v>19</v>
      </c>
      <c r="C100">
        <v>553.46740999999997</v>
      </c>
      <c r="D100">
        <v>585.6037</v>
      </c>
      <c r="E100">
        <v>534.88054999999997</v>
      </c>
      <c r="F100">
        <v>582.36932000000002</v>
      </c>
      <c r="G100">
        <f>_xlfn.MAXIFS(Crypto[Close],Crypto[Name],Crypto[[#This Row],[Name]],Crypto[Date],"&lt;="&amp;Crypto[[#This Row],[Date]])</f>
        <v>729.40008999999998</v>
      </c>
      <c r="H100" s="3">
        <f>(Crypto[[#This Row],[Close]]/Crypto[[#This Row],[Peak Close]])-1</f>
        <v>-0.20157766912257991</v>
      </c>
      <c r="I100">
        <v>553.46740999999997</v>
      </c>
      <c r="J100" s="1">
        <v>45755</v>
      </c>
      <c r="K100" s="3">
        <v>5.2219714255623599E-2</v>
      </c>
      <c r="L100">
        <v>1963610005</v>
      </c>
      <c r="M100" s="2" t="s">
        <v>20</v>
      </c>
    </row>
    <row r="101" spans="1:13" x14ac:dyDescent="0.3">
      <c r="A101" s="1">
        <v>45757</v>
      </c>
      <c r="B101" s="2" t="s">
        <v>19</v>
      </c>
      <c r="C101">
        <v>582.37816999999995</v>
      </c>
      <c r="D101">
        <v>582.39075000000003</v>
      </c>
      <c r="E101">
        <v>567.22009000000003</v>
      </c>
      <c r="F101">
        <v>577.40593999999999</v>
      </c>
      <c r="G101">
        <f>_xlfn.MAXIFS(Crypto[Close],Crypto[Name],Crypto[[#This Row],[Name]],Crypto[Date],"&lt;="&amp;Crypto[[#This Row],[Date]])</f>
        <v>729.40008999999998</v>
      </c>
      <c r="H101" s="3">
        <f>(Crypto[[#This Row],[Close]]/Crypto[[#This Row],[Peak Close]])-1</f>
        <v>-0.20838241190784612</v>
      </c>
      <c r="I101">
        <v>582.36932000000002</v>
      </c>
      <c r="J101" s="1">
        <v>45756</v>
      </c>
      <c r="K101" s="3">
        <v>-8.5227360534720995E-3</v>
      </c>
      <c r="L101">
        <v>1731740429</v>
      </c>
      <c r="M101" s="2" t="s">
        <v>20</v>
      </c>
    </row>
    <row r="102" spans="1:13" x14ac:dyDescent="0.3">
      <c r="A102" s="1">
        <v>45758</v>
      </c>
      <c r="B102" s="2" t="s">
        <v>19</v>
      </c>
      <c r="C102">
        <v>577.40593999999999</v>
      </c>
      <c r="D102">
        <v>589.85852</v>
      </c>
      <c r="E102">
        <v>575.75725999999997</v>
      </c>
      <c r="F102">
        <v>586.08898999999997</v>
      </c>
      <c r="G102">
        <f>_xlfn.MAXIFS(Crypto[Close],Crypto[Name],Crypto[[#This Row],[Name]],Crypto[Date],"&lt;="&amp;Crypto[[#This Row],[Date]])</f>
        <v>729.40008999999998</v>
      </c>
      <c r="H102" s="3">
        <f>(Crypto[[#This Row],[Close]]/Crypto[[#This Row],[Peak Close]])-1</f>
        <v>-0.19647803991907931</v>
      </c>
      <c r="I102">
        <v>577.40593999999999</v>
      </c>
      <c r="J102" s="1">
        <v>45757</v>
      </c>
      <c r="K102" s="3">
        <v>1.50380337271902E-2</v>
      </c>
      <c r="L102">
        <v>1369541748</v>
      </c>
      <c r="M102" s="2" t="s">
        <v>20</v>
      </c>
    </row>
    <row r="103" spans="1:13" x14ac:dyDescent="0.3">
      <c r="A103" s="1">
        <v>45759</v>
      </c>
      <c r="B103" s="2" t="s">
        <v>19</v>
      </c>
      <c r="C103">
        <v>586.08898999999997</v>
      </c>
      <c r="D103">
        <v>600.05591000000004</v>
      </c>
      <c r="E103">
        <v>583.97949000000006</v>
      </c>
      <c r="F103">
        <v>597.12305000000003</v>
      </c>
      <c r="G103">
        <f>_xlfn.MAXIFS(Crypto[Close],Crypto[Name],Crypto[[#This Row],[Name]],Crypto[Date],"&lt;="&amp;Crypto[[#This Row],[Date]])</f>
        <v>729.40008999999998</v>
      </c>
      <c r="H103" s="3">
        <f>(Crypto[[#This Row],[Close]]/Crypto[[#This Row],[Peak Close]])-1</f>
        <v>-0.18135045746978173</v>
      </c>
      <c r="I103">
        <v>586.08898999999997</v>
      </c>
      <c r="J103" s="1">
        <v>45758</v>
      </c>
      <c r="K103" s="3">
        <v>1.88265949169256E-2</v>
      </c>
      <c r="L103">
        <v>1331878416</v>
      </c>
      <c r="M103" s="2" t="s">
        <v>20</v>
      </c>
    </row>
    <row r="104" spans="1:13" x14ac:dyDescent="0.3">
      <c r="A104" s="1">
        <v>45760</v>
      </c>
      <c r="B104" s="2" t="s">
        <v>19</v>
      </c>
      <c r="C104">
        <v>597.12323000000004</v>
      </c>
      <c r="D104">
        <v>597.50995</v>
      </c>
      <c r="E104">
        <v>580.82446000000004</v>
      </c>
      <c r="F104">
        <v>584.04247999999995</v>
      </c>
      <c r="G104">
        <f>_xlfn.MAXIFS(Crypto[Close],Crypto[Name],Crypto[[#This Row],[Name]],Crypto[Date],"&lt;="&amp;Crypto[[#This Row],[Date]])</f>
        <v>729.40008999999998</v>
      </c>
      <c r="H104" s="3">
        <f>(Crypto[[#This Row],[Close]]/Crypto[[#This Row],[Peak Close]])-1</f>
        <v>-0.19928378402037217</v>
      </c>
      <c r="I104">
        <v>597.12305000000003</v>
      </c>
      <c r="J104" s="1">
        <v>45759</v>
      </c>
      <c r="K104" s="3">
        <v>-2.1905987384007501E-2</v>
      </c>
      <c r="L104">
        <v>1318461096</v>
      </c>
      <c r="M104" s="2" t="s">
        <v>20</v>
      </c>
    </row>
    <row r="105" spans="1:13" x14ac:dyDescent="0.3">
      <c r="A105" s="1">
        <v>45761</v>
      </c>
      <c r="B105" s="2" t="s">
        <v>19</v>
      </c>
      <c r="C105">
        <v>584.04247999999995</v>
      </c>
      <c r="D105">
        <v>592.56439</v>
      </c>
      <c r="E105">
        <v>583.39702999999997</v>
      </c>
      <c r="F105">
        <v>584.33520999999996</v>
      </c>
      <c r="G105">
        <f>_xlfn.MAXIFS(Crypto[Close],Crypto[Name],Crypto[[#This Row],[Name]],Crypto[Date],"&lt;="&amp;Crypto[[#This Row],[Date]])</f>
        <v>729.40008999999998</v>
      </c>
      <c r="H105" s="3">
        <f>(Crypto[[#This Row],[Close]]/Crypto[[#This Row],[Peak Close]])-1</f>
        <v>-0.19888245420973283</v>
      </c>
      <c r="I105">
        <v>584.04247999999995</v>
      </c>
      <c r="J105" s="1">
        <v>45760</v>
      </c>
      <c r="K105" s="3">
        <v>5.0121354186429402E-4</v>
      </c>
      <c r="L105">
        <v>1359554984</v>
      </c>
      <c r="M105" s="2" t="s">
        <v>20</v>
      </c>
    </row>
    <row r="106" spans="1:13" x14ac:dyDescent="0.3">
      <c r="A106" s="1">
        <v>45762</v>
      </c>
      <c r="B106" s="2" t="s">
        <v>19</v>
      </c>
      <c r="C106">
        <v>584.33465999999999</v>
      </c>
      <c r="D106">
        <v>590.51568999999995</v>
      </c>
      <c r="E106">
        <v>579.64008000000001</v>
      </c>
      <c r="F106">
        <v>579.68604000000005</v>
      </c>
      <c r="G106">
        <f>_xlfn.MAXIFS(Crypto[Close],Crypto[Name],Crypto[[#This Row],[Name]],Crypto[Date],"&lt;="&amp;Crypto[[#This Row],[Date]])</f>
        <v>729.40008999999998</v>
      </c>
      <c r="H106" s="3">
        <f>(Crypto[[#This Row],[Close]]/Crypto[[#This Row],[Peak Close]])-1</f>
        <v>-0.20525641832591479</v>
      </c>
      <c r="I106">
        <v>584.33520999999996</v>
      </c>
      <c r="J106" s="1">
        <v>45761</v>
      </c>
      <c r="K106" s="3">
        <v>-7.9563406764413796E-3</v>
      </c>
      <c r="L106">
        <v>1329270099</v>
      </c>
      <c r="M106" s="2" t="s">
        <v>20</v>
      </c>
    </row>
    <row r="107" spans="1:13" x14ac:dyDescent="0.3">
      <c r="A107" s="1">
        <v>45763</v>
      </c>
      <c r="B107" s="2" t="s">
        <v>19</v>
      </c>
      <c r="C107">
        <v>579.68610000000001</v>
      </c>
      <c r="D107">
        <v>585.41083000000003</v>
      </c>
      <c r="E107">
        <v>576.45923000000005</v>
      </c>
      <c r="F107">
        <v>582.80620999999996</v>
      </c>
      <c r="G107">
        <f>_xlfn.MAXIFS(Crypto[Close],Crypto[Name],Crypto[[#This Row],[Name]],Crypto[Date],"&lt;="&amp;Crypto[[#This Row],[Date]])</f>
        <v>729.40008999999998</v>
      </c>
      <c r="H107" s="3">
        <f>(Crypto[[#This Row],[Close]]/Crypto[[#This Row],[Peak Close]])-1</f>
        <v>-0.20097869743887753</v>
      </c>
      <c r="I107">
        <v>579.68604000000005</v>
      </c>
      <c r="J107" s="1">
        <v>45762</v>
      </c>
      <c r="K107" s="3">
        <v>5.38251706044174E-3</v>
      </c>
      <c r="L107">
        <v>1435912484</v>
      </c>
      <c r="M107" s="2" t="s">
        <v>20</v>
      </c>
    </row>
    <row r="108" spans="1:13" x14ac:dyDescent="0.3">
      <c r="A108" s="1">
        <v>45764</v>
      </c>
      <c r="B108" s="2" t="s">
        <v>19</v>
      </c>
      <c r="C108">
        <v>582.80620999999996</v>
      </c>
      <c r="D108">
        <v>592.85931000000005</v>
      </c>
      <c r="E108">
        <v>581.20385999999996</v>
      </c>
      <c r="F108">
        <v>590.16216999999995</v>
      </c>
      <c r="G108">
        <f>_xlfn.MAXIFS(Crypto[Close],Crypto[Name],Crypto[[#This Row],[Name]],Crypto[Date],"&lt;="&amp;Crypto[[#This Row],[Date]])</f>
        <v>729.40008999999998</v>
      </c>
      <c r="H108" s="3">
        <f>(Crypto[[#This Row],[Close]]/Crypto[[#This Row],[Peak Close]])-1</f>
        <v>-0.190893752151854</v>
      </c>
      <c r="I108">
        <v>582.80620999999996</v>
      </c>
      <c r="J108" s="1">
        <v>45763</v>
      </c>
      <c r="K108" s="3">
        <v>1.2621622545854401E-2</v>
      </c>
      <c r="L108">
        <v>1401643770</v>
      </c>
      <c r="M108" s="2" t="s">
        <v>20</v>
      </c>
    </row>
    <row r="109" spans="1:13" x14ac:dyDescent="0.3">
      <c r="A109" s="1">
        <v>45765</v>
      </c>
      <c r="B109" s="2" t="s">
        <v>19</v>
      </c>
      <c r="C109">
        <v>590.16216999999995</v>
      </c>
      <c r="D109">
        <v>595.76635999999996</v>
      </c>
      <c r="E109">
        <v>587.26611000000003</v>
      </c>
      <c r="F109">
        <v>591.76386000000002</v>
      </c>
      <c r="G109">
        <f>_xlfn.MAXIFS(Crypto[Close],Crypto[Name],Crypto[[#This Row],[Name]],Crypto[Date],"&lt;="&amp;Crypto[[#This Row],[Date]])</f>
        <v>729.40008999999998</v>
      </c>
      <c r="H109" s="3">
        <f>(Crypto[[#This Row],[Close]]/Crypto[[#This Row],[Peak Close]])-1</f>
        <v>-0.18869785168246955</v>
      </c>
      <c r="I109">
        <v>590.16216999999995</v>
      </c>
      <c r="J109" s="1">
        <v>45764</v>
      </c>
      <c r="K109" s="3">
        <v>2.7139828362771502E-3</v>
      </c>
      <c r="L109">
        <v>1418376835</v>
      </c>
      <c r="M109" s="2" t="s">
        <v>20</v>
      </c>
    </row>
    <row r="110" spans="1:13" x14ac:dyDescent="0.3">
      <c r="A110" s="1">
        <v>45766</v>
      </c>
      <c r="B110" s="2" t="s">
        <v>19</v>
      </c>
      <c r="C110">
        <v>591.76386000000002</v>
      </c>
      <c r="D110">
        <v>594.14215000000002</v>
      </c>
      <c r="E110">
        <v>587.97637999999995</v>
      </c>
      <c r="F110">
        <v>591.77679000000001</v>
      </c>
      <c r="G110">
        <f>_xlfn.MAXIFS(Crypto[Close],Crypto[Name],Crypto[[#This Row],[Name]],Crypto[Date],"&lt;="&amp;Crypto[[#This Row],[Date]])</f>
        <v>729.40008999999998</v>
      </c>
      <c r="H110" s="3">
        <f>(Crypto[[#This Row],[Close]]/Crypto[[#This Row],[Peak Close]])-1</f>
        <v>-0.18868012478583596</v>
      </c>
      <c r="I110">
        <v>591.76386000000002</v>
      </c>
      <c r="J110" s="1">
        <v>45765</v>
      </c>
      <c r="K110" s="3">
        <v>2.18499318291979E-5</v>
      </c>
      <c r="L110">
        <v>1227124904</v>
      </c>
      <c r="M110" s="2" t="s">
        <v>20</v>
      </c>
    </row>
    <row r="111" spans="1:13" x14ac:dyDescent="0.3">
      <c r="A111" s="1">
        <v>45767</v>
      </c>
      <c r="B111" s="2" t="s">
        <v>19</v>
      </c>
      <c r="C111">
        <v>591.77679000000001</v>
      </c>
      <c r="D111">
        <v>595.15410999999995</v>
      </c>
      <c r="E111">
        <v>587.76538000000005</v>
      </c>
      <c r="F111">
        <v>592.97240999999997</v>
      </c>
      <c r="G111">
        <f>_xlfn.MAXIFS(Crypto[Close],Crypto[Name],Crypto[[#This Row],[Name]],Crypto[Date],"&lt;="&amp;Crypto[[#This Row],[Date]])</f>
        <v>729.40008999999998</v>
      </c>
      <c r="H111" s="3">
        <f>(Crypto[[#This Row],[Close]]/Crypto[[#This Row],[Peak Close]])-1</f>
        <v>-0.18704094209804667</v>
      </c>
      <c r="I111">
        <v>591.77679000000001</v>
      </c>
      <c r="J111" s="1">
        <v>45766</v>
      </c>
      <c r="K111" s="3">
        <v>2.0203901541998E-3</v>
      </c>
      <c r="L111">
        <v>1307477245</v>
      </c>
      <c r="M111" s="2" t="s">
        <v>20</v>
      </c>
    </row>
    <row r="112" spans="1:13" x14ac:dyDescent="0.3">
      <c r="A112" s="1">
        <v>45768</v>
      </c>
      <c r="B112" s="2" t="s">
        <v>19</v>
      </c>
      <c r="C112">
        <v>592.97240999999997</v>
      </c>
      <c r="D112">
        <v>607.82024999999999</v>
      </c>
      <c r="E112">
        <v>592.67615000000001</v>
      </c>
      <c r="F112">
        <v>597.41417999999999</v>
      </c>
      <c r="G112">
        <f>_xlfn.MAXIFS(Crypto[Close],Crypto[Name],Crypto[[#This Row],[Name]],Crypto[Date],"&lt;="&amp;Crypto[[#This Row],[Date]])</f>
        <v>729.40008999999998</v>
      </c>
      <c r="H112" s="3">
        <f>(Crypto[[#This Row],[Close]]/Crypto[[#This Row],[Peak Close]])-1</f>
        <v>-0.18095132124263924</v>
      </c>
      <c r="I112">
        <v>592.97240999999997</v>
      </c>
      <c r="J112" s="1">
        <v>45767</v>
      </c>
      <c r="K112" s="3">
        <v>7.4906857808106396E-3</v>
      </c>
      <c r="L112">
        <v>1430343137</v>
      </c>
      <c r="M112" s="2" t="s">
        <v>20</v>
      </c>
    </row>
    <row r="113" spans="1:13" x14ac:dyDescent="0.3">
      <c r="A113" s="1">
        <v>45769</v>
      </c>
      <c r="B113" s="2" t="s">
        <v>19</v>
      </c>
      <c r="C113">
        <v>597.41718000000003</v>
      </c>
      <c r="D113">
        <v>618.99005</v>
      </c>
      <c r="E113">
        <v>595.88098000000002</v>
      </c>
      <c r="F113">
        <v>618.82696999999996</v>
      </c>
      <c r="G113">
        <f>_xlfn.MAXIFS(Crypto[Close],Crypto[Name],Crypto[[#This Row],[Name]],Crypto[Date],"&lt;="&amp;Crypto[[#This Row],[Date]])</f>
        <v>729.40008999999998</v>
      </c>
      <c r="H113" s="3">
        <f>(Crypto[[#This Row],[Close]]/Crypto[[#This Row],[Peak Close]])-1</f>
        <v>-0.15159460701464955</v>
      </c>
      <c r="I113">
        <v>597.41417999999999</v>
      </c>
      <c r="J113" s="1">
        <v>45768</v>
      </c>
      <c r="K113" s="3">
        <v>3.5842453555421101E-2</v>
      </c>
      <c r="L113">
        <v>1734142941</v>
      </c>
      <c r="M113" s="2" t="s">
        <v>20</v>
      </c>
    </row>
    <row r="114" spans="1:13" x14ac:dyDescent="0.3">
      <c r="A114" s="1">
        <v>45770</v>
      </c>
      <c r="B114" s="2" t="s">
        <v>19</v>
      </c>
      <c r="C114">
        <v>618.82696999999996</v>
      </c>
      <c r="D114">
        <v>619.86248999999998</v>
      </c>
      <c r="E114">
        <v>601.95416</v>
      </c>
      <c r="F114">
        <v>605.81500000000005</v>
      </c>
      <c r="G114">
        <f>_xlfn.MAXIFS(Crypto[Close],Crypto[Name],Crypto[[#This Row],[Name]],Crypto[Date],"&lt;="&amp;Crypto[[#This Row],[Date]])</f>
        <v>729.40008999999998</v>
      </c>
      <c r="H114" s="3">
        <f>(Crypto[[#This Row],[Close]]/Crypto[[#This Row],[Peak Close]])-1</f>
        <v>-0.16943388367281387</v>
      </c>
      <c r="I114">
        <v>618.82696999999996</v>
      </c>
      <c r="J114" s="1">
        <v>45769</v>
      </c>
      <c r="K114" s="3">
        <v>-2.1026830811850201E-2</v>
      </c>
      <c r="L114">
        <v>1834047719</v>
      </c>
      <c r="M114" s="2" t="s">
        <v>20</v>
      </c>
    </row>
    <row r="115" spans="1:13" x14ac:dyDescent="0.3">
      <c r="A115" s="1">
        <v>45771</v>
      </c>
      <c r="B115" s="2" t="s">
        <v>19</v>
      </c>
      <c r="C115">
        <v>605.81500000000005</v>
      </c>
      <c r="D115">
        <v>606.74432000000002</v>
      </c>
      <c r="E115">
        <v>594.39508000000001</v>
      </c>
      <c r="F115">
        <v>601.71582000000001</v>
      </c>
      <c r="G115">
        <f>_xlfn.MAXIFS(Crypto[Close],Crypto[Name],Crypto[[#This Row],[Name]],Crypto[Date],"&lt;="&amp;Crypto[[#This Row],[Date]])</f>
        <v>729.40008999999998</v>
      </c>
      <c r="H115" s="3">
        <f>(Crypto[[#This Row],[Close]]/Crypto[[#This Row],[Peak Close]])-1</f>
        <v>-0.17505381717186241</v>
      </c>
      <c r="I115">
        <v>605.81500000000005</v>
      </c>
      <c r="J115" s="1">
        <v>45770</v>
      </c>
      <c r="K115" s="3">
        <v>-6.7663890791744103E-3</v>
      </c>
      <c r="L115">
        <v>1573943361</v>
      </c>
      <c r="M115" s="2" t="s">
        <v>20</v>
      </c>
    </row>
    <row r="116" spans="1:13" x14ac:dyDescent="0.3">
      <c r="A116" s="1">
        <v>45772</v>
      </c>
      <c r="B116" s="2" t="s">
        <v>19</v>
      </c>
      <c r="C116">
        <v>601.71527000000003</v>
      </c>
      <c r="D116">
        <v>610.17962999999997</v>
      </c>
      <c r="E116">
        <v>597.77031999999997</v>
      </c>
      <c r="F116">
        <v>600.18102999999996</v>
      </c>
      <c r="G116">
        <f>_xlfn.MAXIFS(Crypto[Close],Crypto[Name],Crypto[[#This Row],[Name]],Crypto[Date],"&lt;="&amp;Crypto[[#This Row],[Date]])</f>
        <v>729.40008999999998</v>
      </c>
      <c r="H116" s="3">
        <f>(Crypto[[#This Row],[Close]]/Crypto[[#This Row],[Peak Close]])-1</f>
        <v>-0.17715799843128621</v>
      </c>
      <c r="I116">
        <v>601.71582000000001</v>
      </c>
      <c r="J116" s="1">
        <v>45771</v>
      </c>
      <c r="K116" s="3">
        <v>-2.55068912763511E-3</v>
      </c>
      <c r="L116">
        <v>1735398071</v>
      </c>
      <c r="M116" s="2" t="s">
        <v>20</v>
      </c>
    </row>
    <row r="117" spans="1:13" x14ac:dyDescent="0.3">
      <c r="A117" s="1">
        <v>45773</v>
      </c>
      <c r="B117" s="2" t="s">
        <v>19</v>
      </c>
      <c r="C117">
        <v>600.19188999999994</v>
      </c>
      <c r="D117">
        <v>609.13611000000003</v>
      </c>
      <c r="E117">
        <v>600.08820000000003</v>
      </c>
      <c r="F117">
        <v>607.70410000000004</v>
      </c>
      <c r="G117">
        <f>_xlfn.MAXIFS(Crypto[Close],Crypto[Name],Crypto[[#This Row],[Name]],Crypto[Date],"&lt;="&amp;Crypto[[#This Row],[Date]])</f>
        <v>729.40008999999998</v>
      </c>
      <c r="H117" s="3">
        <f>(Crypto[[#This Row],[Close]]/Crypto[[#This Row],[Peak Close]])-1</f>
        <v>-0.16684394705791705</v>
      </c>
      <c r="I117">
        <v>600.18102999999996</v>
      </c>
      <c r="J117" s="1">
        <v>45772</v>
      </c>
      <c r="K117" s="3">
        <v>1.2534668081728701E-2</v>
      </c>
      <c r="L117">
        <v>1507509250</v>
      </c>
      <c r="M117" s="2" t="s">
        <v>20</v>
      </c>
    </row>
    <row r="118" spans="1:13" x14ac:dyDescent="0.3">
      <c r="A118" s="1">
        <v>45774</v>
      </c>
      <c r="B118" s="2" t="s">
        <v>19</v>
      </c>
      <c r="C118">
        <v>607.70410000000004</v>
      </c>
      <c r="D118">
        <v>608.58294999999998</v>
      </c>
      <c r="E118">
        <v>597.93499999999995</v>
      </c>
      <c r="F118">
        <v>603.61847</v>
      </c>
      <c r="G118">
        <f>_xlfn.MAXIFS(Crypto[Close],Crypto[Name],Crypto[[#This Row],[Name]],Crypto[Date],"&lt;="&amp;Crypto[[#This Row],[Date]])</f>
        <v>729.40008999999998</v>
      </c>
      <c r="H118" s="3">
        <f>(Crypto[[#This Row],[Close]]/Crypto[[#This Row],[Peak Close]])-1</f>
        <v>-0.17244530364672694</v>
      </c>
      <c r="I118">
        <v>607.70410000000004</v>
      </c>
      <c r="J118" s="1">
        <v>45773</v>
      </c>
      <c r="K118" s="3">
        <v>-6.7230581462261602E-3</v>
      </c>
      <c r="L118">
        <v>1452152303</v>
      </c>
      <c r="M118" s="2" t="s">
        <v>20</v>
      </c>
    </row>
    <row r="119" spans="1:13" x14ac:dyDescent="0.3">
      <c r="A119" s="1">
        <v>45775</v>
      </c>
      <c r="B119" s="2" t="s">
        <v>19</v>
      </c>
      <c r="C119">
        <v>603.62463000000002</v>
      </c>
      <c r="D119">
        <v>608.15117999999995</v>
      </c>
      <c r="E119">
        <v>598.99370999999996</v>
      </c>
      <c r="F119">
        <v>606.36499000000003</v>
      </c>
      <c r="G119">
        <f>_xlfn.MAXIFS(Crypto[Close],Crypto[Name],Crypto[[#This Row],[Name]],Crypto[Date],"&lt;="&amp;Crypto[[#This Row],[Date]])</f>
        <v>729.40008999999998</v>
      </c>
      <c r="H119" s="3">
        <f>(Crypto[[#This Row],[Close]]/Crypto[[#This Row],[Peak Close]])-1</f>
        <v>-0.16867985305568023</v>
      </c>
      <c r="I119">
        <v>603.61847</v>
      </c>
      <c r="J119" s="1">
        <v>45774</v>
      </c>
      <c r="K119" s="3">
        <v>4.5500927100524799E-3</v>
      </c>
      <c r="L119">
        <v>1478956158</v>
      </c>
      <c r="M119" s="2" t="s">
        <v>20</v>
      </c>
    </row>
    <row r="120" spans="1:13" x14ac:dyDescent="0.3">
      <c r="A120" s="1">
        <v>45776</v>
      </c>
      <c r="B120" s="2" t="s">
        <v>19</v>
      </c>
      <c r="C120">
        <v>606.36499000000003</v>
      </c>
      <c r="D120">
        <v>610.64044000000001</v>
      </c>
      <c r="E120">
        <v>598.66027999999994</v>
      </c>
      <c r="F120">
        <v>601.02899000000002</v>
      </c>
      <c r="G120">
        <f>_xlfn.MAXIFS(Crypto[Close],Crypto[Name],Crypto[[#This Row],[Name]],Crypto[Date],"&lt;="&amp;Crypto[[#This Row],[Date]])</f>
        <v>729.40008999999998</v>
      </c>
      <c r="H120" s="3">
        <f>(Crypto[[#This Row],[Close]]/Crypto[[#This Row],[Peak Close]])-1</f>
        <v>-0.17599545401756111</v>
      </c>
      <c r="I120">
        <v>606.36499000000003</v>
      </c>
      <c r="J120" s="1">
        <v>45775</v>
      </c>
      <c r="K120" s="3">
        <v>-8.7999803550663606E-3</v>
      </c>
      <c r="L120">
        <v>1587553456</v>
      </c>
      <c r="M120" s="2" t="s">
        <v>20</v>
      </c>
    </row>
    <row r="121" spans="1:13" x14ac:dyDescent="0.3">
      <c r="A121" s="1">
        <v>45777</v>
      </c>
      <c r="B121" s="2" t="s">
        <v>19</v>
      </c>
      <c r="C121">
        <v>601.01898000000006</v>
      </c>
      <c r="D121">
        <v>604.47784000000001</v>
      </c>
      <c r="E121">
        <v>592.41778999999997</v>
      </c>
      <c r="F121">
        <v>599.68169999999998</v>
      </c>
      <c r="G121">
        <f>_xlfn.MAXIFS(Crypto[Close],Crypto[Name],Crypto[[#This Row],[Name]],Crypto[Date],"&lt;="&amp;Crypto[[#This Row],[Date]])</f>
        <v>729.40008999999998</v>
      </c>
      <c r="H121" s="3">
        <f>(Crypto[[#This Row],[Close]]/Crypto[[#This Row],[Peak Close]])-1</f>
        <v>-0.17784257471095188</v>
      </c>
      <c r="I121">
        <v>601.02899000000002</v>
      </c>
      <c r="J121" s="1">
        <v>45776</v>
      </c>
      <c r="K121" s="3">
        <v>-2.2416389598778601E-3</v>
      </c>
      <c r="L121">
        <v>1504095222</v>
      </c>
      <c r="M121" s="2" t="s">
        <v>20</v>
      </c>
    </row>
    <row r="122" spans="1:13" x14ac:dyDescent="0.3">
      <c r="A122" s="1">
        <v>45778</v>
      </c>
      <c r="B122" s="2" t="s">
        <v>19</v>
      </c>
      <c r="C122">
        <v>599.68718999999999</v>
      </c>
      <c r="D122">
        <v>605.13726999999994</v>
      </c>
      <c r="E122">
        <v>598.48859000000004</v>
      </c>
      <c r="F122">
        <v>599.91821000000004</v>
      </c>
      <c r="G122">
        <f>_xlfn.MAXIFS(Crypto[Close],Crypto[Name],Crypto[[#This Row],[Name]],Crypto[Date],"&lt;="&amp;Crypto[[#This Row],[Date]])</f>
        <v>729.40008999999998</v>
      </c>
      <c r="H122" s="3">
        <f>(Crypto[[#This Row],[Close]]/Crypto[[#This Row],[Peak Close]])-1</f>
        <v>-0.17751832194043182</v>
      </c>
      <c r="I122">
        <v>599.68169999999998</v>
      </c>
      <c r="J122" s="1">
        <v>45777</v>
      </c>
      <c r="K122" s="3">
        <v>3.9439255858577402E-4</v>
      </c>
      <c r="L122">
        <v>1406049035</v>
      </c>
      <c r="M122" s="2" t="s">
        <v>20</v>
      </c>
    </row>
    <row r="123" spans="1:13" x14ac:dyDescent="0.3">
      <c r="A123" s="1">
        <v>45779</v>
      </c>
      <c r="B123" s="2" t="s">
        <v>19</v>
      </c>
      <c r="C123">
        <v>599.92902000000004</v>
      </c>
      <c r="D123">
        <v>603.50507000000005</v>
      </c>
      <c r="E123">
        <v>595.82965000000002</v>
      </c>
      <c r="F123">
        <v>601.16417999999999</v>
      </c>
      <c r="G123">
        <f>_xlfn.MAXIFS(Crypto[Close],Crypto[Name],Crypto[[#This Row],[Name]],Crypto[Date],"&lt;="&amp;Crypto[[#This Row],[Date]])</f>
        <v>729.40008999999998</v>
      </c>
      <c r="H123" s="3">
        <f>(Crypto[[#This Row],[Close]]/Crypto[[#This Row],[Peak Close]])-1</f>
        <v>-0.1758101099219771</v>
      </c>
      <c r="I123">
        <v>599.91821000000004</v>
      </c>
      <c r="J123" s="1">
        <v>45778</v>
      </c>
      <c r="K123" s="3">
        <v>2.0768997827219499E-3</v>
      </c>
      <c r="L123">
        <v>1444818831</v>
      </c>
      <c r="M123" s="2" t="s">
        <v>20</v>
      </c>
    </row>
    <row r="124" spans="1:13" x14ac:dyDescent="0.3">
      <c r="A124" s="1">
        <v>45780</v>
      </c>
      <c r="B124" s="2" t="s">
        <v>19</v>
      </c>
      <c r="C124">
        <v>601.16436999999996</v>
      </c>
      <c r="D124">
        <v>601.29443000000003</v>
      </c>
      <c r="E124">
        <v>595.59320000000002</v>
      </c>
      <c r="F124">
        <v>599.33136000000002</v>
      </c>
      <c r="G124">
        <f>_xlfn.MAXIFS(Crypto[Close],Crypto[Name],Crypto[[#This Row],[Name]],Crypto[Date],"&lt;="&amp;Crypto[[#This Row],[Date]])</f>
        <v>729.40008999999998</v>
      </c>
      <c r="H124" s="3">
        <f>(Crypto[[#This Row],[Close]]/Crypto[[#This Row],[Peak Close]])-1</f>
        <v>-0.17832288723737333</v>
      </c>
      <c r="I124">
        <v>601.16417999999999</v>
      </c>
      <c r="J124" s="1">
        <v>45779</v>
      </c>
      <c r="K124" s="3">
        <v>-3.0487844435441399E-3</v>
      </c>
      <c r="L124">
        <v>1221915136</v>
      </c>
      <c r="M124" s="2" t="s">
        <v>20</v>
      </c>
    </row>
    <row r="125" spans="1:13" x14ac:dyDescent="0.3">
      <c r="A125" s="1">
        <v>45781</v>
      </c>
      <c r="B125" s="2" t="s">
        <v>19</v>
      </c>
      <c r="C125">
        <v>599.33136000000002</v>
      </c>
      <c r="D125">
        <v>600.44348000000002</v>
      </c>
      <c r="E125">
        <v>585.30811000000006</v>
      </c>
      <c r="F125">
        <v>585.99505999999997</v>
      </c>
      <c r="G125">
        <f>_xlfn.MAXIFS(Crypto[Close],Crypto[Name],Crypto[[#This Row],[Name]],Crypto[Date],"&lt;="&amp;Crypto[[#This Row],[Date]])</f>
        <v>729.40008999999998</v>
      </c>
      <c r="H125" s="3">
        <f>(Crypto[[#This Row],[Close]]/Crypto[[#This Row],[Peak Close]])-1</f>
        <v>-0.19660681698023919</v>
      </c>
      <c r="I125">
        <v>599.33136000000002</v>
      </c>
      <c r="J125" s="1">
        <v>45780</v>
      </c>
      <c r="K125" s="3">
        <v>-2.2251964255633201E-2</v>
      </c>
      <c r="L125">
        <v>1306600030</v>
      </c>
      <c r="M125" s="2" t="s">
        <v>20</v>
      </c>
    </row>
    <row r="126" spans="1:13" x14ac:dyDescent="0.3">
      <c r="A126" s="1">
        <v>45782</v>
      </c>
      <c r="B126" s="2" t="s">
        <v>19</v>
      </c>
      <c r="C126">
        <v>585.99505999999997</v>
      </c>
      <c r="D126">
        <v>599.85222999999996</v>
      </c>
      <c r="E126">
        <v>584.60968000000003</v>
      </c>
      <c r="F126">
        <v>597.68975999999998</v>
      </c>
      <c r="G126">
        <f>_xlfn.MAXIFS(Crypto[Close],Crypto[Name],Crypto[[#This Row],[Name]],Crypto[Date],"&lt;="&amp;Crypto[[#This Row],[Date]])</f>
        <v>729.40008999999998</v>
      </c>
      <c r="H126" s="3">
        <f>(Crypto[[#This Row],[Close]]/Crypto[[#This Row],[Peak Close]])-1</f>
        <v>-0.18057350390510651</v>
      </c>
      <c r="I126">
        <v>585.99505999999997</v>
      </c>
      <c r="J126" s="1">
        <v>45781</v>
      </c>
      <c r="K126" s="3">
        <v>1.9956994176708601E-2</v>
      </c>
      <c r="L126">
        <v>1465943685</v>
      </c>
      <c r="M126" s="2" t="s">
        <v>20</v>
      </c>
    </row>
    <row r="127" spans="1:13" x14ac:dyDescent="0.3">
      <c r="A127" s="1">
        <v>45783</v>
      </c>
      <c r="B127" s="2" t="s">
        <v>19</v>
      </c>
      <c r="C127">
        <v>597.68975999999998</v>
      </c>
      <c r="D127">
        <v>602.96862999999996</v>
      </c>
      <c r="E127">
        <v>593.59900000000005</v>
      </c>
      <c r="F127">
        <v>602.47388000000001</v>
      </c>
      <c r="G127">
        <f>_xlfn.MAXIFS(Crypto[Close],Crypto[Name],Crypto[[#This Row],[Name]],Crypto[Date],"&lt;="&amp;Crypto[[#This Row],[Date]])</f>
        <v>729.40008999999998</v>
      </c>
      <c r="H127" s="3">
        <f>(Crypto[[#This Row],[Close]]/Crypto[[#This Row],[Peak Close]])-1</f>
        <v>-0.17401452473086476</v>
      </c>
      <c r="I127">
        <v>597.68975999999998</v>
      </c>
      <c r="J127" s="1">
        <v>45782</v>
      </c>
      <c r="K127" s="3">
        <v>8.0043532952614599E-3</v>
      </c>
      <c r="L127">
        <v>1594251780</v>
      </c>
      <c r="M127" s="2" t="s">
        <v>20</v>
      </c>
    </row>
    <row r="128" spans="1:13" x14ac:dyDescent="0.3">
      <c r="A128" s="1">
        <v>45784</v>
      </c>
      <c r="B128" s="2" t="s">
        <v>19</v>
      </c>
      <c r="C128">
        <v>602.47388000000001</v>
      </c>
      <c r="D128">
        <v>608.98584000000005</v>
      </c>
      <c r="E128">
        <v>598.29723999999999</v>
      </c>
      <c r="F128">
        <v>603.27966000000004</v>
      </c>
      <c r="G128">
        <f>_xlfn.MAXIFS(Crypto[Close],Crypto[Name],Crypto[[#This Row],[Name]],Crypto[Date],"&lt;="&amp;Crypto[[#This Row],[Date]])</f>
        <v>729.40008999999998</v>
      </c>
      <c r="H128" s="3">
        <f>(Crypto[[#This Row],[Close]]/Crypto[[#This Row],[Peak Close]])-1</f>
        <v>-0.1729098086620745</v>
      </c>
      <c r="I128">
        <v>602.47388000000001</v>
      </c>
      <c r="J128" s="1">
        <v>45783</v>
      </c>
      <c r="K128" s="3">
        <v>1.3374521730303501E-3</v>
      </c>
      <c r="L128">
        <v>1537003234</v>
      </c>
      <c r="M128" s="2" t="s">
        <v>20</v>
      </c>
    </row>
    <row r="129" spans="1:13" x14ac:dyDescent="0.3">
      <c r="A129" s="1">
        <v>45785</v>
      </c>
      <c r="B129" s="2" t="s">
        <v>19</v>
      </c>
      <c r="C129">
        <v>603.27941999999996</v>
      </c>
      <c r="D129">
        <v>628.67174999999997</v>
      </c>
      <c r="E129">
        <v>601.00787000000003</v>
      </c>
      <c r="F129">
        <v>628.66345000000001</v>
      </c>
      <c r="G129">
        <f>_xlfn.MAXIFS(Crypto[Close],Crypto[Name],Crypto[[#This Row],[Name]],Crypto[Date],"&lt;="&amp;Crypto[[#This Row],[Date]])</f>
        <v>729.40008999999998</v>
      </c>
      <c r="H129" s="3">
        <f>(Crypto[[#This Row],[Close]]/Crypto[[#This Row],[Peak Close]])-1</f>
        <v>-0.13810889439292495</v>
      </c>
      <c r="I129">
        <v>603.27966000000004</v>
      </c>
      <c r="J129" s="1">
        <v>45784</v>
      </c>
      <c r="K129" s="3">
        <v>4.2076323276007598E-2</v>
      </c>
      <c r="L129">
        <v>2061341461</v>
      </c>
      <c r="M129" s="2" t="s">
        <v>20</v>
      </c>
    </row>
    <row r="130" spans="1:13" x14ac:dyDescent="0.3">
      <c r="A130" s="1">
        <v>45786</v>
      </c>
      <c r="B130" s="2" t="s">
        <v>19</v>
      </c>
      <c r="C130">
        <v>628.65288999999996</v>
      </c>
      <c r="D130">
        <v>667.80034999999998</v>
      </c>
      <c r="E130">
        <v>623.88347999999996</v>
      </c>
      <c r="F130">
        <v>666.87847999999997</v>
      </c>
      <c r="G130">
        <f>_xlfn.MAXIFS(Crypto[Close],Crypto[Name],Crypto[[#This Row],[Name]],Crypto[Date],"&lt;="&amp;Crypto[[#This Row],[Date]])</f>
        <v>729.40008999999998</v>
      </c>
      <c r="H130" s="3">
        <f>(Crypto[[#This Row],[Close]]/Crypto[[#This Row],[Peak Close]])-1</f>
        <v>-8.5716482431473229E-2</v>
      </c>
      <c r="I130">
        <v>628.66345000000001</v>
      </c>
      <c r="J130" s="1">
        <v>45785</v>
      </c>
      <c r="K130" s="3">
        <v>6.07877394494621E-2</v>
      </c>
      <c r="L130">
        <v>2418287835</v>
      </c>
      <c r="M130" s="2" t="s">
        <v>20</v>
      </c>
    </row>
    <row r="131" spans="1:13" x14ac:dyDescent="0.3">
      <c r="A131" s="1">
        <v>45787</v>
      </c>
      <c r="B131" s="2" t="s">
        <v>19</v>
      </c>
      <c r="C131">
        <v>666.88927999999999</v>
      </c>
      <c r="D131">
        <v>677.35338999999999</v>
      </c>
      <c r="E131">
        <v>649.35950000000003</v>
      </c>
      <c r="F131">
        <v>663.61725000000001</v>
      </c>
      <c r="G131">
        <f>_xlfn.MAXIFS(Crypto[Close],Crypto[Name],Crypto[[#This Row],[Name]],Crypto[Date],"&lt;="&amp;Crypto[[#This Row],[Date]])</f>
        <v>729.40008999999998</v>
      </c>
      <c r="H131" s="3">
        <f>(Crypto[[#This Row],[Close]]/Crypto[[#This Row],[Peak Close]])-1</f>
        <v>-9.0187595123548681E-2</v>
      </c>
      <c r="I131">
        <v>666.87847999999997</v>
      </c>
      <c r="J131" s="1">
        <v>45786</v>
      </c>
      <c r="K131" s="3">
        <v>-4.8902912566618703E-3</v>
      </c>
      <c r="L131">
        <v>2282413256</v>
      </c>
      <c r="M131" s="2" t="s">
        <v>20</v>
      </c>
    </row>
    <row r="132" spans="1:13" x14ac:dyDescent="0.3">
      <c r="A132" s="1">
        <v>45788</v>
      </c>
      <c r="B132" s="2" t="s">
        <v>19</v>
      </c>
      <c r="C132">
        <v>663.61652000000004</v>
      </c>
      <c r="D132">
        <v>667.63549999999998</v>
      </c>
      <c r="E132">
        <v>648.84807999999998</v>
      </c>
      <c r="F132">
        <v>650.62543000000005</v>
      </c>
      <c r="G132">
        <f>_xlfn.MAXIFS(Crypto[Close],Crypto[Name],Crypto[[#This Row],[Name]],Crypto[Date],"&lt;="&amp;Crypto[[#This Row],[Date]])</f>
        <v>729.40008999999998</v>
      </c>
      <c r="H132" s="3">
        <f>(Crypto[[#This Row],[Close]]/Crypto[[#This Row],[Peak Close]])-1</f>
        <v>-0.10799924633954994</v>
      </c>
      <c r="I132">
        <v>663.61725000000001</v>
      </c>
      <c r="J132" s="1">
        <v>45787</v>
      </c>
      <c r="K132" s="3">
        <v>-1.9577278920944199E-2</v>
      </c>
      <c r="L132">
        <v>1906600802</v>
      </c>
      <c r="M132" s="2" t="s">
        <v>20</v>
      </c>
    </row>
    <row r="133" spans="1:13" x14ac:dyDescent="0.3">
      <c r="A133" s="1">
        <v>45789</v>
      </c>
      <c r="B133" s="2" t="s">
        <v>19</v>
      </c>
      <c r="C133">
        <v>650.62543000000005</v>
      </c>
      <c r="D133">
        <v>690.37823000000003</v>
      </c>
      <c r="E133">
        <v>648.96227999999996</v>
      </c>
      <c r="F133">
        <v>660.48431000000005</v>
      </c>
      <c r="G133">
        <f>_xlfn.MAXIFS(Crypto[Close],Crypto[Name],Crypto[[#This Row],[Name]],Crypto[Date],"&lt;="&amp;Crypto[[#This Row],[Date]])</f>
        <v>729.40008999999998</v>
      </c>
      <c r="H133" s="3">
        <f>(Crypto[[#This Row],[Close]]/Crypto[[#This Row],[Peak Close]])-1</f>
        <v>-9.4482823548870054E-2</v>
      </c>
      <c r="I133">
        <v>650.62543000000005</v>
      </c>
      <c r="J133" s="1">
        <v>45788</v>
      </c>
      <c r="K133" s="3">
        <v>1.51529275454235E-2</v>
      </c>
      <c r="L133">
        <v>2609669556</v>
      </c>
      <c r="M133" s="2" t="s">
        <v>20</v>
      </c>
    </row>
    <row r="134" spans="1:13" x14ac:dyDescent="0.3">
      <c r="A134" s="1">
        <v>45790</v>
      </c>
      <c r="B134" s="2" t="s">
        <v>19</v>
      </c>
      <c r="C134">
        <v>660.48431000000005</v>
      </c>
      <c r="D134">
        <v>670.89550999999994</v>
      </c>
      <c r="E134">
        <v>641.68286000000001</v>
      </c>
      <c r="F134">
        <v>665.57056</v>
      </c>
      <c r="G134">
        <f>_xlfn.MAXIFS(Crypto[Close],Crypto[Name],Crypto[[#This Row],[Name]],Crypto[Date],"&lt;="&amp;Crypto[[#This Row],[Date]])</f>
        <v>729.40008999999998</v>
      </c>
      <c r="H134" s="3">
        <f>(Crypto[[#This Row],[Close]]/Crypto[[#This Row],[Peak Close]])-1</f>
        <v>-8.7509627260945355E-2</v>
      </c>
      <c r="I134">
        <v>660.48431000000005</v>
      </c>
      <c r="J134" s="1">
        <v>45789</v>
      </c>
      <c r="K134" s="3">
        <v>7.70078853197883E-3</v>
      </c>
      <c r="L134">
        <v>2108811440</v>
      </c>
      <c r="M134" s="2" t="s">
        <v>20</v>
      </c>
    </row>
    <row r="135" spans="1:13" x14ac:dyDescent="0.3">
      <c r="A135" s="1">
        <v>45791</v>
      </c>
      <c r="B135" s="2" t="s">
        <v>19</v>
      </c>
      <c r="C135">
        <v>665.61199999999997</v>
      </c>
      <c r="D135">
        <v>665.65295000000003</v>
      </c>
      <c r="E135">
        <v>648.12048000000004</v>
      </c>
      <c r="F135">
        <v>652.57104000000004</v>
      </c>
      <c r="G135">
        <f>_xlfn.MAXIFS(Crypto[Close],Crypto[Name],Crypto[[#This Row],[Name]],Crypto[Date],"&lt;="&amp;Crypto[[#This Row],[Date]])</f>
        <v>729.40008999999998</v>
      </c>
      <c r="H135" s="3">
        <f>(Crypto[[#This Row],[Close]]/Crypto[[#This Row],[Peak Close]])-1</f>
        <v>-0.10533183509752508</v>
      </c>
      <c r="I135">
        <v>665.57056</v>
      </c>
      <c r="J135" s="1">
        <v>45790</v>
      </c>
      <c r="K135" s="3">
        <v>-1.9531392734678601E-2</v>
      </c>
      <c r="L135">
        <v>1876674692</v>
      </c>
      <c r="M135" s="2" t="s">
        <v>20</v>
      </c>
    </row>
    <row r="136" spans="1:13" x14ac:dyDescent="0.3">
      <c r="A136" s="1">
        <v>45792</v>
      </c>
      <c r="B136" s="2" t="s">
        <v>19</v>
      </c>
      <c r="C136">
        <v>652.57117000000005</v>
      </c>
      <c r="D136">
        <v>660.28045999999995</v>
      </c>
      <c r="E136">
        <v>643.45941000000005</v>
      </c>
      <c r="F136">
        <v>651.26422000000002</v>
      </c>
      <c r="G136">
        <f>_xlfn.MAXIFS(Crypto[Close],Crypto[Name],Crypto[[#This Row],[Name]],Crypto[Date],"&lt;="&amp;Crypto[[#This Row],[Date]])</f>
        <v>729.40008999999998</v>
      </c>
      <c r="H136" s="3">
        <f>(Crypto[[#This Row],[Close]]/Crypto[[#This Row],[Peak Close]])-1</f>
        <v>-0.10712347183834314</v>
      </c>
      <c r="I136">
        <v>652.57104000000004</v>
      </c>
      <c r="J136" s="1">
        <v>45791</v>
      </c>
      <c r="K136" s="3">
        <v>-2.0025712449636399E-3</v>
      </c>
      <c r="L136">
        <v>1888457576</v>
      </c>
      <c r="M136" s="2" t="s">
        <v>20</v>
      </c>
    </row>
    <row r="137" spans="1:13" x14ac:dyDescent="0.3">
      <c r="A137" s="1">
        <v>45793</v>
      </c>
      <c r="B137" s="2" t="s">
        <v>19</v>
      </c>
      <c r="C137">
        <v>651.26233000000002</v>
      </c>
      <c r="D137">
        <v>659.68859999999995</v>
      </c>
      <c r="E137">
        <v>644.38604999999995</v>
      </c>
      <c r="F137">
        <v>646.32135000000005</v>
      </c>
      <c r="G137">
        <f>_xlfn.MAXIFS(Crypto[Close],Crypto[Name],Crypto[[#This Row],[Name]],Crypto[Date],"&lt;="&amp;Crypto[[#This Row],[Date]])</f>
        <v>729.40008999999998</v>
      </c>
      <c r="H137" s="3">
        <f>(Crypto[[#This Row],[Close]]/Crypto[[#This Row],[Peak Close]])-1</f>
        <v>-0.11390009562515946</v>
      </c>
      <c r="I137">
        <v>651.26422000000002</v>
      </c>
      <c r="J137" s="1">
        <v>45792</v>
      </c>
      <c r="K137" s="3">
        <v>-7.5896538581529498E-3</v>
      </c>
      <c r="L137">
        <v>1634445685</v>
      </c>
      <c r="M137" s="2" t="s">
        <v>20</v>
      </c>
    </row>
    <row r="138" spans="1:13" x14ac:dyDescent="0.3">
      <c r="A138" s="1">
        <v>45794</v>
      </c>
      <c r="B138" s="2" t="s">
        <v>19</v>
      </c>
      <c r="C138">
        <v>646.32135000000005</v>
      </c>
      <c r="D138">
        <v>646.72204999999997</v>
      </c>
      <c r="E138">
        <v>635.48486000000003</v>
      </c>
      <c r="F138">
        <v>639.61890000000005</v>
      </c>
      <c r="G138">
        <f>_xlfn.MAXIFS(Crypto[Close],Crypto[Name],Crypto[[#This Row],[Name]],Crypto[Date],"&lt;="&amp;Crypto[[#This Row],[Date]])</f>
        <v>729.40008999999998</v>
      </c>
      <c r="H138" s="3">
        <f>(Crypto[[#This Row],[Close]]/Crypto[[#This Row],[Peak Close]])-1</f>
        <v>-0.12308908544280539</v>
      </c>
      <c r="I138">
        <v>646.32135000000005</v>
      </c>
      <c r="J138" s="1">
        <v>45793</v>
      </c>
      <c r="K138" s="3">
        <v>-1.03701510092464E-2</v>
      </c>
      <c r="L138">
        <v>1449713512</v>
      </c>
      <c r="M138" s="2" t="s">
        <v>20</v>
      </c>
    </row>
    <row r="139" spans="1:13" x14ac:dyDescent="0.3">
      <c r="A139" s="1">
        <v>45795</v>
      </c>
      <c r="B139" s="2" t="s">
        <v>19</v>
      </c>
      <c r="C139">
        <v>639.61890000000005</v>
      </c>
      <c r="D139">
        <v>654.71496999999999</v>
      </c>
      <c r="E139">
        <v>635.41168000000005</v>
      </c>
      <c r="F139">
        <v>652.16431</v>
      </c>
      <c r="G139">
        <f>_xlfn.MAXIFS(Crypto[Close],Crypto[Name],Crypto[[#This Row],[Name]],Crypto[Date],"&lt;="&amp;Crypto[[#This Row],[Date]])</f>
        <v>729.40008999999998</v>
      </c>
      <c r="H139" s="3">
        <f>(Crypto[[#This Row],[Close]]/Crypto[[#This Row],[Peak Close]])-1</f>
        <v>-0.10588945773231251</v>
      </c>
      <c r="I139">
        <v>639.61890000000005</v>
      </c>
      <c r="J139" s="1">
        <v>45794</v>
      </c>
      <c r="K139" s="3">
        <v>1.9613882579142001E-2</v>
      </c>
      <c r="L139">
        <v>1592388678</v>
      </c>
      <c r="M139" s="2" t="s">
        <v>20</v>
      </c>
    </row>
    <row r="140" spans="1:13" x14ac:dyDescent="0.3">
      <c r="A140" s="1">
        <v>45796</v>
      </c>
      <c r="B140" s="2" t="s">
        <v>19</v>
      </c>
      <c r="C140">
        <v>652.11639000000002</v>
      </c>
      <c r="D140">
        <v>652.98859000000004</v>
      </c>
      <c r="E140">
        <v>634.18268</v>
      </c>
      <c r="F140">
        <v>649.85290999999995</v>
      </c>
      <c r="G140">
        <f>_xlfn.MAXIFS(Crypto[Close],Crypto[Name],Crypto[[#This Row],[Name]],Crypto[Date],"&lt;="&amp;Crypto[[#This Row],[Date]])</f>
        <v>729.40008999999998</v>
      </c>
      <c r="H140" s="3">
        <f>(Crypto[[#This Row],[Close]]/Crypto[[#This Row],[Peak Close]])-1</f>
        <v>-0.10905836329140028</v>
      </c>
      <c r="I140">
        <v>652.16431</v>
      </c>
      <c r="J140" s="1">
        <v>45795</v>
      </c>
      <c r="K140" s="3">
        <v>-3.5441988538134602E-3</v>
      </c>
      <c r="L140">
        <v>1595233688</v>
      </c>
      <c r="M140" s="2" t="s">
        <v>20</v>
      </c>
    </row>
    <row r="141" spans="1:13" x14ac:dyDescent="0.3">
      <c r="A141" s="1">
        <v>45797</v>
      </c>
      <c r="B141" s="2" t="s">
        <v>19</v>
      </c>
      <c r="C141">
        <v>649.84636999999998</v>
      </c>
      <c r="D141">
        <v>653.40210000000002</v>
      </c>
      <c r="E141">
        <v>641.16443000000004</v>
      </c>
      <c r="F141">
        <v>650.33081000000004</v>
      </c>
      <c r="G141">
        <f>_xlfn.MAXIFS(Crypto[Close],Crypto[Name],Crypto[[#This Row],[Name]],Crypto[Date],"&lt;="&amp;Crypto[[#This Row],[Date]])</f>
        <v>729.40008999999998</v>
      </c>
      <c r="H141" s="3">
        <f>(Crypto[[#This Row],[Close]]/Crypto[[#This Row],[Peak Close]])-1</f>
        <v>-0.10840316732069488</v>
      </c>
      <c r="I141">
        <v>649.85290999999995</v>
      </c>
      <c r="J141" s="1">
        <v>45796</v>
      </c>
      <c r="K141" s="3">
        <v>7.3539718395673704E-4</v>
      </c>
      <c r="L141">
        <v>1512635652</v>
      </c>
      <c r="M141" s="2" t="s">
        <v>20</v>
      </c>
    </row>
    <row r="142" spans="1:13" x14ac:dyDescent="0.3">
      <c r="A142" s="1">
        <v>45798</v>
      </c>
      <c r="B142" s="2" t="s">
        <v>19</v>
      </c>
      <c r="C142">
        <v>650.33081000000004</v>
      </c>
      <c r="D142">
        <v>677.02899000000002</v>
      </c>
      <c r="E142">
        <v>649.13451999999995</v>
      </c>
      <c r="F142">
        <v>673.14862000000005</v>
      </c>
      <c r="G142">
        <f>_xlfn.MAXIFS(Crypto[Close],Crypto[Name],Crypto[[#This Row],[Name]],Crypto[Date],"&lt;="&amp;Crypto[[#This Row],[Date]])</f>
        <v>729.40008999999998</v>
      </c>
      <c r="H142" s="3">
        <f>(Crypto[[#This Row],[Close]]/Crypto[[#This Row],[Peak Close]])-1</f>
        <v>-7.7120185164770039E-2</v>
      </c>
      <c r="I142">
        <v>650.33081000000004</v>
      </c>
      <c r="J142" s="1">
        <v>45797</v>
      </c>
      <c r="K142" s="3">
        <v>3.5086466224781801E-2</v>
      </c>
      <c r="L142">
        <v>2377493291</v>
      </c>
      <c r="M142" s="2" t="s">
        <v>20</v>
      </c>
    </row>
    <row r="143" spans="1:13" x14ac:dyDescent="0.3">
      <c r="A143" s="1">
        <v>45799</v>
      </c>
      <c r="B143" s="2" t="s">
        <v>19</v>
      </c>
      <c r="C143">
        <v>673.15051000000005</v>
      </c>
      <c r="D143">
        <v>688.05840999999998</v>
      </c>
      <c r="E143">
        <v>673.13140999999996</v>
      </c>
      <c r="F143">
        <v>686.23566000000005</v>
      </c>
      <c r="G143">
        <f>_xlfn.MAXIFS(Crypto[Close],Crypto[Name],Crypto[[#This Row],[Name]],Crypto[Date],"&lt;="&amp;Crypto[[#This Row],[Date]])</f>
        <v>729.40008999999998</v>
      </c>
      <c r="H143" s="3">
        <f>(Crypto[[#This Row],[Close]]/Crypto[[#This Row],[Peak Close]])-1</f>
        <v>-5.9177988310914476E-2</v>
      </c>
      <c r="I143">
        <v>673.14862000000005</v>
      </c>
      <c r="J143" s="1">
        <v>45798</v>
      </c>
      <c r="K143" s="3">
        <v>1.9441531351575801E-2</v>
      </c>
      <c r="L143">
        <v>2248278627</v>
      </c>
      <c r="M143" s="2" t="s">
        <v>20</v>
      </c>
    </row>
    <row r="144" spans="1:13" x14ac:dyDescent="0.3">
      <c r="A144" s="1">
        <v>45800</v>
      </c>
      <c r="B144" s="2" t="s">
        <v>19</v>
      </c>
      <c r="C144">
        <v>686.25139999999999</v>
      </c>
      <c r="D144">
        <v>690.92003999999997</v>
      </c>
      <c r="E144">
        <v>654.88103999999998</v>
      </c>
      <c r="F144">
        <v>656.23168999999996</v>
      </c>
      <c r="G144">
        <f>_xlfn.MAXIFS(Crypto[Close],Crypto[Name],Crypto[[#This Row],[Name]],Crypto[Date],"&lt;="&amp;Crypto[[#This Row],[Date]])</f>
        <v>729.40008999999998</v>
      </c>
      <c r="H144" s="3">
        <f>(Crypto[[#This Row],[Close]]/Crypto[[#This Row],[Peak Close]])-1</f>
        <v>-0.1003131217052633</v>
      </c>
      <c r="I144">
        <v>686.23566000000005</v>
      </c>
      <c r="J144" s="1">
        <v>45799</v>
      </c>
      <c r="K144" s="3">
        <v>-4.3722545692248198E-2</v>
      </c>
      <c r="L144">
        <v>1996132529</v>
      </c>
      <c r="M144" s="2" t="s">
        <v>20</v>
      </c>
    </row>
    <row r="145" spans="1:13" x14ac:dyDescent="0.3">
      <c r="A145" s="1">
        <v>45801</v>
      </c>
      <c r="B145" s="2" t="s">
        <v>19</v>
      </c>
      <c r="C145">
        <v>656.23041000000001</v>
      </c>
      <c r="D145">
        <v>676.86432000000002</v>
      </c>
      <c r="E145">
        <v>656.12780999999995</v>
      </c>
      <c r="F145">
        <v>668.30651999999998</v>
      </c>
      <c r="G145">
        <f>_xlfn.MAXIFS(Crypto[Close],Crypto[Name],Crypto[[#This Row],[Name]],Crypto[Date],"&lt;="&amp;Crypto[[#This Row],[Date]])</f>
        <v>729.40008999999998</v>
      </c>
      <c r="H145" s="3">
        <f>(Crypto[[#This Row],[Close]]/Crypto[[#This Row],[Peak Close]])-1</f>
        <v>-8.3758654320977621E-2</v>
      </c>
      <c r="I145">
        <v>656.23168999999996</v>
      </c>
      <c r="J145" s="1">
        <v>45800</v>
      </c>
      <c r="K145" s="3">
        <v>1.8400254337001001E-2</v>
      </c>
      <c r="L145">
        <v>1475660792</v>
      </c>
      <c r="M145" s="2" t="s">
        <v>20</v>
      </c>
    </row>
    <row r="146" spans="1:13" x14ac:dyDescent="0.3">
      <c r="A146" s="1">
        <v>45802</v>
      </c>
      <c r="B146" s="2" t="s">
        <v>19</v>
      </c>
      <c r="C146">
        <v>668.30651999999998</v>
      </c>
      <c r="D146">
        <v>671.45794999999998</v>
      </c>
      <c r="E146">
        <v>658.15264999999999</v>
      </c>
      <c r="F146">
        <v>669.91687000000002</v>
      </c>
      <c r="G146">
        <f>_xlfn.MAXIFS(Crypto[Close],Crypto[Name],Crypto[[#This Row],[Name]],Crypto[Date],"&lt;="&amp;Crypto[[#This Row],[Date]])</f>
        <v>729.40008999999998</v>
      </c>
      <c r="H146" s="3">
        <f>(Crypto[[#This Row],[Close]]/Crypto[[#This Row],[Peak Close]])-1</f>
        <v>-8.1550881080916682E-2</v>
      </c>
      <c r="I146">
        <v>668.30651999999998</v>
      </c>
      <c r="J146" s="1">
        <v>45801</v>
      </c>
      <c r="K146" s="3">
        <v>2.4095979192302998E-3</v>
      </c>
      <c r="L146">
        <v>1591152958</v>
      </c>
      <c r="M146" s="2" t="s">
        <v>20</v>
      </c>
    </row>
    <row r="147" spans="1:13" x14ac:dyDescent="0.3">
      <c r="A147" s="1">
        <v>45803</v>
      </c>
      <c r="B147" s="2" t="s">
        <v>19</v>
      </c>
      <c r="C147">
        <v>669.91747999999995</v>
      </c>
      <c r="D147">
        <v>677.67908</v>
      </c>
      <c r="E147">
        <v>668.8999</v>
      </c>
      <c r="F147">
        <v>674.39264000000003</v>
      </c>
      <c r="G147">
        <f>_xlfn.MAXIFS(Crypto[Close],Crypto[Name],Crypto[[#This Row],[Name]],Crypto[Date],"&lt;="&amp;Crypto[[#This Row],[Date]])</f>
        <v>729.40008999999998</v>
      </c>
      <c r="H147" s="3">
        <f>(Crypto[[#This Row],[Close]]/Crypto[[#This Row],[Peak Close]])-1</f>
        <v>-7.5414646576202005E-2</v>
      </c>
      <c r="I147">
        <v>669.91687000000002</v>
      </c>
      <c r="J147" s="1">
        <v>45802</v>
      </c>
      <c r="K147" s="3">
        <v>6.6810826841843998E-3</v>
      </c>
      <c r="L147">
        <v>1568627598</v>
      </c>
      <c r="M147" s="2" t="s">
        <v>20</v>
      </c>
    </row>
    <row r="148" spans="1:13" x14ac:dyDescent="0.3">
      <c r="A148" s="1">
        <v>45804</v>
      </c>
      <c r="B148" s="2" t="s">
        <v>19</v>
      </c>
      <c r="C148">
        <v>674.39264000000003</v>
      </c>
      <c r="D148">
        <v>695.86841000000004</v>
      </c>
      <c r="E148">
        <v>667.23095999999998</v>
      </c>
      <c r="F148">
        <v>687.15948000000003</v>
      </c>
      <c r="G148">
        <f>_xlfn.MAXIFS(Crypto[Close],Crypto[Name],Crypto[[#This Row],[Name]],Crypto[Date],"&lt;="&amp;Crypto[[#This Row],[Date]])</f>
        <v>729.40008999999998</v>
      </c>
      <c r="H148" s="3">
        <f>(Crypto[[#This Row],[Close]]/Crypto[[#This Row],[Peak Close]])-1</f>
        <v>-5.7911440619646704E-2</v>
      </c>
      <c r="I148">
        <v>674.39264000000003</v>
      </c>
      <c r="J148" s="1">
        <v>45803</v>
      </c>
      <c r="K148" s="3">
        <v>1.8930870894439199E-2</v>
      </c>
      <c r="L148">
        <v>2019130226</v>
      </c>
      <c r="M148" s="2" t="s">
        <v>20</v>
      </c>
    </row>
    <row r="149" spans="1:13" x14ac:dyDescent="0.3">
      <c r="A149" s="1">
        <v>45805</v>
      </c>
      <c r="B149" s="2" t="s">
        <v>19</v>
      </c>
      <c r="C149">
        <v>687.16021999999998</v>
      </c>
      <c r="D149">
        <v>688.97760000000005</v>
      </c>
      <c r="E149">
        <v>680.66528000000005</v>
      </c>
      <c r="F149">
        <v>687.40552000000002</v>
      </c>
      <c r="G149">
        <f>_xlfn.MAXIFS(Crypto[Close],Crypto[Name],Crypto[[#This Row],[Name]],Crypto[Date],"&lt;="&amp;Crypto[[#This Row],[Date]])</f>
        <v>729.40008999999998</v>
      </c>
      <c r="H149" s="3">
        <f>(Crypto[[#This Row],[Close]]/Crypto[[#This Row],[Peak Close]])-1</f>
        <v>-5.757412231742387E-2</v>
      </c>
      <c r="I149">
        <v>687.15948000000003</v>
      </c>
      <c r="J149" s="1">
        <v>45804</v>
      </c>
      <c r="K149" s="3">
        <v>3.5805370828907702E-4</v>
      </c>
      <c r="L149">
        <v>1759924602</v>
      </c>
      <c r="M149" s="2" t="s">
        <v>20</v>
      </c>
    </row>
    <row r="150" spans="1:13" x14ac:dyDescent="0.3">
      <c r="A150" s="1">
        <v>45806</v>
      </c>
      <c r="B150" s="2" t="s">
        <v>19</v>
      </c>
      <c r="C150">
        <v>687.40581999999995</v>
      </c>
      <c r="D150">
        <v>690.84369000000004</v>
      </c>
      <c r="E150">
        <v>673.92742999999996</v>
      </c>
      <c r="F150">
        <v>675.17218000000003</v>
      </c>
      <c r="G150">
        <f>_xlfn.MAXIFS(Crypto[Close],Crypto[Name],Crypto[[#This Row],[Name]],Crypto[Date],"&lt;="&amp;Crypto[[#This Row],[Date]])</f>
        <v>729.40008999999998</v>
      </c>
      <c r="H150" s="3">
        <f>(Crypto[[#This Row],[Close]]/Crypto[[#This Row],[Peak Close]])-1</f>
        <v>-7.4345905276759661E-2</v>
      </c>
      <c r="I150">
        <v>687.40552000000002</v>
      </c>
      <c r="J150" s="1">
        <v>45805</v>
      </c>
      <c r="K150" s="3">
        <v>-1.7796394768549401E-2</v>
      </c>
      <c r="L150">
        <v>1938258667</v>
      </c>
      <c r="M150" s="2" t="s">
        <v>20</v>
      </c>
    </row>
    <row r="151" spans="1:13" x14ac:dyDescent="0.3">
      <c r="A151" s="1">
        <v>45807</v>
      </c>
      <c r="B151" s="2" t="s">
        <v>19</v>
      </c>
      <c r="C151">
        <v>675.2002</v>
      </c>
      <c r="D151">
        <v>678.15557999999999</v>
      </c>
      <c r="E151">
        <v>654.65062999999998</v>
      </c>
      <c r="F151">
        <v>655.48217999999997</v>
      </c>
      <c r="G151">
        <f>_xlfn.MAXIFS(Crypto[Close],Crypto[Name],Crypto[[#This Row],[Name]],Crypto[Date],"&lt;="&amp;Crypto[[#This Row],[Date]])</f>
        <v>729.40008999999998</v>
      </c>
      <c r="H151" s="3">
        <f>(Crypto[[#This Row],[Close]]/Crypto[[#This Row],[Peak Close]])-1</f>
        <v>-0.10134069218444985</v>
      </c>
      <c r="I151">
        <v>675.17218000000003</v>
      </c>
      <c r="J151" s="1">
        <v>45806</v>
      </c>
      <c r="K151" s="3">
        <v>-2.9162931446612701E-2</v>
      </c>
      <c r="L151">
        <v>1904377880</v>
      </c>
      <c r="M151" s="2" t="s">
        <v>20</v>
      </c>
    </row>
    <row r="152" spans="1:13" x14ac:dyDescent="0.3">
      <c r="A152" s="1">
        <v>45808</v>
      </c>
      <c r="B152" s="2" t="s">
        <v>19</v>
      </c>
      <c r="C152">
        <v>655.51085999999998</v>
      </c>
      <c r="D152">
        <v>661.30864999999994</v>
      </c>
      <c r="E152">
        <v>646.96294999999998</v>
      </c>
      <c r="F152">
        <v>658.50127999999995</v>
      </c>
      <c r="G152">
        <f>_xlfn.MAXIFS(Crypto[Close],Crypto[Name],Crypto[[#This Row],[Name]],Crypto[Date],"&lt;="&amp;Crypto[[#This Row],[Date]])</f>
        <v>729.40008999999998</v>
      </c>
      <c r="H152" s="3">
        <f>(Crypto[[#This Row],[Close]]/Crypto[[#This Row],[Peak Close]])-1</f>
        <v>-9.7201537224926859E-2</v>
      </c>
      <c r="I152">
        <v>655.48217999999997</v>
      </c>
      <c r="J152" s="1">
        <v>45807</v>
      </c>
      <c r="K152" s="3">
        <v>4.6059223150810603E-3</v>
      </c>
      <c r="L152">
        <v>1478599983</v>
      </c>
      <c r="M152" s="2" t="s">
        <v>20</v>
      </c>
    </row>
    <row r="153" spans="1:13" x14ac:dyDescent="0.3">
      <c r="A153" s="1">
        <v>45809</v>
      </c>
      <c r="B153" s="2" t="s">
        <v>19</v>
      </c>
      <c r="C153">
        <v>658.49956999999995</v>
      </c>
      <c r="D153">
        <v>662.34833000000003</v>
      </c>
      <c r="E153">
        <v>648.25982999999997</v>
      </c>
      <c r="F153">
        <v>660.99176</v>
      </c>
      <c r="G153">
        <f>_xlfn.MAXIFS(Crypto[Close],Crypto[Name],Crypto[[#This Row],[Name]],Crypto[Date],"&lt;="&amp;Crypto[[#This Row],[Date]])</f>
        <v>729.40008999999998</v>
      </c>
      <c r="H153" s="3">
        <f>(Crypto[[#This Row],[Close]]/Crypto[[#This Row],[Peak Close]])-1</f>
        <v>-9.3787114832958096E-2</v>
      </c>
      <c r="I153">
        <v>658.50127999999995</v>
      </c>
      <c r="J153" s="1">
        <v>45808</v>
      </c>
      <c r="K153" s="3">
        <v>3.78204276231634E-3</v>
      </c>
      <c r="L153">
        <v>1468711165</v>
      </c>
      <c r="M153" s="2" t="s">
        <v>20</v>
      </c>
    </row>
    <row r="154" spans="1:13" x14ac:dyDescent="0.3">
      <c r="A154" s="1">
        <v>45810</v>
      </c>
      <c r="B154" s="2" t="s">
        <v>19</v>
      </c>
      <c r="C154">
        <v>660.98546999999996</v>
      </c>
      <c r="D154">
        <v>666.99492999999995</v>
      </c>
      <c r="E154">
        <v>650.44970999999998</v>
      </c>
      <c r="F154">
        <v>666.59076000000005</v>
      </c>
      <c r="G154">
        <f>_xlfn.MAXIFS(Crypto[Close],Crypto[Name],Crypto[[#This Row],[Name]],Crypto[Date],"&lt;="&amp;Crypto[[#This Row],[Date]])</f>
        <v>729.40008999999998</v>
      </c>
      <c r="H154" s="3">
        <f>(Crypto[[#This Row],[Close]]/Crypto[[#This Row],[Peak Close]])-1</f>
        <v>-8.6110943583788013E-2</v>
      </c>
      <c r="I154">
        <v>660.99176</v>
      </c>
      <c r="J154" s="1">
        <v>45809</v>
      </c>
      <c r="K154" s="3">
        <v>8.4706048377971403E-3</v>
      </c>
      <c r="L154">
        <v>1782539875</v>
      </c>
      <c r="M154" s="2" t="s">
        <v>20</v>
      </c>
    </row>
    <row r="155" spans="1:13" x14ac:dyDescent="0.3">
      <c r="A155" s="1">
        <v>45811</v>
      </c>
      <c r="B155" s="2" t="s">
        <v>19</v>
      </c>
      <c r="C155">
        <v>666.59076000000005</v>
      </c>
      <c r="D155">
        <v>672.70421999999996</v>
      </c>
      <c r="E155">
        <v>658.54956000000004</v>
      </c>
      <c r="F155">
        <v>661.69890999999996</v>
      </c>
      <c r="G155">
        <f>_xlfn.MAXIFS(Crypto[Close],Crypto[Name],Crypto[[#This Row],[Name]],Crypto[Date],"&lt;="&amp;Crypto[[#This Row],[Date]])</f>
        <v>729.40008999999998</v>
      </c>
      <c r="H155" s="3">
        <f>(Crypto[[#This Row],[Close]]/Crypto[[#This Row],[Peak Close]])-1</f>
        <v>-9.2817619476849855E-2</v>
      </c>
      <c r="I155">
        <v>666.59076000000005</v>
      </c>
      <c r="J155" s="1">
        <v>45810</v>
      </c>
      <c r="K155" s="3">
        <v>-7.33861057420011E-3</v>
      </c>
      <c r="L155">
        <v>1696519631</v>
      </c>
      <c r="M155" s="2" t="s">
        <v>20</v>
      </c>
    </row>
    <row r="156" spans="1:13" x14ac:dyDescent="0.3">
      <c r="A156" s="1">
        <v>45812</v>
      </c>
      <c r="B156" s="2" t="s">
        <v>19</v>
      </c>
      <c r="C156">
        <v>661.69897000000003</v>
      </c>
      <c r="D156">
        <v>671.93035999999995</v>
      </c>
      <c r="E156">
        <v>661.37445000000002</v>
      </c>
      <c r="F156">
        <v>663.70630000000006</v>
      </c>
      <c r="G156">
        <f>_xlfn.MAXIFS(Crypto[Close],Crypto[Name],Crypto[[#This Row],[Name]],Crypto[Date],"&lt;="&amp;Crypto[[#This Row],[Date]])</f>
        <v>729.40008999999998</v>
      </c>
      <c r="H156" s="3">
        <f>(Crypto[[#This Row],[Close]]/Crypto[[#This Row],[Peak Close]])-1</f>
        <v>-9.0065508492053969E-2</v>
      </c>
      <c r="I156">
        <v>661.69890999999996</v>
      </c>
      <c r="J156" s="1">
        <v>45811</v>
      </c>
      <c r="K156" s="3">
        <v>3.0336909577198799E-3</v>
      </c>
      <c r="L156">
        <v>1561308740</v>
      </c>
      <c r="M156" s="2" t="s">
        <v>20</v>
      </c>
    </row>
    <row r="157" spans="1:13" x14ac:dyDescent="0.3">
      <c r="A157" s="1">
        <v>45813</v>
      </c>
      <c r="B157" s="2" t="s">
        <v>19</v>
      </c>
      <c r="C157">
        <v>663.70789000000002</v>
      </c>
      <c r="D157">
        <v>670.58056999999997</v>
      </c>
      <c r="E157">
        <v>626.68042000000003</v>
      </c>
      <c r="F157">
        <v>634.05358999999999</v>
      </c>
      <c r="G157">
        <f>_xlfn.MAXIFS(Crypto[Close],Crypto[Name],Crypto[[#This Row],[Name]],Crypto[Date],"&lt;="&amp;Crypto[[#This Row],[Date]])</f>
        <v>729.40008999999998</v>
      </c>
      <c r="H157" s="3">
        <f>(Crypto[[#This Row],[Close]]/Crypto[[#This Row],[Peak Close]])-1</f>
        <v>-0.13071906804947064</v>
      </c>
      <c r="I157">
        <v>663.70630000000006</v>
      </c>
      <c r="J157" s="1">
        <v>45812</v>
      </c>
      <c r="K157" s="3">
        <v>-4.4677457483829897E-2</v>
      </c>
      <c r="L157">
        <v>1987901562</v>
      </c>
      <c r="M157" s="2" t="s">
        <v>20</v>
      </c>
    </row>
    <row r="158" spans="1:13" x14ac:dyDescent="0.3">
      <c r="A158" s="1">
        <v>45814</v>
      </c>
      <c r="B158" s="2" t="s">
        <v>19</v>
      </c>
      <c r="C158">
        <v>634.05200000000002</v>
      </c>
      <c r="D158">
        <v>651.37963999999999</v>
      </c>
      <c r="E158">
        <v>631.10675000000003</v>
      </c>
      <c r="F158">
        <v>643.43420000000003</v>
      </c>
      <c r="G158">
        <f>_xlfn.MAXIFS(Crypto[Close],Crypto[Name],Crypto[[#This Row],[Name]],Crypto[Date],"&lt;="&amp;Crypto[[#This Row],[Date]])</f>
        <v>729.40008999999998</v>
      </c>
      <c r="H158" s="3">
        <f>(Crypto[[#This Row],[Close]]/Crypto[[#This Row],[Peak Close]])-1</f>
        <v>-0.11785834849567944</v>
      </c>
      <c r="I158">
        <v>634.05358999999999</v>
      </c>
      <c r="J158" s="1">
        <v>45813</v>
      </c>
      <c r="K158" s="3">
        <v>1.47946642806644E-2</v>
      </c>
      <c r="L158">
        <v>1728825229</v>
      </c>
      <c r="M158" s="2" t="s">
        <v>20</v>
      </c>
    </row>
    <row r="159" spans="1:13" x14ac:dyDescent="0.3">
      <c r="A159" s="1">
        <v>45815</v>
      </c>
      <c r="B159" s="2" t="s">
        <v>19</v>
      </c>
      <c r="C159">
        <v>643.44244000000003</v>
      </c>
      <c r="D159">
        <v>653.89116999999999</v>
      </c>
      <c r="E159">
        <v>640.94903999999997</v>
      </c>
      <c r="F159">
        <v>651.15044999999998</v>
      </c>
      <c r="G159">
        <f>_xlfn.MAXIFS(Crypto[Close],Crypto[Name],Crypto[[#This Row],[Name]],Crypto[Date],"&lt;="&amp;Crypto[[#This Row],[Date]])</f>
        <v>729.40008999999998</v>
      </c>
      <c r="H159" s="3">
        <f>(Crypto[[#This Row],[Close]]/Crypto[[#This Row],[Peak Close]])-1</f>
        <v>-0.10727944933486366</v>
      </c>
      <c r="I159">
        <v>643.43420000000003</v>
      </c>
      <c r="J159" s="1">
        <v>45814</v>
      </c>
      <c r="K159" s="3">
        <v>1.19922907423944E-2</v>
      </c>
      <c r="L159">
        <v>1468009270</v>
      </c>
      <c r="M159" s="2" t="s">
        <v>20</v>
      </c>
    </row>
    <row r="160" spans="1:13" x14ac:dyDescent="0.3">
      <c r="A160" s="1">
        <v>45816</v>
      </c>
      <c r="B160" s="2" t="s">
        <v>19</v>
      </c>
      <c r="C160">
        <v>651.15044999999998</v>
      </c>
      <c r="D160">
        <v>656.27770999999996</v>
      </c>
      <c r="E160">
        <v>646.93127000000004</v>
      </c>
      <c r="F160">
        <v>652.14783</v>
      </c>
      <c r="G160">
        <f>_xlfn.MAXIFS(Crypto[Close],Crypto[Name],Crypto[[#This Row],[Name]],Crypto[Date],"&lt;="&amp;Crypto[[#This Row],[Date]])</f>
        <v>729.40008999999998</v>
      </c>
      <c r="H160" s="3">
        <f>(Crypto[[#This Row],[Close]]/Crypto[[#This Row],[Peak Close]])-1</f>
        <v>-0.10591205164232975</v>
      </c>
      <c r="I160">
        <v>651.15044999999998</v>
      </c>
      <c r="J160" s="1">
        <v>45815</v>
      </c>
      <c r="K160" s="3">
        <v>1.5317197431100899E-3</v>
      </c>
      <c r="L160">
        <v>1385072458</v>
      </c>
      <c r="M160" s="2" t="s">
        <v>20</v>
      </c>
    </row>
    <row r="161" spans="1:13" x14ac:dyDescent="0.3">
      <c r="A161" s="1">
        <v>45817</v>
      </c>
      <c r="B161" s="2" t="s">
        <v>19</v>
      </c>
      <c r="C161">
        <v>652.14783</v>
      </c>
      <c r="D161">
        <v>667.71349999999995</v>
      </c>
      <c r="E161">
        <v>648.58330999999998</v>
      </c>
      <c r="F161">
        <v>665.95403999999996</v>
      </c>
      <c r="G161">
        <f>_xlfn.MAXIFS(Crypto[Close],Crypto[Name],Crypto[[#This Row],[Name]],Crypto[Date],"&lt;="&amp;Crypto[[#This Row],[Date]])</f>
        <v>729.40008999999998</v>
      </c>
      <c r="H161" s="3">
        <f>(Crypto[[#This Row],[Close]]/Crypto[[#This Row],[Peak Close]])-1</f>
        <v>-8.6983880136346059E-2</v>
      </c>
      <c r="I161">
        <v>652.14783</v>
      </c>
      <c r="J161" s="1">
        <v>45816</v>
      </c>
      <c r="K161" s="3">
        <v>2.1170368687725202E-2</v>
      </c>
      <c r="L161">
        <v>1629752670</v>
      </c>
      <c r="M161" s="2" t="s">
        <v>20</v>
      </c>
    </row>
    <row r="162" spans="1:13" x14ac:dyDescent="0.3">
      <c r="A162" s="1">
        <v>45818</v>
      </c>
      <c r="B162" s="2" t="s">
        <v>19</v>
      </c>
      <c r="C162">
        <v>665.95459000000005</v>
      </c>
      <c r="D162">
        <v>673.63073999999995</v>
      </c>
      <c r="E162">
        <v>657.62585000000001</v>
      </c>
      <c r="F162">
        <v>673.61046999999996</v>
      </c>
      <c r="G162">
        <f>_xlfn.MAXIFS(Crypto[Close],Crypto[Name],Crypto[[#This Row],[Name]],Crypto[Date],"&lt;="&amp;Crypto[[#This Row],[Date]])</f>
        <v>729.40008999999998</v>
      </c>
      <c r="H162" s="3">
        <f>(Crypto[[#This Row],[Close]]/Crypto[[#This Row],[Peak Close]])-1</f>
        <v>-7.6486993578517404E-2</v>
      </c>
      <c r="I162">
        <v>665.95403999999996</v>
      </c>
      <c r="J162" s="1">
        <v>45817</v>
      </c>
      <c r="K162" s="3">
        <v>1.1496934533199899E-2</v>
      </c>
      <c r="L162">
        <v>1849736872</v>
      </c>
      <c r="M162" s="2" t="s">
        <v>20</v>
      </c>
    </row>
    <row r="163" spans="1:13" x14ac:dyDescent="0.3">
      <c r="A163" s="1">
        <v>45819</v>
      </c>
      <c r="B163" s="2" t="s">
        <v>19</v>
      </c>
      <c r="C163">
        <v>673.61046999999996</v>
      </c>
      <c r="D163">
        <v>673.95061999999996</v>
      </c>
      <c r="E163">
        <v>663.13640999999996</v>
      </c>
      <c r="F163">
        <v>667.66907000000003</v>
      </c>
      <c r="G163">
        <f>_xlfn.MAXIFS(Crypto[Close],Crypto[Name],Crypto[[#This Row],[Name]],Crypto[Date],"&lt;="&amp;Crypto[[#This Row],[Date]])</f>
        <v>729.40008999999998</v>
      </c>
      <c r="H163" s="3">
        <f>(Crypto[[#This Row],[Close]]/Crypto[[#This Row],[Peak Close]])-1</f>
        <v>-8.4632591696005899E-2</v>
      </c>
      <c r="I163">
        <v>673.61046999999996</v>
      </c>
      <c r="J163" s="1">
        <v>45818</v>
      </c>
      <c r="K163" s="3">
        <v>-8.8202310750899304E-3</v>
      </c>
      <c r="L163">
        <v>1778663531</v>
      </c>
      <c r="M163" s="2" t="s">
        <v>20</v>
      </c>
    </row>
    <row r="164" spans="1:13" x14ac:dyDescent="0.3">
      <c r="A164" s="1">
        <v>45820</v>
      </c>
      <c r="B164" s="2" t="s">
        <v>19</v>
      </c>
      <c r="C164">
        <v>667.66907000000003</v>
      </c>
      <c r="D164">
        <v>669.51568999999995</v>
      </c>
      <c r="E164">
        <v>652.78972999999996</v>
      </c>
      <c r="F164">
        <v>656.24383999999998</v>
      </c>
      <c r="G164">
        <f>_xlfn.MAXIFS(Crypto[Close],Crypto[Name],Crypto[[#This Row],[Name]],Crypto[Date],"&lt;="&amp;Crypto[[#This Row],[Date]])</f>
        <v>729.40008999999998</v>
      </c>
      <c r="H164" s="3">
        <f>(Crypto[[#This Row],[Close]]/Crypto[[#This Row],[Peak Close]])-1</f>
        <v>-0.10029646418058435</v>
      </c>
      <c r="I164">
        <v>667.66907000000003</v>
      </c>
      <c r="J164" s="1">
        <v>45819</v>
      </c>
      <c r="K164" s="3">
        <v>-1.7112115138117799E-2</v>
      </c>
      <c r="L164">
        <v>1695465665</v>
      </c>
      <c r="M164" s="2" t="s">
        <v>20</v>
      </c>
    </row>
    <row r="165" spans="1:13" x14ac:dyDescent="0.3">
      <c r="A165" s="1">
        <v>45821</v>
      </c>
      <c r="B165" s="2" t="s">
        <v>19</v>
      </c>
      <c r="C165">
        <v>656.25201000000004</v>
      </c>
      <c r="D165">
        <v>659.31177000000002</v>
      </c>
      <c r="E165">
        <v>641.31232</v>
      </c>
      <c r="F165">
        <v>655.25573999999995</v>
      </c>
      <c r="G165">
        <f>_xlfn.MAXIFS(Crypto[Close],Crypto[Name],Crypto[[#This Row],[Name]],Crypto[Date],"&lt;="&amp;Crypto[[#This Row],[Date]])</f>
        <v>729.40008999999998</v>
      </c>
      <c r="H165" s="3">
        <f>(Crypto[[#This Row],[Close]]/Crypto[[#This Row],[Peak Close]])-1</f>
        <v>-0.10165113908883672</v>
      </c>
      <c r="I165">
        <v>656.24383999999998</v>
      </c>
      <c r="J165" s="1">
        <v>45820</v>
      </c>
      <c r="K165" s="3">
        <v>-1.5056903238894099E-3</v>
      </c>
      <c r="L165">
        <v>1964558213</v>
      </c>
      <c r="M165" s="2" t="s">
        <v>20</v>
      </c>
    </row>
    <row r="166" spans="1:13" x14ac:dyDescent="0.3">
      <c r="A166" s="1">
        <v>45822</v>
      </c>
      <c r="B166" s="2" t="s">
        <v>19</v>
      </c>
      <c r="C166">
        <v>655.26238999999998</v>
      </c>
      <c r="D166">
        <v>655.47838999999999</v>
      </c>
      <c r="E166">
        <v>639.63274999999999</v>
      </c>
      <c r="F166">
        <v>645.91278</v>
      </c>
      <c r="G166">
        <f>_xlfn.MAXIFS(Crypto[Close],Crypto[Name],Crypto[[#This Row],[Name]],Crypto[Date],"&lt;="&amp;Crypto[[#This Row],[Date]])</f>
        <v>729.40008999999998</v>
      </c>
      <c r="H166" s="3">
        <f>(Crypto[[#This Row],[Close]]/Crypto[[#This Row],[Peak Close]])-1</f>
        <v>-0.11446024088096829</v>
      </c>
      <c r="I166">
        <v>655.25573999999995</v>
      </c>
      <c r="J166" s="1">
        <v>45821</v>
      </c>
      <c r="K166" s="3">
        <v>-1.4258493943143401E-2</v>
      </c>
      <c r="L166">
        <v>1337524307</v>
      </c>
      <c r="M166" s="2" t="s">
        <v>20</v>
      </c>
    </row>
    <row r="167" spans="1:13" x14ac:dyDescent="0.3">
      <c r="A167" s="1">
        <v>45823</v>
      </c>
      <c r="B167" s="2" t="s">
        <v>19</v>
      </c>
      <c r="C167">
        <v>645.91234999999995</v>
      </c>
      <c r="D167">
        <v>651.70221000000004</v>
      </c>
      <c r="E167">
        <v>642.99798999999996</v>
      </c>
      <c r="F167">
        <v>648.28075999999999</v>
      </c>
      <c r="G167">
        <f>_xlfn.MAXIFS(Crypto[Close],Crypto[Name],Crypto[[#This Row],[Name]],Crypto[Date],"&lt;="&amp;Crypto[[#This Row],[Date]])</f>
        <v>729.40008999999998</v>
      </c>
      <c r="H167" s="3">
        <f>(Crypto[[#This Row],[Close]]/Crypto[[#This Row],[Peak Close]])-1</f>
        <v>-0.11121376472547462</v>
      </c>
      <c r="I167">
        <v>645.91278</v>
      </c>
      <c r="J167" s="1">
        <v>45822</v>
      </c>
      <c r="K167" s="3">
        <v>3.6660986952448699E-3</v>
      </c>
      <c r="L167">
        <v>1352632285</v>
      </c>
      <c r="M167" s="2" t="s">
        <v>20</v>
      </c>
    </row>
    <row r="168" spans="1:13" x14ac:dyDescent="0.3">
      <c r="A168" s="1">
        <v>45824</v>
      </c>
      <c r="B168" s="2" t="s">
        <v>19</v>
      </c>
      <c r="C168">
        <v>648.28179999999998</v>
      </c>
      <c r="D168">
        <v>659.24341000000004</v>
      </c>
      <c r="E168">
        <v>646.81329000000005</v>
      </c>
      <c r="F168">
        <v>650.96172999999999</v>
      </c>
      <c r="G168">
        <f>_xlfn.MAXIFS(Crypto[Close],Crypto[Name],Crypto[[#This Row],[Name]],Crypto[Date],"&lt;="&amp;Crypto[[#This Row],[Date]])</f>
        <v>729.40008999999998</v>
      </c>
      <c r="H168" s="3">
        <f>(Crypto[[#This Row],[Close]]/Crypto[[#This Row],[Peak Close]])-1</f>
        <v>-0.10753818250831304</v>
      </c>
      <c r="I168">
        <v>648.28075999999999</v>
      </c>
      <c r="J168" s="1">
        <v>45823</v>
      </c>
      <c r="K168" s="3">
        <v>4.1355075847075897E-3</v>
      </c>
      <c r="L168">
        <v>1588063609</v>
      </c>
      <c r="M168" s="2" t="s">
        <v>20</v>
      </c>
    </row>
    <row r="169" spans="1:13" x14ac:dyDescent="0.3">
      <c r="A169" s="1">
        <v>45825</v>
      </c>
      <c r="B169" s="2" t="s">
        <v>19</v>
      </c>
      <c r="C169">
        <v>650.96618999999998</v>
      </c>
      <c r="D169">
        <v>659.03881999999999</v>
      </c>
      <c r="E169">
        <v>640.85455000000002</v>
      </c>
      <c r="F169">
        <v>648.51080000000002</v>
      </c>
      <c r="G169">
        <f>_xlfn.MAXIFS(Crypto[Close],Crypto[Name],Crypto[[#This Row],[Name]],Crypto[Date],"&lt;="&amp;Crypto[[#This Row],[Date]])</f>
        <v>729.40008999999998</v>
      </c>
      <c r="H169" s="3">
        <f>(Crypto[[#This Row],[Close]]/Crypto[[#This Row],[Peak Close]])-1</f>
        <v>-0.1108983822582198</v>
      </c>
      <c r="I169">
        <v>650.96172999999999</v>
      </c>
      <c r="J169" s="1">
        <v>45824</v>
      </c>
      <c r="K169" s="3">
        <v>-3.7650907680855101E-3</v>
      </c>
      <c r="L169">
        <v>1784039065</v>
      </c>
      <c r="M169" s="2" t="s">
        <v>20</v>
      </c>
    </row>
    <row r="170" spans="1:13" x14ac:dyDescent="0.3">
      <c r="A170" s="1">
        <v>45826</v>
      </c>
      <c r="B170" s="2" t="s">
        <v>19</v>
      </c>
      <c r="C170">
        <v>648.51080000000002</v>
      </c>
      <c r="D170">
        <v>653.42969000000005</v>
      </c>
      <c r="E170">
        <v>637.94257000000005</v>
      </c>
      <c r="F170">
        <v>644.80676000000005</v>
      </c>
      <c r="G170">
        <f>_xlfn.MAXIFS(Crypto[Close],Crypto[Name],Crypto[[#This Row],[Name]],Crypto[Date],"&lt;="&amp;Crypto[[#This Row],[Date]])</f>
        <v>729.40008999999998</v>
      </c>
      <c r="H170" s="3">
        <f>(Crypto[[#This Row],[Close]]/Crypto[[#This Row],[Peak Close]])-1</f>
        <v>-0.11597658289293589</v>
      </c>
      <c r="I170">
        <v>648.51080000000002</v>
      </c>
      <c r="J170" s="1">
        <v>45825</v>
      </c>
      <c r="K170" s="3">
        <v>-5.7116088120659899E-3</v>
      </c>
      <c r="L170">
        <v>1667361898</v>
      </c>
      <c r="M170" s="2" t="s">
        <v>20</v>
      </c>
    </row>
    <row r="171" spans="1:13" x14ac:dyDescent="0.3">
      <c r="A171" s="1">
        <v>45827</v>
      </c>
      <c r="B171" s="2" t="s">
        <v>19</v>
      </c>
      <c r="C171">
        <v>644.80676000000005</v>
      </c>
      <c r="D171">
        <v>646.42589999999996</v>
      </c>
      <c r="E171">
        <v>639.02295000000004</v>
      </c>
      <c r="F171">
        <v>644.68073000000004</v>
      </c>
      <c r="G171">
        <f>_xlfn.MAXIFS(Crypto[Close],Crypto[Name],Crypto[[#This Row],[Name]],Crypto[Date],"&lt;="&amp;Crypto[[#This Row],[Date]])</f>
        <v>729.40008999999998</v>
      </c>
      <c r="H171" s="3">
        <f>(Crypto[[#This Row],[Close]]/Crypto[[#This Row],[Peak Close]])-1</f>
        <v>-0.11614936872300075</v>
      </c>
      <c r="I171">
        <v>644.80676000000005</v>
      </c>
      <c r="J171" s="1">
        <v>45826</v>
      </c>
      <c r="K171" s="3">
        <v>-1.9545390622147701E-4</v>
      </c>
      <c r="L171">
        <v>1374982734</v>
      </c>
      <c r="M171" s="2" t="s">
        <v>20</v>
      </c>
    </row>
    <row r="172" spans="1:13" x14ac:dyDescent="0.3">
      <c r="A172" s="1">
        <v>45828</v>
      </c>
      <c r="B172" s="2" t="s">
        <v>19</v>
      </c>
      <c r="C172">
        <v>644.68469000000005</v>
      </c>
      <c r="D172">
        <v>649.59673999999995</v>
      </c>
      <c r="E172">
        <v>638.65686000000005</v>
      </c>
      <c r="F172">
        <v>641.78441999999995</v>
      </c>
      <c r="G172">
        <f>_xlfn.MAXIFS(Crypto[Close],Crypto[Name],Crypto[[#This Row],[Name]],Crypto[Date],"&lt;="&amp;Crypto[[#This Row],[Date]])</f>
        <v>729.40008999999998</v>
      </c>
      <c r="H172" s="3">
        <f>(Crypto[[#This Row],[Close]]/Crypto[[#This Row],[Peak Close]])-1</f>
        <v>-0.12012017985904011</v>
      </c>
      <c r="I172">
        <v>644.68073000000004</v>
      </c>
      <c r="J172" s="1">
        <v>45827</v>
      </c>
      <c r="K172" s="3">
        <v>-4.4926269162723102E-3</v>
      </c>
      <c r="L172">
        <v>1614121225</v>
      </c>
      <c r="M172" s="2" t="s">
        <v>20</v>
      </c>
    </row>
    <row r="173" spans="1:13" x14ac:dyDescent="0.3">
      <c r="A173" s="1">
        <v>45829</v>
      </c>
      <c r="B173" s="2" t="s">
        <v>19</v>
      </c>
      <c r="C173">
        <v>641.78441999999995</v>
      </c>
      <c r="D173">
        <v>644.90344000000005</v>
      </c>
      <c r="E173">
        <v>624.71007999999995</v>
      </c>
      <c r="F173">
        <v>628.74785999999995</v>
      </c>
      <c r="G173">
        <f>_xlfn.MAXIFS(Crypto[Close],Crypto[Name],Crypto[[#This Row],[Name]],Crypto[Date],"&lt;="&amp;Crypto[[#This Row],[Date]])</f>
        <v>729.40008999999998</v>
      </c>
      <c r="H173" s="3">
        <f>(Crypto[[#This Row],[Close]]/Crypto[[#This Row],[Peak Close]])-1</f>
        <v>-0.13799316915357118</v>
      </c>
      <c r="I173">
        <v>641.78441999999995</v>
      </c>
      <c r="J173" s="1">
        <v>45828</v>
      </c>
      <c r="K173" s="3">
        <v>-2.0312989212171902E-2</v>
      </c>
      <c r="L173">
        <v>1486820788</v>
      </c>
      <c r="M173" s="2" t="s">
        <v>20</v>
      </c>
    </row>
    <row r="174" spans="1:13" x14ac:dyDescent="0.3">
      <c r="A174" s="1">
        <v>45830</v>
      </c>
      <c r="B174" s="2" t="s">
        <v>19</v>
      </c>
      <c r="C174">
        <v>628.74774000000002</v>
      </c>
      <c r="D174">
        <v>635.16992000000005</v>
      </c>
      <c r="E174">
        <v>602.70507999999995</v>
      </c>
      <c r="F174">
        <v>615.99463000000003</v>
      </c>
      <c r="G174">
        <f>_xlfn.MAXIFS(Crypto[Close],Crypto[Name],Crypto[[#This Row],[Name]],Crypto[Date],"&lt;="&amp;Crypto[[#This Row],[Date]])</f>
        <v>729.40008999999998</v>
      </c>
      <c r="H174" s="3">
        <f>(Crypto[[#This Row],[Close]]/Crypto[[#This Row],[Peak Close]])-1</f>
        <v>-0.15547771594050663</v>
      </c>
      <c r="I174">
        <v>628.74785999999995</v>
      </c>
      <c r="J174" s="1">
        <v>45829</v>
      </c>
      <c r="K174" s="3">
        <v>-2.02835362334274E-2</v>
      </c>
      <c r="L174">
        <v>1895564160</v>
      </c>
      <c r="M174" s="2" t="s">
        <v>20</v>
      </c>
    </row>
    <row r="175" spans="1:13" x14ac:dyDescent="0.3">
      <c r="A175" s="1">
        <v>45831</v>
      </c>
      <c r="B175" s="2" t="s">
        <v>19</v>
      </c>
      <c r="C175">
        <v>615.99456999999995</v>
      </c>
      <c r="D175">
        <v>642.79578000000004</v>
      </c>
      <c r="E175">
        <v>615.58838000000003</v>
      </c>
      <c r="F175">
        <v>641.2962</v>
      </c>
      <c r="G175">
        <f>_xlfn.MAXIFS(Crypto[Close],Crypto[Name],Crypto[[#This Row],[Name]],Crypto[Date],"&lt;="&amp;Crypto[[#This Row],[Date]])</f>
        <v>729.40008999999998</v>
      </c>
      <c r="H175" s="3">
        <f>(Crypto[[#This Row],[Close]]/Crypto[[#This Row],[Peak Close]])-1</f>
        <v>-0.12078952444329971</v>
      </c>
      <c r="I175">
        <v>615.99463000000003</v>
      </c>
      <c r="J175" s="1">
        <v>45830</v>
      </c>
      <c r="K175" s="3">
        <v>4.1074335339579097E-2</v>
      </c>
      <c r="L175">
        <v>1783710380</v>
      </c>
      <c r="M175" s="2" t="s">
        <v>20</v>
      </c>
    </row>
    <row r="176" spans="1:13" x14ac:dyDescent="0.3">
      <c r="A176" s="1">
        <v>45832</v>
      </c>
      <c r="B176" s="2" t="s">
        <v>19</v>
      </c>
      <c r="C176">
        <v>641.2962</v>
      </c>
      <c r="D176">
        <v>644.28174000000001</v>
      </c>
      <c r="E176">
        <v>636.90459999999996</v>
      </c>
      <c r="F176">
        <v>643.73717999999997</v>
      </c>
      <c r="G176">
        <f>_xlfn.MAXIFS(Crypto[Close],Crypto[Name],Crypto[[#This Row],[Name]],Crypto[Date],"&lt;="&amp;Crypto[[#This Row],[Date]])</f>
        <v>729.40008999999998</v>
      </c>
      <c r="H176" s="3">
        <f>(Crypto[[#This Row],[Close]]/Crypto[[#This Row],[Peak Close]])-1</f>
        <v>-0.11744296604076376</v>
      </c>
      <c r="I176">
        <v>641.2962</v>
      </c>
      <c r="J176" s="1">
        <v>45831</v>
      </c>
      <c r="K176" s="3">
        <v>3.8063222579518899E-3</v>
      </c>
      <c r="L176">
        <v>1498769929</v>
      </c>
      <c r="M176" s="2" t="s">
        <v>20</v>
      </c>
    </row>
    <row r="177" spans="1:13" x14ac:dyDescent="0.3">
      <c r="A177" s="1">
        <v>45833</v>
      </c>
      <c r="B177" s="2" t="s">
        <v>19</v>
      </c>
      <c r="C177">
        <v>643.73717999999997</v>
      </c>
      <c r="D177">
        <v>650.26819</v>
      </c>
      <c r="E177">
        <v>642.56457999999998</v>
      </c>
      <c r="F177">
        <v>645.92316000000005</v>
      </c>
      <c r="G177">
        <f>_xlfn.MAXIFS(Crypto[Close],Crypto[Name],Crypto[[#This Row],[Name]],Crypto[Date],"&lt;="&amp;Crypto[[#This Row],[Date]])</f>
        <v>729.40008999999998</v>
      </c>
      <c r="H177" s="3">
        <f>(Crypto[[#This Row],[Close]]/Crypto[[#This Row],[Peak Close]])-1</f>
        <v>-0.11444601000803267</v>
      </c>
      <c r="I177">
        <v>643.73717999999997</v>
      </c>
      <c r="J177" s="1">
        <v>45832</v>
      </c>
      <c r="K177" s="3">
        <v>3.3957647125494399E-3</v>
      </c>
      <c r="L177">
        <v>1653677161</v>
      </c>
      <c r="M177" s="2" t="s">
        <v>20</v>
      </c>
    </row>
    <row r="178" spans="1:13" x14ac:dyDescent="0.3">
      <c r="A178" s="1">
        <v>45834</v>
      </c>
      <c r="B178" s="2" t="s">
        <v>19</v>
      </c>
      <c r="C178">
        <v>645.92316000000005</v>
      </c>
      <c r="D178">
        <v>649.98413000000005</v>
      </c>
      <c r="E178">
        <v>641.81890999999996</v>
      </c>
      <c r="F178">
        <v>642.41425000000004</v>
      </c>
      <c r="G178">
        <f>_xlfn.MAXIFS(Crypto[Close],Crypto[Name],Crypto[[#This Row],[Name]],Crypto[Date],"&lt;="&amp;Crypto[[#This Row],[Date]])</f>
        <v>729.40008999999998</v>
      </c>
      <c r="H178" s="3">
        <f>(Crypto[[#This Row],[Close]]/Crypto[[#This Row],[Peak Close]])-1</f>
        <v>-0.11925668942541523</v>
      </c>
      <c r="I178">
        <v>645.92316000000005</v>
      </c>
      <c r="J178" s="1">
        <v>45833</v>
      </c>
      <c r="K178" s="3">
        <v>-5.4323953951426899E-3</v>
      </c>
      <c r="L178">
        <v>1439442979</v>
      </c>
      <c r="M178" s="2" t="s">
        <v>20</v>
      </c>
    </row>
    <row r="179" spans="1:13" x14ac:dyDescent="0.3">
      <c r="A179" s="1">
        <v>45835</v>
      </c>
      <c r="B179" s="2" t="s">
        <v>19</v>
      </c>
      <c r="C179">
        <v>642.41387999999995</v>
      </c>
      <c r="D179">
        <v>647.41112999999996</v>
      </c>
      <c r="E179">
        <v>640.54803000000004</v>
      </c>
      <c r="F179">
        <v>646.15363000000002</v>
      </c>
      <c r="G179">
        <f>_xlfn.MAXIFS(Crypto[Close],Crypto[Name],Crypto[[#This Row],[Name]],Crypto[Date],"&lt;="&amp;Crypto[[#This Row],[Date]])</f>
        <v>729.40008999999998</v>
      </c>
      <c r="H179" s="3">
        <f>(Crypto[[#This Row],[Close]]/Crypto[[#This Row],[Peak Close]])-1</f>
        <v>-0.11413003801521326</v>
      </c>
      <c r="I179">
        <v>642.41425000000004</v>
      </c>
      <c r="J179" s="1">
        <v>45834</v>
      </c>
      <c r="K179" s="3">
        <v>5.8208235573852596E-3</v>
      </c>
      <c r="L179">
        <v>1358247058</v>
      </c>
      <c r="M179" s="2" t="s">
        <v>20</v>
      </c>
    </row>
    <row r="180" spans="1:13" x14ac:dyDescent="0.3">
      <c r="A180" s="1">
        <v>45836</v>
      </c>
      <c r="B180" s="2" t="s">
        <v>19</v>
      </c>
      <c r="C180">
        <v>646.15363000000002</v>
      </c>
      <c r="D180">
        <v>649.16614000000004</v>
      </c>
      <c r="E180">
        <v>644.57421999999997</v>
      </c>
      <c r="F180">
        <v>648.75043000000005</v>
      </c>
      <c r="G180">
        <f>_xlfn.MAXIFS(Crypto[Close],Crypto[Name],Crypto[[#This Row],[Name]],Crypto[Date],"&lt;="&amp;Crypto[[#This Row],[Date]])</f>
        <v>729.40008999999998</v>
      </c>
      <c r="H180" s="3">
        <f>(Crypto[[#This Row],[Close]]/Crypto[[#This Row],[Peak Close]])-1</f>
        <v>-0.11056985199988112</v>
      </c>
      <c r="I180">
        <v>646.15363000000002</v>
      </c>
      <c r="J180" s="1">
        <v>45835</v>
      </c>
      <c r="K180" s="3">
        <v>4.0188584872610398E-3</v>
      </c>
      <c r="L180">
        <v>1185616315</v>
      </c>
      <c r="M180" s="2" t="s">
        <v>20</v>
      </c>
    </row>
    <row r="181" spans="1:13" x14ac:dyDescent="0.3">
      <c r="A181" s="1">
        <v>45837</v>
      </c>
      <c r="B181" s="2" t="s">
        <v>19</v>
      </c>
      <c r="C181">
        <v>648.75043000000005</v>
      </c>
      <c r="D181">
        <v>655.60266000000001</v>
      </c>
      <c r="E181">
        <v>647.27332000000001</v>
      </c>
      <c r="F181">
        <v>655.03619000000003</v>
      </c>
      <c r="G181">
        <f>_xlfn.MAXIFS(Crypto[Close],Crypto[Name],Crypto[[#This Row],[Name]],Crypto[Date],"&lt;="&amp;Crypto[[#This Row],[Date]])</f>
        <v>729.40008999999998</v>
      </c>
      <c r="H181" s="3">
        <f>(Crypto[[#This Row],[Close]]/Crypto[[#This Row],[Peak Close]])-1</f>
        <v>-0.1019521398742903</v>
      </c>
      <c r="I181">
        <v>648.75043000000005</v>
      </c>
      <c r="J181" s="1">
        <v>45836</v>
      </c>
      <c r="K181" s="3">
        <v>9.6890263332850193E-3</v>
      </c>
      <c r="L181">
        <v>1284469590</v>
      </c>
      <c r="M181" s="2" t="s">
        <v>20</v>
      </c>
    </row>
    <row r="182" spans="1:13" x14ac:dyDescent="0.3">
      <c r="A182" s="1">
        <v>45838</v>
      </c>
      <c r="B182" s="2" t="s">
        <v>19</v>
      </c>
      <c r="C182">
        <v>655.03619000000003</v>
      </c>
      <c r="D182">
        <v>659.89124000000004</v>
      </c>
      <c r="E182">
        <v>651.87383999999997</v>
      </c>
      <c r="F182">
        <v>657.02533000000005</v>
      </c>
      <c r="G182">
        <f>_xlfn.MAXIFS(Crypto[Close],Crypto[Name],Crypto[[#This Row],[Name]],Crypto[Date],"&lt;="&amp;Crypto[[#This Row],[Date]])</f>
        <v>729.40008999999998</v>
      </c>
      <c r="H182" s="3">
        <f>(Crypto[[#This Row],[Close]]/Crypto[[#This Row],[Peak Close]])-1</f>
        <v>-9.9225049451255098E-2</v>
      </c>
      <c r="I182">
        <v>655.03619000000003</v>
      </c>
      <c r="J182" s="1">
        <v>45837</v>
      </c>
      <c r="K182" s="3">
        <v>3.0366871790702401E-3</v>
      </c>
      <c r="L182">
        <v>1487336817</v>
      </c>
      <c r="M182" s="2" t="s">
        <v>20</v>
      </c>
    </row>
    <row r="183" spans="1:13" x14ac:dyDescent="0.3">
      <c r="A183" s="1">
        <v>45839</v>
      </c>
      <c r="B183" s="2" t="s">
        <v>19</v>
      </c>
      <c r="C183">
        <v>657.02581999999995</v>
      </c>
      <c r="D183">
        <v>658.98595999999998</v>
      </c>
      <c r="E183">
        <v>644.67249000000004</v>
      </c>
      <c r="F183">
        <v>646.39795000000004</v>
      </c>
      <c r="G183">
        <f>_xlfn.MAXIFS(Crypto[Close],Crypto[Name],Crypto[[#This Row],[Name]],Crypto[Date],"&lt;="&amp;Crypto[[#This Row],[Date]])</f>
        <v>729.40008999999998</v>
      </c>
      <c r="H183" s="3">
        <f>(Crypto[[#This Row],[Close]]/Crypto[[#This Row],[Peak Close]])-1</f>
        <v>-0.11379507781524945</v>
      </c>
      <c r="I183">
        <v>657.02533000000005</v>
      </c>
      <c r="J183" s="1">
        <v>45838</v>
      </c>
      <c r="K183" s="3">
        <v>-1.6174992827141101E-2</v>
      </c>
      <c r="L183">
        <v>1382771755</v>
      </c>
      <c r="M183" s="2" t="s">
        <v>20</v>
      </c>
    </row>
    <row r="184" spans="1:13" x14ac:dyDescent="0.3">
      <c r="A184" s="1">
        <v>45840</v>
      </c>
      <c r="B184" s="2" t="s">
        <v>19</v>
      </c>
      <c r="C184">
        <v>646.39795000000004</v>
      </c>
      <c r="D184">
        <v>664.78778</v>
      </c>
      <c r="E184">
        <v>644.87279999999998</v>
      </c>
      <c r="F184">
        <v>660.05724999999995</v>
      </c>
      <c r="G184">
        <f>_xlfn.MAXIFS(Crypto[Close],Crypto[Name],Crypto[[#This Row],[Name]],Crypto[Date],"&lt;="&amp;Crypto[[#This Row],[Date]])</f>
        <v>729.40008999999998</v>
      </c>
      <c r="H184" s="3">
        <f>(Crypto[[#This Row],[Close]]/Crypto[[#This Row],[Peak Close]])-1</f>
        <v>-9.5068318403964014E-2</v>
      </c>
      <c r="I184">
        <v>646.39795000000004</v>
      </c>
      <c r="J184" s="1">
        <v>45839</v>
      </c>
      <c r="K184" s="3">
        <v>2.1131409838165399E-2</v>
      </c>
      <c r="L184">
        <v>1576434816</v>
      </c>
      <c r="M184" s="2" t="s">
        <v>20</v>
      </c>
    </row>
    <row r="185" spans="1:13" x14ac:dyDescent="0.3">
      <c r="A185" s="1">
        <v>45841</v>
      </c>
      <c r="B185" s="2" t="s">
        <v>19</v>
      </c>
      <c r="C185">
        <v>660.05724999999995</v>
      </c>
      <c r="D185">
        <v>664.3877</v>
      </c>
      <c r="E185">
        <v>657.20258000000001</v>
      </c>
      <c r="F185">
        <v>663.32312000000002</v>
      </c>
      <c r="G185">
        <f>_xlfn.MAXIFS(Crypto[Close],Crypto[Name],Crypto[[#This Row],[Name]],Crypto[Date],"&lt;="&amp;Crypto[[#This Row],[Date]])</f>
        <v>729.40008999999998</v>
      </c>
      <c r="H185" s="3">
        <f>(Crypto[[#This Row],[Close]]/Crypto[[#This Row],[Peak Close]])-1</f>
        <v>-9.0590844319747732E-2</v>
      </c>
      <c r="I185">
        <v>660.05724999999995</v>
      </c>
      <c r="J185" s="1">
        <v>45840</v>
      </c>
      <c r="K185" s="3">
        <v>4.94785868953044E-3</v>
      </c>
      <c r="L185">
        <v>1512518612</v>
      </c>
      <c r="M185" s="2" t="s">
        <v>20</v>
      </c>
    </row>
    <row r="186" spans="1:13" x14ac:dyDescent="0.3">
      <c r="A186" s="1">
        <v>45842</v>
      </c>
      <c r="B186" s="2" t="s">
        <v>19</v>
      </c>
      <c r="C186">
        <v>663.32312000000002</v>
      </c>
      <c r="D186">
        <v>664.06195000000002</v>
      </c>
      <c r="E186">
        <v>650.71185000000003</v>
      </c>
      <c r="F186">
        <v>653.73950000000002</v>
      </c>
      <c r="G186">
        <f>_xlfn.MAXIFS(Crypto[Close],Crypto[Name],Crypto[[#This Row],[Name]],Crypto[Date],"&lt;="&amp;Crypto[[#This Row],[Date]])</f>
        <v>729.40008999999998</v>
      </c>
      <c r="H186" s="3">
        <f>(Crypto[[#This Row],[Close]]/Crypto[[#This Row],[Peak Close]])-1</f>
        <v>-0.10372988848959419</v>
      </c>
      <c r="I186">
        <v>663.32312000000002</v>
      </c>
      <c r="J186" s="1">
        <v>45841</v>
      </c>
      <c r="K186" s="3">
        <v>-1.4447890795665301E-2</v>
      </c>
      <c r="L186">
        <v>1379813703</v>
      </c>
      <c r="M186" s="2" t="s">
        <v>20</v>
      </c>
    </row>
    <row r="187" spans="1:13" x14ac:dyDescent="0.3">
      <c r="A187" s="1">
        <v>45843</v>
      </c>
      <c r="B187" s="2" t="s">
        <v>19</v>
      </c>
      <c r="C187">
        <v>653.73950000000002</v>
      </c>
      <c r="D187">
        <v>656.66187000000002</v>
      </c>
      <c r="E187">
        <v>652.34014999999999</v>
      </c>
      <c r="F187">
        <v>656.14287999999999</v>
      </c>
      <c r="G187">
        <f>_xlfn.MAXIFS(Crypto[Close],Crypto[Name],Crypto[[#This Row],[Name]],Crypto[Date],"&lt;="&amp;Crypto[[#This Row],[Date]])</f>
        <v>729.40008999999998</v>
      </c>
      <c r="H187" s="3">
        <f>(Crypto[[#This Row],[Close]]/Crypto[[#This Row],[Peak Close]])-1</f>
        <v>-0.10043487929923345</v>
      </c>
      <c r="I187">
        <v>653.73950000000002</v>
      </c>
      <c r="J187" s="1">
        <v>45842</v>
      </c>
      <c r="K187" s="3">
        <v>3.6763573258155099E-3</v>
      </c>
      <c r="L187">
        <v>1193229342</v>
      </c>
      <c r="M187" s="2" t="s">
        <v>20</v>
      </c>
    </row>
    <row r="188" spans="1:13" x14ac:dyDescent="0.3">
      <c r="A188" s="1">
        <v>45844</v>
      </c>
      <c r="B188" s="2" t="s">
        <v>19</v>
      </c>
      <c r="C188">
        <v>656.14293999999995</v>
      </c>
      <c r="D188">
        <v>664.62738000000002</v>
      </c>
      <c r="E188">
        <v>653.87365999999997</v>
      </c>
      <c r="F188">
        <v>663.08898999999997</v>
      </c>
      <c r="G188">
        <f>_xlfn.MAXIFS(Crypto[Close],Crypto[Name],Crypto[[#This Row],[Name]],Crypto[Date],"&lt;="&amp;Crypto[[#This Row],[Date]])</f>
        <v>729.40008999999998</v>
      </c>
      <c r="H188" s="3">
        <f>(Crypto[[#This Row],[Close]]/Crypto[[#This Row],[Peak Close]])-1</f>
        <v>-9.0911834134816183E-2</v>
      </c>
      <c r="I188">
        <v>656.14287999999999</v>
      </c>
      <c r="J188" s="1">
        <v>45843</v>
      </c>
      <c r="K188" s="3">
        <v>1.05862765743949E-2</v>
      </c>
      <c r="L188">
        <v>1387600565</v>
      </c>
      <c r="M188" s="2" t="s">
        <v>20</v>
      </c>
    </row>
    <row r="189" spans="1:13" x14ac:dyDescent="0.3">
      <c r="A189" s="1">
        <v>45845</v>
      </c>
      <c r="B189" s="2" t="s">
        <v>19</v>
      </c>
      <c r="C189">
        <v>663.08898999999997</v>
      </c>
      <c r="D189">
        <v>663.22833000000003</v>
      </c>
      <c r="E189">
        <v>657.10608000000002</v>
      </c>
      <c r="F189">
        <v>661.01819</v>
      </c>
      <c r="G189">
        <f>_xlfn.MAXIFS(Crypto[Close],Crypto[Name],Crypto[[#This Row],[Name]],Crypto[Date],"&lt;="&amp;Crypto[[#This Row],[Date]])</f>
        <v>729.40008999999998</v>
      </c>
      <c r="H189" s="3">
        <f>(Crypto[[#This Row],[Close]]/Crypto[[#This Row],[Peak Close]])-1</f>
        <v>-9.3750879575570045E-2</v>
      </c>
      <c r="I189">
        <v>663.08898999999997</v>
      </c>
      <c r="J189" s="1">
        <v>45844</v>
      </c>
      <c r="K189" s="3">
        <v>-3.1229594085101001E-3</v>
      </c>
      <c r="L189">
        <v>1524912345</v>
      </c>
      <c r="M189" s="2" t="s">
        <v>20</v>
      </c>
    </row>
    <row r="190" spans="1:13" x14ac:dyDescent="0.3">
      <c r="A190" s="1">
        <v>45846</v>
      </c>
      <c r="B190" s="2" t="s">
        <v>19</v>
      </c>
      <c r="C190">
        <v>661.01806999999997</v>
      </c>
      <c r="D190">
        <v>662.49743999999998</v>
      </c>
      <c r="E190">
        <v>657.56506000000002</v>
      </c>
      <c r="F190">
        <v>660.76288</v>
      </c>
      <c r="G190">
        <f>_xlfn.MAXIFS(Crypto[Close],Crypto[Name],Crypto[[#This Row],[Name]],Crypto[Date],"&lt;="&amp;Crypto[[#This Row],[Date]])</f>
        <v>729.40008999999998</v>
      </c>
      <c r="H190" s="3">
        <f>(Crypto[[#This Row],[Close]]/Crypto[[#This Row],[Peak Close]])-1</f>
        <v>-9.4100906952177654E-2</v>
      </c>
      <c r="I190">
        <v>661.01819</v>
      </c>
      <c r="J190" s="1">
        <v>45845</v>
      </c>
      <c r="K190" s="3">
        <v>-3.86237480091143E-4</v>
      </c>
      <c r="L190">
        <v>1517607542</v>
      </c>
      <c r="M190" s="2" t="s">
        <v>20</v>
      </c>
    </row>
    <row r="191" spans="1:13" x14ac:dyDescent="0.3">
      <c r="A191" s="1">
        <v>45847</v>
      </c>
      <c r="B191" s="2" t="s">
        <v>19</v>
      </c>
      <c r="C191">
        <v>660.76288</v>
      </c>
      <c r="D191">
        <v>670.78510000000006</v>
      </c>
      <c r="E191">
        <v>659.59924000000001</v>
      </c>
      <c r="F191">
        <v>669.15252999999996</v>
      </c>
      <c r="G191">
        <f>_xlfn.MAXIFS(Crypto[Close],Crypto[Name],Crypto[[#This Row],[Name]],Crypto[Date],"&lt;="&amp;Crypto[[#This Row],[Date]])</f>
        <v>729.40008999999998</v>
      </c>
      <c r="H191" s="3">
        <f>(Crypto[[#This Row],[Close]]/Crypto[[#This Row],[Peak Close]])-1</f>
        <v>-8.2598783337139436E-2</v>
      </c>
      <c r="I191">
        <v>660.76288</v>
      </c>
      <c r="J191" s="1">
        <v>45846</v>
      </c>
      <c r="K191" s="3">
        <v>1.26969148145852E-2</v>
      </c>
      <c r="L191">
        <v>1667011677</v>
      </c>
      <c r="M191" s="2" t="s">
        <v>20</v>
      </c>
    </row>
    <row r="192" spans="1:13" x14ac:dyDescent="0.3">
      <c r="A192" s="1">
        <v>45848</v>
      </c>
      <c r="B192" s="2" t="s">
        <v>19</v>
      </c>
      <c r="C192">
        <v>669.15252999999996</v>
      </c>
      <c r="D192">
        <v>687.35424999999998</v>
      </c>
      <c r="E192">
        <v>668.03107</v>
      </c>
      <c r="F192">
        <v>685.66070999999999</v>
      </c>
      <c r="G192">
        <f>_xlfn.MAXIFS(Crypto[Close],Crypto[Name],Crypto[[#This Row],[Name]],Crypto[Date],"&lt;="&amp;Crypto[[#This Row],[Date]])</f>
        <v>729.40008999999998</v>
      </c>
      <c r="H192" s="3">
        <f>(Crypto[[#This Row],[Close]]/Crypto[[#This Row],[Peak Close]])-1</f>
        <v>-5.9966238830598373E-2</v>
      </c>
      <c r="I192">
        <v>669.15252999999996</v>
      </c>
      <c r="J192" s="1">
        <v>45847</v>
      </c>
      <c r="K192" s="3">
        <v>2.4670279584835499E-2</v>
      </c>
      <c r="L192">
        <v>2023565748</v>
      </c>
      <c r="M192" s="2" t="s">
        <v>20</v>
      </c>
    </row>
    <row r="193" spans="1:13" x14ac:dyDescent="0.3">
      <c r="A193" s="1">
        <v>45849</v>
      </c>
      <c r="B193" s="2" t="s">
        <v>19</v>
      </c>
      <c r="C193">
        <v>685.66070999999999</v>
      </c>
      <c r="D193">
        <v>696.86950999999999</v>
      </c>
      <c r="E193">
        <v>683.85271999999998</v>
      </c>
      <c r="F193">
        <v>689.87334999999996</v>
      </c>
      <c r="G193">
        <f>_xlfn.MAXIFS(Crypto[Close],Crypto[Name],Crypto[[#This Row],[Name]],Crypto[Date],"&lt;="&amp;Crypto[[#This Row],[Date]])</f>
        <v>729.40008999999998</v>
      </c>
      <c r="H193" s="3">
        <f>(Crypto[[#This Row],[Close]]/Crypto[[#This Row],[Peak Close]])-1</f>
        <v>-5.4190752841832057E-2</v>
      </c>
      <c r="I193">
        <v>685.66070999999999</v>
      </c>
      <c r="J193" s="1">
        <v>45848</v>
      </c>
      <c r="K193" s="3">
        <v>6.1439133649643799E-3</v>
      </c>
      <c r="L193">
        <v>2327541748</v>
      </c>
      <c r="M193" s="2" t="s">
        <v>20</v>
      </c>
    </row>
    <row r="194" spans="1:13" x14ac:dyDescent="0.3">
      <c r="A194" s="1">
        <v>45850</v>
      </c>
      <c r="B194" s="2" t="s">
        <v>19</v>
      </c>
      <c r="C194">
        <v>689.87334999999996</v>
      </c>
      <c r="D194">
        <v>696.95489999999995</v>
      </c>
      <c r="E194">
        <v>680.40161000000001</v>
      </c>
      <c r="F194">
        <v>685.77788999999996</v>
      </c>
      <c r="G194">
        <f>_xlfn.MAXIFS(Crypto[Close],Crypto[Name],Crypto[[#This Row],[Name]],Crypto[Date],"&lt;="&amp;Crypto[[#This Row],[Date]])</f>
        <v>729.40008999999998</v>
      </c>
      <c r="H194" s="3">
        <f>(Crypto[[#This Row],[Close]]/Crypto[[#This Row],[Peak Close]])-1</f>
        <v>-5.9805586259250476E-2</v>
      </c>
      <c r="I194">
        <v>689.87334999999996</v>
      </c>
      <c r="J194" s="1">
        <v>45849</v>
      </c>
      <c r="K194" s="3">
        <v>-5.9365389313850202E-3</v>
      </c>
      <c r="L194">
        <v>1715321874</v>
      </c>
      <c r="M194" s="2" t="s">
        <v>20</v>
      </c>
    </row>
    <row r="195" spans="1:13" x14ac:dyDescent="0.3">
      <c r="A195" s="1">
        <v>45851</v>
      </c>
      <c r="B195" s="2" t="s">
        <v>19</v>
      </c>
      <c r="C195">
        <v>685.77788999999996</v>
      </c>
      <c r="D195">
        <v>694.01233000000002</v>
      </c>
      <c r="E195">
        <v>685.46722</v>
      </c>
      <c r="F195">
        <v>692.23041000000001</v>
      </c>
      <c r="G195">
        <f>_xlfn.MAXIFS(Crypto[Close],Crypto[Name],Crypto[[#This Row],[Name]],Crypto[Date],"&lt;="&amp;Crypto[[#This Row],[Date]])</f>
        <v>729.40008999999998</v>
      </c>
      <c r="H195" s="3">
        <f>(Crypto[[#This Row],[Close]]/Crypto[[#This Row],[Peak Close]])-1</f>
        <v>-5.0959247893703985E-2</v>
      </c>
      <c r="I195">
        <v>685.77788999999996</v>
      </c>
      <c r="J195" s="1">
        <v>45850</v>
      </c>
      <c r="K195" s="3">
        <v>9.4090522515971609E-3</v>
      </c>
      <c r="L195">
        <v>1631603869</v>
      </c>
      <c r="M195" s="2" t="s">
        <v>20</v>
      </c>
    </row>
    <row r="196" spans="1:13" x14ac:dyDescent="0.3">
      <c r="A196" s="1">
        <v>45852</v>
      </c>
      <c r="B196" s="2" t="s">
        <v>19</v>
      </c>
      <c r="C196">
        <v>692.23041000000001</v>
      </c>
      <c r="D196">
        <v>706.71331999999995</v>
      </c>
      <c r="E196">
        <v>686.82885999999996</v>
      </c>
      <c r="F196">
        <v>689.41674999999998</v>
      </c>
      <c r="G196">
        <f>_xlfn.MAXIFS(Crypto[Close],Crypto[Name],Crypto[[#This Row],[Name]],Crypto[Date],"&lt;="&amp;Crypto[[#This Row],[Date]])</f>
        <v>729.40008999999998</v>
      </c>
      <c r="H196" s="3">
        <f>(Crypto[[#This Row],[Close]]/Crypto[[#This Row],[Peak Close]])-1</f>
        <v>-5.4816746732235799E-2</v>
      </c>
      <c r="I196">
        <v>692.23041000000001</v>
      </c>
      <c r="J196" s="1">
        <v>45851</v>
      </c>
      <c r="K196" s="3">
        <v>-4.0646292901232502E-3</v>
      </c>
      <c r="L196">
        <v>2362276526</v>
      </c>
      <c r="M196" s="2" t="s">
        <v>20</v>
      </c>
    </row>
    <row r="197" spans="1:13" x14ac:dyDescent="0.3">
      <c r="A197" s="1">
        <v>45853</v>
      </c>
      <c r="B197" s="2" t="s">
        <v>19</v>
      </c>
      <c r="C197">
        <v>689.41674999999998</v>
      </c>
      <c r="D197">
        <v>692.94317999999998</v>
      </c>
      <c r="E197">
        <v>675.87671</v>
      </c>
      <c r="F197">
        <v>689.92114000000004</v>
      </c>
      <c r="G197">
        <f>_xlfn.MAXIFS(Crypto[Close],Crypto[Name],Crypto[[#This Row],[Name]],Crypto[Date],"&lt;="&amp;Crypto[[#This Row],[Date]])</f>
        <v>729.40008999999998</v>
      </c>
      <c r="H197" s="3">
        <f>(Crypto[[#This Row],[Close]]/Crypto[[#This Row],[Peak Close]])-1</f>
        <v>-5.4125233244761373E-2</v>
      </c>
      <c r="I197">
        <v>689.41674999999998</v>
      </c>
      <c r="J197" s="1">
        <v>45852</v>
      </c>
      <c r="K197" s="3">
        <v>7.3161842963643902E-4</v>
      </c>
      <c r="L197">
        <v>2167202399</v>
      </c>
      <c r="M197" s="2" t="s">
        <v>20</v>
      </c>
    </row>
    <row r="198" spans="1:13" x14ac:dyDescent="0.3">
      <c r="A198" s="1">
        <v>45854</v>
      </c>
      <c r="B198" s="2" t="s">
        <v>19</v>
      </c>
      <c r="C198">
        <v>689.92114000000004</v>
      </c>
      <c r="D198">
        <v>714.79088999999999</v>
      </c>
      <c r="E198">
        <v>685.67615000000001</v>
      </c>
      <c r="F198">
        <v>708.12609999999995</v>
      </c>
      <c r="G198">
        <f>_xlfn.MAXIFS(Crypto[Close],Crypto[Name],Crypto[[#This Row],[Name]],Crypto[Date],"&lt;="&amp;Crypto[[#This Row],[Date]])</f>
        <v>729.40008999999998</v>
      </c>
      <c r="H198" s="3">
        <f>(Crypto[[#This Row],[Close]]/Crypto[[#This Row],[Peak Close]])-1</f>
        <v>-2.9166420859641051E-2</v>
      </c>
      <c r="I198">
        <v>689.92114000000004</v>
      </c>
      <c r="J198" s="1">
        <v>45853</v>
      </c>
      <c r="K198" s="3">
        <v>2.6387015768207799E-2</v>
      </c>
      <c r="L198">
        <v>2298649454</v>
      </c>
      <c r="M198" s="2" t="s">
        <v>20</v>
      </c>
    </row>
    <row r="199" spans="1:13" x14ac:dyDescent="0.3">
      <c r="A199" s="1">
        <v>45855</v>
      </c>
      <c r="B199" s="2" t="s">
        <v>19</v>
      </c>
      <c r="C199">
        <v>708.12609999999995</v>
      </c>
      <c r="D199">
        <v>726.66063999999994</v>
      </c>
      <c r="E199">
        <v>707.88977</v>
      </c>
      <c r="F199">
        <v>721.21198000000004</v>
      </c>
      <c r="G199">
        <f>_xlfn.MAXIFS(Crypto[Close],Crypto[Name],Crypto[[#This Row],[Name]],Crypto[Date],"&lt;="&amp;Crypto[[#This Row],[Date]])</f>
        <v>729.40008999999998</v>
      </c>
      <c r="H199" s="3">
        <f>(Crypto[[#This Row],[Close]]/Crypto[[#This Row],[Peak Close]])-1</f>
        <v>-1.1225814353820418E-2</v>
      </c>
      <c r="I199">
        <v>708.12609999999995</v>
      </c>
      <c r="J199" s="1">
        <v>45854</v>
      </c>
      <c r="K199" s="3">
        <v>1.8479590005226601E-2</v>
      </c>
      <c r="L199">
        <v>2877681453</v>
      </c>
      <c r="M199" s="2" t="s">
        <v>20</v>
      </c>
    </row>
    <row r="200" spans="1:13" x14ac:dyDescent="0.3">
      <c r="A200" s="1">
        <v>45856</v>
      </c>
      <c r="B200" s="2" t="s">
        <v>19</v>
      </c>
      <c r="C200">
        <v>721.21198000000004</v>
      </c>
      <c r="D200">
        <v>763.05480999999997</v>
      </c>
      <c r="E200">
        <v>720.23559999999998</v>
      </c>
      <c r="F200">
        <v>730.21636999999998</v>
      </c>
      <c r="G200">
        <f>_xlfn.MAXIFS(Crypto[Close],Crypto[Name],Crypto[[#This Row],[Name]],Crypto[Date],"&lt;="&amp;Crypto[[#This Row],[Date]])</f>
        <v>730.21636999999998</v>
      </c>
      <c r="H200" s="3">
        <f>(Crypto[[#This Row],[Close]]/Crypto[[#This Row],[Peak Close]])-1</f>
        <v>0</v>
      </c>
      <c r="I200">
        <v>721.21198000000004</v>
      </c>
      <c r="J200" s="1">
        <v>45855</v>
      </c>
      <c r="K200" s="3">
        <v>1.24850810159864E-2</v>
      </c>
      <c r="L200">
        <v>3407382999</v>
      </c>
      <c r="M200" s="2" t="s">
        <v>20</v>
      </c>
    </row>
    <row r="201" spans="1:13" x14ac:dyDescent="0.3">
      <c r="A201" s="1">
        <v>45857</v>
      </c>
      <c r="B201" s="2" t="s">
        <v>19</v>
      </c>
      <c r="C201">
        <v>730.26080000000002</v>
      </c>
      <c r="D201">
        <v>742.33178999999996</v>
      </c>
      <c r="E201">
        <v>721.08704</v>
      </c>
      <c r="F201">
        <v>733.52904999999998</v>
      </c>
      <c r="G201">
        <f>_xlfn.MAXIFS(Crypto[Close],Crypto[Name],Crypto[[#This Row],[Name]],Crypto[Date],"&lt;="&amp;Crypto[[#This Row],[Date]])</f>
        <v>733.52904999999998</v>
      </c>
      <c r="H201" s="3">
        <f>(Crypto[[#This Row],[Close]]/Crypto[[#This Row],[Peak Close]])-1</f>
        <v>0</v>
      </c>
      <c r="I201">
        <v>730.21636999999998</v>
      </c>
      <c r="J201" s="1">
        <v>45856</v>
      </c>
      <c r="K201" s="3">
        <v>4.5365731803574897E-3</v>
      </c>
      <c r="L201">
        <v>2067691091</v>
      </c>
      <c r="M201" s="2" t="s">
        <v>20</v>
      </c>
    </row>
    <row r="202" spans="1:13" x14ac:dyDescent="0.3">
      <c r="A202" s="1">
        <v>45858</v>
      </c>
      <c r="B202" s="2" t="s">
        <v>19</v>
      </c>
      <c r="C202">
        <v>733.52904999999998</v>
      </c>
      <c r="D202">
        <v>760.44048999999995</v>
      </c>
      <c r="E202">
        <v>732.34484999999995</v>
      </c>
      <c r="F202">
        <v>757.73992999999996</v>
      </c>
      <c r="G202">
        <f>_xlfn.MAXIFS(Crypto[Close],Crypto[Name],Crypto[[#This Row],[Name]],Crypto[Date],"&lt;="&amp;Crypto[[#This Row],[Date]])</f>
        <v>757.73992999999996</v>
      </c>
      <c r="H202" s="3">
        <f>(Crypto[[#This Row],[Close]]/Crypto[[#This Row],[Peak Close]])-1</f>
        <v>0</v>
      </c>
      <c r="I202">
        <v>733.52904999999998</v>
      </c>
      <c r="J202" s="1">
        <v>45857</v>
      </c>
      <c r="K202" s="3">
        <v>3.30060275049774E-2</v>
      </c>
      <c r="L202">
        <v>2353254456</v>
      </c>
      <c r="M202" s="2" t="s">
        <v>20</v>
      </c>
    </row>
    <row r="203" spans="1:13" x14ac:dyDescent="0.3">
      <c r="A203" s="1">
        <v>45859</v>
      </c>
      <c r="B203" s="2" t="s">
        <v>19</v>
      </c>
      <c r="C203">
        <v>757.73992999999996</v>
      </c>
      <c r="D203">
        <v>780.96538999999996</v>
      </c>
      <c r="E203">
        <v>747.55706999999995</v>
      </c>
      <c r="F203">
        <v>766.78394000000003</v>
      </c>
      <c r="G203">
        <f>_xlfn.MAXIFS(Crypto[Close],Crypto[Name],Crypto[[#This Row],[Name]],Crypto[Date],"&lt;="&amp;Crypto[[#This Row],[Date]])</f>
        <v>766.78394000000003</v>
      </c>
      <c r="H203" s="3">
        <f>(Crypto[[#This Row],[Close]]/Crypto[[#This Row],[Peak Close]])-1</f>
        <v>0</v>
      </c>
      <c r="I203">
        <v>757.73992999999996</v>
      </c>
      <c r="J203" s="1">
        <v>45858</v>
      </c>
      <c r="K203" s="3">
        <v>1.19355066849916E-2</v>
      </c>
      <c r="L203">
        <v>2776231461</v>
      </c>
      <c r="M203" s="2" t="s">
        <v>20</v>
      </c>
    </row>
    <row r="204" spans="1:13" x14ac:dyDescent="0.3">
      <c r="A204" s="1">
        <v>45860</v>
      </c>
      <c r="B204" s="2" t="s">
        <v>19</v>
      </c>
      <c r="C204">
        <v>766.78394000000003</v>
      </c>
      <c r="D204">
        <v>787.24823000000004</v>
      </c>
      <c r="E204">
        <v>746.10883000000001</v>
      </c>
      <c r="F204">
        <v>786.14116999999999</v>
      </c>
      <c r="G204">
        <f>_xlfn.MAXIFS(Crypto[Close],Crypto[Name],Crypto[[#This Row],[Name]],Crypto[Date],"&lt;="&amp;Crypto[[#This Row],[Date]])</f>
        <v>786.14116999999999</v>
      </c>
      <c r="H204" s="3">
        <f>(Crypto[[#This Row],[Close]]/Crypto[[#This Row],[Peak Close]])-1</f>
        <v>0</v>
      </c>
      <c r="I204">
        <v>766.78394000000003</v>
      </c>
      <c r="J204" s="1">
        <v>45859</v>
      </c>
      <c r="K204" s="3">
        <v>2.5244699308647402E-2</v>
      </c>
      <c r="L204">
        <v>3009453883</v>
      </c>
      <c r="M204" s="2" t="s">
        <v>20</v>
      </c>
    </row>
    <row r="205" spans="1:13" x14ac:dyDescent="0.3">
      <c r="A205" s="1">
        <v>45861</v>
      </c>
      <c r="B205" s="2" t="s">
        <v>19</v>
      </c>
      <c r="C205">
        <v>786.14116999999999</v>
      </c>
      <c r="D205">
        <v>809.31359999999995</v>
      </c>
      <c r="E205">
        <v>753.77886999999998</v>
      </c>
      <c r="F205">
        <v>776.64044000000001</v>
      </c>
      <c r="G205">
        <f>_xlfn.MAXIFS(Crypto[Close],Crypto[Name],Crypto[[#This Row],[Name]],Crypto[Date],"&lt;="&amp;Crypto[[#This Row],[Date]])</f>
        <v>786.14116999999999</v>
      </c>
      <c r="H205" s="3">
        <f>(Crypto[[#This Row],[Close]]/Crypto[[#This Row],[Peak Close]])-1</f>
        <v>-1.208527216555777E-2</v>
      </c>
      <c r="I205">
        <v>786.14116999999999</v>
      </c>
      <c r="J205" s="1">
        <v>45860</v>
      </c>
      <c r="K205" s="3">
        <v>-1.2085272165557701E-2</v>
      </c>
      <c r="L205">
        <v>3987433985</v>
      </c>
      <c r="M205" s="2" t="s">
        <v>20</v>
      </c>
    </row>
    <row r="206" spans="1:13" x14ac:dyDescent="0.3">
      <c r="A206" s="1">
        <v>45862</v>
      </c>
      <c r="B206" s="2" t="s">
        <v>19</v>
      </c>
      <c r="C206">
        <v>776.67449999999997</v>
      </c>
      <c r="D206">
        <v>785.41754000000003</v>
      </c>
      <c r="E206">
        <v>745.39409999999998</v>
      </c>
      <c r="F206">
        <v>771.23999000000003</v>
      </c>
      <c r="G206">
        <f>_xlfn.MAXIFS(Crypto[Close],Crypto[Name],Crypto[[#This Row],[Name]],Crypto[Date],"&lt;="&amp;Crypto[[#This Row],[Date]])</f>
        <v>786.14116999999999</v>
      </c>
      <c r="H206" s="3">
        <f>(Crypto[[#This Row],[Close]]/Crypto[[#This Row],[Peak Close]])-1</f>
        <v>-1.895483987945823E-2</v>
      </c>
      <c r="I206">
        <v>776.64044000000001</v>
      </c>
      <c r="J206" s="1">
        <v>45861</v>
      </c>
      <c r="K206" s="3">
        <v>-6.9536039096804898E-3</v>
      </c>
      <c r="L206">
        <v>2833667773</v>
      </c>
      <c r="M206" s="2" t="s">
        <v>20</v>
      </c>
    </row>
    <row r="207" spans="1:13" x14ac:dyDescent="0.3">
      <c r="A207" s="1">
        <v>45863</v>
      </c>
      <c r="B207" s="2" t="s">
        <v>19</v>
      </c>
      <c r="C207">
        <v>771.23999000000003</v>
      </c>
      <c r="D207">
        <v>785.64409999999998</v>
      </c>
      <c r="E207">
        <v>753.60619999999994</v>
      </c>
      <c r="F207">
        <v>785.60645</v>
      </c>
      <c r="G207">
        <f>_xlfn.MAXIFS(Crypto[Close],Crypto[Name],Crypto[[#This Row],[Name]],Crypto[Date],"&lt;="&amp;Crypto[[#This Row],[Date]])</f>
        <v>786.14116999999999</v>
      </c>
      <c r="H207" s="3">
        <f>(Crypto[[#This Row],[Close]]/Crypto[[#This Row],[Peak Close]])-1</f>
        <v>-6.8018317880491619E-4</v>
      </c>
      <c r="I207">
        <v>771.23999000000003</v>
      </c>
      <c r="J207" s="1">
        <v>45862</v>
      </c>
      <c r="K207" s="3">
        <v>1.8627742578545398E-2</v>
      </c>
      <c r="L207">
        <v>2536046506</v>
      </c>
      <c r="M207" s="2" t="s">
        <v>20</v>
      </c>
    </row>
    <row r="208" spans="1:13" x14ac:dyDescent="0.3">
      <c r="A208" s="1">
        <v>45864</v>
      </c>
      <c r="B208" s="2" t="s">
        <v>19</v>
      </c>
      <c r="C208">
        <v>785.60645</v>
      </c>
      <c r="D208">
        <v>797.19672000000003</v>
      </c>
      <c r="E208">
        <v>778.93982000000005</v>
      </c>
      <c r="F208">
        <v>793.28259000000003</v>
      </c>
      <c r="G208">
        <f>_xlfn.MAXIFS(Crypto[Close],Crypto[Name],Crypto[[#This Row],[Name]],Crypto[Date],"&lt;="&amp;Crypto[[#This Row],[Date]])</f>
        <v>793.28259000000003</v>
      </c>
      <c r="H208" s="3">
        <f>(Crypto[[#This Row],[Close]]/Crypto[[#This Row],[Peak Close]])-1</f>
        <v>0</v>
      </c>
      <c r="I208">
        <v>785.60645</v>
      </c>
      <c r="J208" s="1">
        <v>45863</v>
      </c>
      <c r="K208" s="3">
        <v>9.7709737490063002E-3</v>
      </c>
      <c r="L208">
        <v>1760509145</v>
      </c>
      <c r="M208" s="2" t="s">
        <v>20</v>
      </c>
    </row>
    <row r="209" spans="1:13" x14ac:dyDescent="0.3">
      <c r="A209" s="1">
        <v>45865</v>
      </c>
      <c r="B209" s="2" t="s">
        <v>19</v>
      </c>
      <c r="C209">
        <v>793.28259000000003</v>
      </c>
      <c r="D209">
        <v>846.22107000000005</v>
      </c>
      <c r="E209">
        <v>792.66332999999997</v>
      </c>
      <c r="F209">
        <v>843.26196000000004</v>
      </c>
      <c r="G209">
        <f>_xlfn.MAXIFS(Crypto[Close],Crypto[Name],Crypto[[#This Row],[Name]],Crypto[Date],"&lt;="&amp;Crypto[[#This Row],[Date]])</f>
        <v>843.26196000000004</v>
      </c>
      <c r="H209" s="3">
        <f>(Crypto[[#This Row],[Close]]/Crypto[[#This Row],[Peak Close]])-1</f>
        <v>0</v>
      </c>
      <c r="I209">
        <v>793.28259000000003</v>
      </c>
      <c r="J209" s="1">
        <v>45864</v>
      </c>
      <c r="K209" s="3">
        <v>6.3003235706962896E-2</v>
      </c>
      <c r="L209">
        <v>2914460887</v>
      </c>
      <c r="M209" s="2" t="s">
        <v>20</v>
      </c>
    </row>
    <row r="210" spans="1:13" x14ac:dyDescent="0.3">
      <c r="A210" s="1">
        <v>45866</v>
      </c>
      <c r="B210" s="2" t="s">
        <v>19</v>
      </c>
      <c r="C210">
        <v>843.26196000000004</v>
      </c>
      <c r="D210">
        <v>859.56286999999998</v>
      </c>
      <c r="E210">
        <v>821.68158000000005</v>
      </c>
      <c r="F210">
        <v>822.01855</v>
      </c>
      <c r="G210">
        <f>_xlfn.MAXIFS(Crypto[Close],Crypto[Name],Crypto[[#This Row],[Name]],Crypto[Date],"&lt;="&amp;Crypto[[#This Row],[Date]])</f>
        <v>843.26196000000004</v>
      </c>
      <c r="H210" s="3">
        <f>(Crypto[[#This Row],[Close]]/Crypto[[#This Row],[Peak Close]])-1</f>
        <v>-2.5191946284402578E-2</v>
      </c>
      <c r="I210">
        <v>843.26196000000004</v>
      </c>
      <c r="J210" s="1">
        <v>45865</v>
      </c>
      <c r="K210" s="3">
        <v>-2.5191946284402598E-2</v>
      </c>
      <c r="L210">
        <v>3448410233</v>
      </c>
      <c r="M210" s="2" t="s">
        <v>20</v>
      </c>
    </row>
    <row r="211" spans="1:13" x14ac:dyDescent="0.3">
      <c r="A211" s="1">
        <v>45867</v>
      </c>
      <c r="B211" s="2" t="s">
        <v>19</v>
      </c>
      <c r="C211">
        <v>822.07916</v>
      </c>
      <c r="D211">
        <v>834.46142999999995</v>
      </c>
      <c r="E211">
        <v>800.64282000000003</v>
      </c>
      <c r="F211">
        <v>804.89892999999995</v>
      </c>
      <c r="G211">
        <f>_xlfn.MAXIFS(Crypto[Close],Crypto[Name],Crypto[[#This Row],[Name]],Crypto[Date],"&lt;="&amp;Crypto[[#This Row],[Date]])</f>
        <v>843.26196000000004</v>
      </c>
      <c r="H211" s="3">
        <f>(Crypto[[#This Row],[Close]]/Crypto[[#This Row],[Peak Close]])-1</f>
        <v>-4.5493609127109313E-2</v>
      </c>
      <c r="I211">
        <v>822.01855</v>
      </c>
      <c r="J211" s="1">
        <v>45866</v>
      </c>
      <c r="K211" s="3">
        <v>-2.0826318335516899E-2</v>
      </c>
      <c r="L211">
        <v>3097306022</v>
      </c>
      <c r="M211" s="2" t="s">
        <v>20</v>
      </c>
    </row>
    <row r="212" spans="1:13" x14ac:dyDescent="0.3">
      <c r="A212" s="1">
        <v>45868</v>
      </c>
      <c r="B212" s="2" t="s">
        <v>19</v>
      </c>
      <c r="C212">
        <v>804.89892999999995</v>
      </c>
      <c r="D212">
        <v>810.44195999999999</v>
      </c>
      <c r="E212">
        <v>771.18127000000004</v>
      </c>
      <c r="F212">
        <v>793.14484000000004</v>
      </c>
      <c r="G212">
        <f>_xlfn.MAXIFS(Crypto[Close],Crypto[Name],Crypto[[#This Row],[Name]],Crypto[Date],"&lt;="&amp;Crypto[[#This Row],[Date]])</f>
        <v>843.26196000000004</v>
      </c>
      <c r="H212" s="3">
        <f>(Crypto[[#This Row],[Close]]/Crypto[[#This Row],[Peak Close]])-1</f>
        <v>-5.9432444930872963E-2</v>
      </c>
      <c r="I212">
        <v>804.89892999999995</v>
      </c>
      <c r="J212" s="1">
        <v>45867</v>
      </c>
      <c r="K212" s="3">
        <v>-1.4603187508275E-2</v>
      </c>
      <c r="L212">
        <v>2836541071</v>
      </c>
      <c r="M212" s="2" t="s">
        <v>20</v>
      </c>
    </row>
    <row r="213" spans="1:13" x14ac:dyDescent="0.3">
      <c r="A213" s="1">
        <v>45869</v>
      </c>
      <c r="B213" s="2" t="s">
        <v>19</v>
      </c>
      <c r="C213">
        <v>793.14484000000004</v>
      </c>
      <c r="D213">
        <v>813.00891000000001</v>
      </c>
      <c r="E213">
        <v>782.82587000000001</v>
      </c>
      <c r="F213">
        <v>783.66681000000005</v>
      </c>
      <c r="G213">
        <f>_xlfn.MAXIFS(Crypto[Close],Crypto[Name],Crypto[[#This Row],[Name]],Crypto[Date],"&lt;="&amp;Crypto[[#This Row],[Date]])</f>
        <v>843.26196000000004</v>
      </c>
      <c r="H213" s="3">
        <f>(Crypto[[#This Row],[Close]]/Crypto[[#This Row],[Peak Close]])-1</f>
        <v>-7.0672166926633362E-2</v>
      </c>
      <c r="I213">
        <v>793.14484000000004</v>
      </c>
      <c r="J213" s="1">
        <v>45868</v>
      </c>
      <c r="K213" s="3">
        <v>-1.1949935903258199E-2</v>
      </c>
      <c r="L213">
        <v>2581137230</v>
      </c>
      <c r="M213" s="2" t="s">
        <v>20</v>
      </c>
    </row>
    <row r="214" spans="1:13" x14ac:dyDescent="0.3">
      <c r="A214" s="1">
        <v>45870</v>
      </c>
      <c r="B214" s="2" t="s">
        <v>19</v>
      </c>
      <c r="C214">
        <v>783.66467</v>
      </c>
      <c r="D214">
        <v>794.89954</v>
      </c>
      <c r="E214">
        <v>746.34533999999996</v>
      </c>
      <c r="F214">
        <v>757.18658000000005</v>
      </c>
      <c r="G214">
        <f>_xlfn.MAXIFS(Crypto[Close],Crypto[Name],Crypto[[#This Row],[Name]],Crypto[Date],"&lt;="&amp;Crypto[[#This Row],[Date]])</f>
        <v>843.26196000000004</v>
      </c>
      <c r="H214" s="3">
        <f>(Crypto[[#This Row],[Close]]/Crypto[[#This Row],[Peak Close]])-1</f>
        <v>-0.10207430677888041</v>
      </c>
      <c r="I214">
        <v>783.66681000000005</v>
      </c>
      <c r="J214" s="1">
        <v>45869</v>
      </c>
      <c r="K214" s="3">
        <v>-3.3790163960114597E-2</v>
      </c>
      <c r="L214">
        <v>3061372565</v>
      </c>
      <c r="M214" s="2" t="s">
        <v>20</v>
      </c>
    </row>
    <row r="215" spans="1:13" x14ac:dyDescent="0.3">
      <c r="A215" s="1">
        <v>45871</v>
      </c>
      <c r="B215" s="2" t="s">
        <v>19</v>
      </c>
      <c r="C215">
        <v>757.22125000000005</v>
      </c>
      <c r="D215">
        <v>769.56104000000005</v>
      </c>
      <c r="E215">
        <v>732.53174000000001</v>
      </c>
      <c r="F215">
        <v>736.64642000000003</v>
      </c>
      <c r="G215">
        <f>_xlfn.MAXIFS(Crypto[Close],Crypto[Name],Crypto[[#This Row],[Name]],Crypto[Date],"&lt;="&amp;Crypto[[#This Row],[Date]])</f>
        <v>843.26196000000004</v>
      </c>
      <c r="H215" s="3">
        <f>(Crypto[[#This Row],[Close]]/Crypto[[#This Row],[Peak Close]])-1</f>
        <v>-0.12643228920227823</v>
      </c>
      <c r="I215">
        <v>757.18658000000005</v>
      </c>
      <c r="J215" s="1">
        <v>45870</v>
      </c>
      <c r="K215" s="3">
        <v>-2.7126946703149499E-2</v>
      </c>
      <c r="L215">
        <v>2181365266</v>
      </c>
      <c r="M215" s="2" t="s">
        <v>20</v>
      </c>
    </row>
    <row r="216" spans="1:13" x14ac:dyDescent="0.3">
      <c r="A216" s="1">
        <v>45872</v>
      </c>
      <c r="B216" s="2" t="s">
        <v>19</v>
      </c>
      <c r="C216">
        <v>736.64642000000003</v>
      </c>
      <c r="D216">
        <v>755.12505999999996</v>
      </c>
      <c r="E216">
        <v>732.38849000000005</v>
      </c>
      <c r="F216">
        <v>751.56097</v>
      </c>
      <c r="G216">
        <f>_xlfn.MAXIFS(Crypto[Close],Crypto[Name],Crypto[[#This Row],[Name]],Crypto[Date],"&lt;="&amp;Crypto[[#This Row],[Date]])</f>
        <v>843.26196000000004</v>
      </c>
      <c r="H216" s="3">
        <f>(Crypto[[#This Row],[Close]]/Crypto[[#This Row],[Peak Close]])-1</f>
        <v>-0.10874555517718365</v>
      </c>
      <c r="I216">
        <v>736.64642000000003</v>
      </c>
      <c r="J216" s="1">
        <v>45871</v>
      </c>
      <c r="K216" s="3">
        <v>2.0246551934644499E-2</v>
      </c>
      <c r="L216">
        <v>1761506433</v>
      </c>
      <c r="M216" s="2" t="s">
        <v>20</v>
      </c>
    </row>
    <row r="217" spans="1:13" x14ac:dyDescent="0.3">
      <c r="A217" s="1">
        <v>45873</v>
      </c>
      <c r="B217" s="2" t="s">
        <v>19</v>
      </c>
      <c r="C217">
        <v>751.55980999999997</v>
      </c>
      <c r="D217">
        <v>769.55853000000002</v>
      </c>
      <c r="E217">
        <v>750.83771000000002</v>
      </c>
      <c r="F217">
        <v>769.05907999999999</v>
      </c>
      <c r="G217">
        <f>_xlfn.MAXIFS(Crypto[Close],Crypto[Name],Crypto[[#This Row],[Name]],Crypto[Date],"&lt;="&amp;Crypto[[#This Row],[Date]])</f>
        <v>843.26196000000004</v>
      </c>
      <c r="H217" s="3">
        <f>(Crypto[[#This Row],[Close]]/Crypto[[#This Row],[Peak Close]])-1</f>
        <v>-8.7995051976493821E-2</v>
      </c>
      <c r="I217">
        <v>751.56097</v>
      </c>
      <c r="J217" s="1">
        <v>45872</v>
      </c>
      <c r="K217" s="3">
        <v>2.3282355921170301E-2</v>
      </c>
      <c r="L217">
        <v>1940596416</v>
      </c>
      <c r="M217" s="2" t="s">
        <v>20</v>
      </c>
    </row>
    <row r="218" spans="1:13" x14ac:dyDescent="0.3">
      <c r="A218" s="1">
        <v>45874</v>
      </c>
      <c r="B218" s="2" t="s">
        <v>19</v>
      </c>
      <c r="C218">
        <v>769.05829000000006</v>
      </c>
      <c r="D218">
        <v>769.16339000000005</v>
      </c>
      <c r="E218">
        <v>746.69519000000003</v>
      </c>
      <c r="F218">
        <v>754.85100999999997</v>
      </c>
      <c r="G218">
        <f>_xlfn.MAXIFS(Crypto[Close],Crypto[Name],Crypto[[#This Row],[Name]],Crypto[Date],"&lt;="&amp;Crypto[[#This Row],[Date]])</f>
        <v>843.26196000000004</v>
      </c>
      <c r="H218" s="3">
        <f>(Crypto[[#This Row],[Close]]/Crypto[[#This Row],[Peak Close]])-1</f>
        <v>-0.10484399177688519</v>
      </c>
      <c r="I218">
        <v>769.05907999999999</v>
      </c>
      <c r="J218" s="1">
        <v>45873</v>
      </c>
      <c r="K218" s="3">
        <v>-1.8474614460048999E-2</v>
      </c>
      <c r="L218">
        <v>1951120762</v>
      </c>
      <c r="M218" s="2" t="s">
        <v>20</v>
      </c>
    </row>
    <row r="219" spans="1:13" x14ac:dyDescent="0.3">
      <c r="A219" s="1">
        <v>45875</v>
      </c>
      <c r="B219" s="2" t="s">
        <v>19</v>
      </c>
      <c r="C219">
        <v>754.85100999999997</v>
      </c>
      <c r="D219">
        <v>774.80286000000001</v>
      </c>
      <c r="E219">
        <v>747.72637999999995</v>
      </c>
      <c r="F219">
        <v>769.84784000000002</v>
      </c>
      <c r="G219">
        <f>_xlfn.MAXIFS(Crypto[Close],Crypto[Name],Crypto[[#This Row],[Name]],Crypto[Date],"&lt;="&amp;Crypto[[#This Row],[Date]])</f>
        <v>843.26196000000004</v>
      </c>
      <c r="H219" s="3">
        <f>(Crypto[[#This Row],[Close]]/Crypto[[#This Row],[Peak Close]])-1</f>
        <v>-8.7059684276520666E-2</v>
      </c>
      <c r="I219">
        <v>754.85100999999997</v>
      </c>
      <c r="J219" s="1">
        <v>45874</v>
      </c>
      <c r="K219" s="3">
        <v>1.98672715560122E-2</v>
      </c>
      <c r="L219">
        <v>1969112524</v>
      </c>
      <c r="M219" s="2" t="s">
        <v>20</v>
      </c>
    </row>
    <row r="220" spans="1:13" x14ac:dyDescent="0.3">
      <c r="A220" s="1">
        <v>45876</v>
      </c>
      <c r="B220" s="2" t="s">
        <v>19</v>
      </c>
      <c r="C220">
        <v>769.84784000000002</v>
      </c>
      <c r="D220">
        <v>788.19635000000005</v>
      </c>
      <c r="E220">
        <v>765.34307999999999</v>
      </c>
      <c r="F220">
        <v>788.19635000000005</v>
      </c>
      <c r="G220">
        <f>_xlfn.MAXIFS(Crypto[Close],Crypto[Name],Crypto[[#This Row],[Name]],Crypto[Date],"&lt;="&amp;Crypto[[#This Row],[Date]])</f>
        <v>843.26196000000004</v>
      </c>
      <c r="H220" s="3">
        <f>(Crypto[[#This Row],[Close]]/Crypto[[#This Row],[Peak Close]])-1</f>
        <v>-6.5300716280383364E-2</v>
      </c>
      <c r="I220">
        <v>769.84784000000002</v>
      </c>
      <c r="J220" s="1">
        <v>45875</v>
      </c>
      <c r="K220" s="3">
        <v>2.38339436011148E-2</v>
      </c>
      <c r="L220">
        <v>2162190917</v>
      </c>
      <c r="M220" s="2" t="s">
        <v>20</v>
      </c>
    </row>
    <row r="221" spans="1:13" x14ac:dyDescent="0.3">
      <c r="A221" s="1">
        <v>45877</v>
      </c>
      <c r="B221" s="2" t="s">
        <v>19</v>
      </c>
      <c r="C221">
        <v>788.19653000000005</v>
      </c>
      <c r="D221">
        <v>797.89422999999999</v>
      </c>
      <c r="E221">
        <v>781.46660999999995</v>
      </c>
      <c r="F221">
        <v>793.43957999999998</v>
      </c>
      <c r="G221">
        <f>_xlfn.MAXIFS(Crypto[Close],Crypto[Name],Crypto[[#This Row],[Name]],Crypto[Date],"&lt;="&amp;Crypto[[#This Row],[Date]])</f>
        <v>843.26196000000004</v>
      </c>
      <c r="H221" s="3">
        <f>(Crypto[[#This Row],[Close]]/Crypto[[#This Row],[Peak Close]])-1</f>
        <v>-5.9082921278697409E-2</v>
      </c>
      <c r="I221">
        <v>788.19635000000005</v>
      </c>
      <c r="J221" s="1">
        <v>45876</v>
      </c>
      <c r="K221" s="3">
        <v>6.6521876179709899E-3</v>
      </c>
      <c r="L221">
        <v>2429517922</v>
      </c>
      <c r="M221" s="2" t="s">
        <v>20</v>
      </c>
    </row>
    <row r="222" spans="1:13" x14ac:dyDescent="0.3">
      <c r="A222" s="1">
        <v>45878</v>
      </c>
      <c r="B222" s="2" t="s">
        <v>19</v>
      </c>
      <c r="C222">
        <v>793.43957999999998</v>
      </c>
      <c r="D222">
        <v>818.51208999999994</v>
      </c>
      <c r="E222">
        <v>793.19732999999997</v>
      </c>
      <c r="F222">
        <v>799.08672999999999</v>
      </c>
      <c r="G222">
        <f>_xlfn.MAXIFS(Crypto[Close],Crypto[Name],Crypto[[#This Row],[Name]],Crypto[Date],"&lt;="&amp;Crypto[[#This Row],[Date]])</f>
        <v>843.26196000000004</v>
      </c>
      <c r="H222" s="3">
        <f>(Crypto[[#This Row],[Close]]/Crypto[[#This Row],[Peak Close]])-1</f>
        <v>-5.2386129216596022E-2</v>
      </c>
      <c r="I222">
        <v>793.43957999999998</v>
      </c>
      <c r="J222" s="1">
        <v>45877</v>
      </c>
      <c r="K222" s="3">
        <v>7.11730312218608E-3</v>
      </c>
      <c r="L222">
        <v>2215143664</v>
      </c>
      <c r="M222" s="2" t="s">
        <v>20</v>
      </c>
    </row>
    <row r="223" spans="1:13" x14ac:dyDescent="0.3">
      <c r="A223" s="1">
        <v>45879</v>
      </c>
      <c r="B223" s="2" t="s">
        <v>19</v>
      </c>
      <c r="C223">
        <v>799.08672999999999</v>
      </c>
      <c r="D223">
        <v>815.07250999999997</v>
      </c>
      <c r="E223">
        <v>796.26819</v>
      </c>
      <c r="F223">
        <v>805.87347</v>
      </c>
      <c r="G223">
        <f>_xlfn.MAXIFS(Crypto[Close],Crypto[Name],Crypto[[#This Row],[Name]],Crypto[Date],"&lt;="&amp;Crypto[[#This Row],[Date]])</f>
        <v>843.26196000000004</v>
      </c>
      <c r="H223" s="3">
        <f>(Crypto[[#This Row],[Close]]/Crypto[[#This Row],[Peak Close]])-1</f>
        <v>-4.4337930291554972E-2</v>
      </c>
      <c r="I223">
        <v>799.08672999999999</v>
      </c>
      <c r="J223" s="1">
        <v>45878</v>
      </c>
      <c r="K223" s="3">
        <v>8.4931206403590399E-3</v>
      </c>
      <c r="L223">
        <v>2090904941</v>
      </c>
      <c r="M223" s="2" t="s">
        <v>20</v>
      </c>
    </row>
    <row r="224" spans="1:13" x14ac:dyDescent="0.3">
      <c r="A224" s="1">
        <v>45880</v>
      </c>
      <c r="B224" s="2" t="s">
        <v>19</v>
      </c>
      <c r="C224">
        <v>805.87347</v>
      </c>
      <c r="D224">
        <v>826.50982999999997</v>
      </c>
      <c r="E224">
        <v>793.37865999999997</v>
      </c>
      <c r="F224">
        <v>806.73022000000003</v>
      </c>
      <c r="G224">
        <f>_xlfn.MAXIFS(Crypto[Close],Crypto[Name],Crypto[[#This Row],[Name]],Crypto[Date],"&lt;="&amp;Crypto[[#This Row],[Date]])</f>
        <v>843.26196000000004</v>
      </c>
      <c r="H224" s="3">
        <f>(Crypto[[#This Row],[Close]]/Crypto[[#This Row],[Peak Close]])-1</f>
        <v>-4.332193521453287E-2</v>
      </c>
      <c r="I224">
        <v>805.87347</v>
      </c>
      <c r="J224" s="1">
        <v>45879</v>
      </c>
      <c r="K224" s="3">
        <v>1.06313215646624E-3</v>
      </c>
      <c r="L224">
        <v>2805693912</v>
      </c>
      <c r="M224" s="2" t="s">
        <v>20</v>
      </c>
    </row>
    <row r="225" spans="1:13" x14ac:dyDescent="0.3">
      <c r="A225" s="1">
        <v>45881</v>
      </c>
      <c r="B225" s="2" t="s">
        <v>19</v>
      </c>
      <c r="C225">
        <v>806.74359000000004</v>
      </c>
      <c r="D225">
        <v>838.86150999999995</v>
      </c>
      <c r="E225">
        <v>798.66205000000002</v>
      </c>
      <c r="F225">
        <v>832.92656999999997</v>
      </c>
      <c r="G225">
        <f>_xlfn.MAXIFS(Crypto[Close],Crypto[Name],Crypto[[#This Row],[Name]],Crypto[Date],"&lt;="&amp;Crypto[[#This Row],[Date]])</f>
        <v>843.26196000000004</v>
      </c>
      <c r="H225" s="3">
        <f>(Crypto[[#This Row],[Close]]/Crypto[[#This Row],[Peak Close]])-1</f>
        <v>-1.2256440454162187E-2</v>
      </c>
      <c r="I225">
        <v>806.73022000000003</v>
      </c>
      <c r="J225" s="1">
        <v>45880</v>
      </c>
      <c r="K225" s="3">
        <v>3.2472255718894401E-2</v>
      </c>
      <c r="L225">
        <v>2889217820</v>
      </c>
      <c r="M225" s="2" t="s">
        <v>20</v>
      </c>
    </row>
    <row r="226" spans="1:13" x14ac:dyDescent="0.3">
      <c r="A226" s="1">
        <v>45882</v>
      </c>
      <c r="B226" s="2" t="s">
        <v>19</v>
      </c>
      <c r="C226">
        <v>832.92656999999997</v>
      </c>
      <c r="D226">
        <v>857.76238999999998</v>
      </c>
      <c r="E226">
        <v>829.07647999999995</v>
      </c>
      <c r="F226">
        <v>849.00549000000001</v>
      </c>
      <c r="G226">
        <f>_xlfn.MAXIFS(Crypto[Close],Crypto[Name],Crypto[[#This Row],[Name]],Crypto[Date],"&lt;="&amp;Crypto[[#This Row],[Date]])</f>
        <v>849.00549000000001</v>
      </c>
      <c r="H226" s="3">
        <f>(Crypto[[#This Row],[Close]]/Crypto[[#This Row],[Peak Close]])-1</f>
        <v>0</v>
      </c>
      <c r="I226">
        <v>832.92656999999997</v>
      </c>
      <c r="J226" s="1">
        <v>45881</v>
      </c>
      <c r="K226" s="3">
        <v>1.93041266530854E-2</v>
      </c>
      <c r="L226">
        <v>3364649534</v>
      </c>
      <c r="M226" s="2" t="s">
        <v>20</v>
      </c>
    </row>
    <row r="227" spans="1:13" x14ac:dyDescent="0.3">
      <c r="A227" s="1">
        <v>45883</v>
      </c>
      <c r="B227" s="2" t="s">
        <v>19</v>
      </c>
      <c r="C227">
        <v>849.00549000000001</v>
      </c>
      <c r="D227">
        <v>868.67980999999997</v>
      </c>
      <c r="E227">
        <v>826.00220000000002</v>
      </c>
      <c r="F227">
        <v>840.93097</v>
      </c>
      <c r="G227">
        <f>_xlfn.MAXIFS(Crypto[Close],Crypto[Name],Crypto[[#This Row],[Name]],Crypto[Date],"&lt;="&amp;Crypto[[#This Row],[Date]])</f>
        <v>849.00549000000001</v>
      </c>
      <c r="H227" s="3">
        <f>(Crypto[[#This Row],[Close]]/Crypto[[#This Row],[Peak Close]])-1</f>
        <v>-9.5105627644410662E-3</v>
      </c>
      <c r="I227">
        <v>849.00549000000001</v>
      </c>
      <c r="J227" s="1">
        <v>45882</v>
      </c>
      <c r="K227" s="3">
        <v>-9.5105627644410193E-3</v>
      </c>
      <c r="L227">
        <v>4687490471</v>
      </c>
      <c r="M227" s="2" t="s">
        <v>20</v>
      </c>
    </row>
    <row r="228" spans="1:13" x14ac:dyDescent="0.3">
      <c r="A228" s="1">
        <v>45884</v>
      </c>
      <c r="B228" s="2" t="s">
        <v>19</v>
      </c>
      <c r="C228">
        <v>840.93097</v>
      </c>
      <c r="D228">
        <v>853.49834999999996</v>
      </c>
      <c r="E228">
        <v>813.85126000000002</v>
      </c>
      <c r="F228">
        <v>827.28917999999999</v>
      </c>
      <c r="G228">
        <f>_xlfn.MAXIFS(Crypto[Close],Crypto[Name],Crypto[[#This Row],[Name]],Crypto[Date],"&lt;="&amp;Crypto[[#This Row],[Date]])</f>
        <v>849.00549000000001</v>
      </c>
      <c r="H228" s="3">
        <f>(Crypto[[#This Row],[Close]]/Crypto[[#This Row],[Peak Close]])-1</f>
        <v>-2.5578527177721799E-2</v>
      </c>
      <c r="I228">
        <v>840.93097</v>
      </c>
      <c r="J228" s="1">
        <v>45883</v>
      </c>
      <c r="K228" s="3">
        <v>-1.6222247112625699E-2</v>
      </c>
      <c r="L228">
        <v>3843113557</v>
      </c>
      <c r="M228" s="2" t="s">
        <v>20</v>
      </c>
    </row>
    <row r="229" spans="1:13" x14ac:dyDescent="0.3">
      <c r="A229" s="1">
        <v>45885</v>
      </c>
      <c r="B229" s="2" t="s">
        <v>19</v>
      </c>
      <c r="C229">
        <v>827.28917999999999</v>
      </c>
      <c r="D229">
        <v>839.51648</v>
      </c>
      <c r="E229">
        <v>826.61469</v>
      </c>
      <c r="F229">
        <v>839.39806999999996</v>
      </c>
      <c r="G229">
        <f>_xlfn.MAXIFS(Crypto[Close],Crypto[Name],Crypto[[#This Row],[Name]],Crypto[Date],"&lt;="&amp;Crypto[[#This Row],[Date]])</f>
        <v>849.00549000000001</v>
      </c>
      <c r="H229" s="3">
        <f>(Crypto[[#This Row],[Close]]/Crypto[[#This Row],[Peak Close]])-1</f>
        <v>-1.1316087013760079E-2</v>
      </c>
      <c r="I229">
        <v>827.28917999999999</v>
      </c>
      <c r="J229" s="1">
        <v>45884</v>
      </c>
      <c r="K229" s="3">
        <v>1.46368286842576E-2</v>
      </c>
      <c r="L229">
        <v>1960223183</v>
      </c>
      <c r="M229" s="2" t="s">
        <v>20</v>
      </c>
    </row>
    <row r="230" spans="1:13" x14ac:dyDescent="0.3">
      <c r="A230" s="1">
        <v>45886</v>
      </c>
      <c r="B230" s="2" t="s">
        <v>19</v>
      </c>
      <c r="C230">
        <v>839.39679000000001</v>
      </c>
      <c r="D230">
        <v>863.34307999999999</v>
      </c>
      <c r="E230">
        <v>839.18158000000005</v>
      </c>
      <c r="F230">
        <v>856.40295000000003</v>
      </c>
      <c r="G230">
        <f>_xlfn.MAXIFS(Crypto[Close],Crypto[Name],Crypto[[#This Row],[Name]],Crypto[Date],"&lt;="&amp;Crypto[[#This Row],[Date]])</f>
        <v>856.40295000000003</v>
      </c>
      <c r="H230" s="3">
        <f>(Crypto[[#This Row],[Close]]/Crypto[[#This Row],[Peak Close]])-1</f>
        <v>0</v>
      </c>
      <c r="I230">
        <v>839.39806999999996</v>
      </c>
      <c r="J230" s="1">
        <v>45885</v>
      </c>
      <c r="K230" s="3">
        <v>2.02584216091896E-2</v>
      </c>
      <c r="L230">
        <v>2286889646</v>
      </c>
      <c r="M230" s="2" t="s">
        <v>20</v>
      </c>
    </row>
    <row r="231" spans="1:13" x14ac:dyDescent="0.3">
      <c r="A231" s="1">
        <v>45887</v>
      </c>
      <c r="B231" s="2" t="s">
        <v>19</v>
      </c>
      <c r="C231">
        <v>856.40332000000001</v>
      </c>
      <c r="D231">
        <v>858.30742999999995</v>
      </c>
      <c r="E231">
        <v>826.53503000000001</v>
      </c>
      <c r="F231">
        <v>847.41791000000001</v>
      </c>
      <c r="G231">
        <f>_xlfn.MAXIFS(Crypto[Close],Crypto[Name],Crypto[[#This Row],[Name]],Crypto[Date],"&lt;="&amp;Crypto[[#This Row],[Date]])</f>
        <v>856.40295000000003</v>
      </c>
      <c r="H231" s="3">
        <f>(Crypto[[#This Row],[Close]]/Crypto[[#This Row],[Peak Close]])-1</f>
        <v>-1.0491603280908812E-2</v>
      </c>
      <c r="I231">
        <v>856.40295000000003</v>
      </c>
      <c r="J231" s="1">
        <v>45886</v>
      </c>
      <c r="K231" s="3">
        <v>-1.0491603280908901E-2</v>
      </c>
      <c r="L231">
        <v>2765082388</v>
      </c>
      <c r="M231" s="2" t="s">
        <v>20</v>
      </c>
    </row>
    <row r="232" spans="1:13" x14ac:dyDescent="0.3">
      <c r="A232" s="1">
        <v>45888</v>
      </c>
      <c r="B232" s="2" t="s">
        <v>19</v>
      </c>
      <c r="C232">
        <v>847.41791000000001</v>
      </c>
      <c r="D232">
        <v>851.94159000000002</v>
      </c>
      <c r="E232">
        <v>823.35668999999996</v>
      </c>
      <c r="F232">
        <v>823.56592000000001</v>
      </c>
      <c r="G232">
        <f>_xlfn.MAXIFS(Crypto[Close],Crypto[Name],Crypto[[#This Row],[Name]],Crypto[Date],"&lt;="&amp;Crypto[[#This Row],[Date]])</f>
        <v>856.40295000000003</v>
      </c>
      <c r="H232" s="3">
        <f>(Crypto[[#This Row],[Close]]/Crypto[[#This Row],[Peak Close]])-1</f>
        <v>-3.8342966940970946E-2</v>
      </c>
      <c r="I232">
        <v>847.41791000000001</v>
      </c>
      <c r="J232" s="1">
        <v>45887</v>
      </c>
      <c r="K232" s="3">
        <v>-2.8146667327340301E-2</v>
      </c>
      <c r="L232">
        <v>2718797059</v>
      </c>
      <c r="M232" s="2" t="s">
        <v>20</v>
      </c>
    </row>
    <row r="233" spans="1:13" x14ac:dyDescent="0.3">
      <c r="A233" s="1">
        <v>45889</v>
      </c>
      <c r="B233" s="2" t="s">
        <v>19</v>
      </c>
      <c r="C233">
        <v>823.56592000000001</v>
      </c>
      <c r="D233">
        <v>880.33148000000006</v>
      </c>
      <c r="E233">
        <v>819.32989999999995</v>
      </c>
      <c r="F233">
        <v>869.10388</v>
      </c>
      <c r="G233">
        <f>_xlfn.MAXIFS(Crypto[Close],Crypto[Name],Crypto[[#This Row],[Name]],Crypto[Date],"&lt;="&amp;Crypto[[#This Row],[Date]])</f>
        <v>869.10388</v>
      </c>
      <c r="H233" s="3">
        <f>(Crypto[[#This Row],[Close]]/Crypto[[#This Row],[Peak Close]])-1</f>
        <v>0</v>
      </c>
      <c r="I233">
        <v>823.56592000000001</v>
      </c>
      <c r="J233" s="1">
        <v>45888</v>
      </c>
      <c r="K233" s="3">
        <v>5.5293643039527399E-2</v>
      </c>
      <c r="L233">
        <v>3612563758</v>
      </c>
      <c r="M233" s="2" t="s">
        <v>20</v>
      </c>
    </row>
    <row r="234" spans="1:13" x14ac:dyDescent="0.3">
      <c r="A234" s="1">
        <v>45890</v>
      </c>
      <c r="B234" s="2" t="s">
        <v>19</v>
      </c>
      <c r="C234">
        <v>869.10388</v>
      </c>
      <c r="D234">
        <v>882.58954000000006</v>
      </c>
      <c r="E234">
        <v>834.07959000000005</v>
      </c>
      <c r="F234">
        <v>839.04083000000003</v>
      </c>
      <c r="G234">
        <f>_xlfn.MAXIFS(Crypto[Close],Crypto[Name],Crypto[[#This Row],[Name]],Crypto[Date],"&lt;="&amp;Crypto[[#This Row],[Date]])</f>
        <v>869.10388</v>
      </c>
      <c r="H234" s="3">
        <f>(Crypto[[#This Row],[Close]]/Crypto[[#This Row],[Peak Close]])-1</f>
        <v>-3.4590859265292817E-2</v>
      </c>
      <c r="I234">
        <v>869.10388</v>
      </c>
      <c r="J234" s="1">
        <v>45889</v>
      </c>
      <c r="K234" s="3">
        <v>-3.45908592652929E-2</v>
      </c>
      <c r="L234">
        <v>2848998239</v>
      </c>
      <c r="M234" s="2" t="s">
        <v>20</v>
      </c>
    </row>
    <row r="235" spans="1:13" x14ac:dyDescent="0.3">
      <c r="A235" s="1">
        <v>45891</v>
      </c>
      <c r="B235" s="2" t="s">
        <v>19</v>
      </c>
      <c r="C235">
        <v>839.04083000000003</v>
      </c>
      <c r="D235">
        <v>899.70012999999994</v>
      </c>
      <c r="E235">
        <v>839.04083000000003</v>
      </c>
      <c r="F235">
        <v>898.77454</v>
      </c>
      <c r="G235">
        <f>_xlfn.MAXIFS(Crypto[Close],Crypto[Name],Crypto[[#This Row],[Name]],Crypto[Date],"&lt;="&amp;Crypto[[#This Row],[Date]])</f>
        <v>898.77454</v>
      </c>
      <c r="H235" s="3">
        <f>(Crypto[[#This Row],[Close]]/Crypto[[#This Row],[Peak Close]])-1</f>
        <v>0</v>
      </c>
      <c r="I235">
        <v>839.04083000000003</v>
      </c>
      <c r="J235" s="1">
        <v>45890</v>
      </c>
      <c r="K235" s="3">
        <v>7.1192852438420606E-2</v>
      </c>
      <c r="L235">
        <v>3534039226</v>
      </c>
      <c r="M235" s="2" t="s">
        <v>20</v>
      </c>
    </row>
    <row r="236" spans="1:13" x14ac:dyDescent="0.3">
      <c r="A236" s="1">
        <v>45892</v>
      </c>
      <c r="B236" s="2" t="s">
        <v>19</v>
      </c>
      <c r="C236">
        <v>898.77454</v>
      </c>
      <c r="D236">
        <v>899.35943999999995</v>
      </c>
      <c r="E236">
        <v>876.51215000000002</v>
      </c>
      <c r="F236">
        <v>880.04614000000004</v>
      </c>
      <c r="G236">
        <f>_xlfn.MAXIFS(Crypto[Close],Crypto[Name],Crypto[[#This Row],[Name]],Crypto[Date],"&lt;="&amp;Crypto[[#This Row],[Date]])</f>
        <v>898.77454</v>
      </c>
      <c r="H236" s="3">
        <f>(Crypto[[#This Row],[Close]]/Crypto[[#This Row],[Peak Close]])-1</f>
        <v>-2.0837706417451418E-2</v>
      </c>
      <c r="I236">
        <v>898.77454</v>
      </c>
      <c r="J236" s="1">
        <v>45891</v>
      </c>
      <c r="K236" s="3">
        <v>-2.0837706417451401E-2</v>
      </c>
      <c r="L236">
        <v>2470653598</v>
      </c>
      <c r="M236" s="2" t="s">
        <v>20</v>
      </c>
    </row>
    <row r="237" spans="1:13" x14ac:dyDescent="0.3">
      <c r="A237" s="1">
        <v>45893</v>
      </c>
      <c r="B237" s="2" t="s">
        <v>19</v>
      </c>
      <c r="C237">
        <v>880.05334000000005</v>
      </c>
      <c r="D237">
        <v>885.55602999999996</v>
      </c>
      <c r="E237">
        <v>860.03521999999998</v>
      </c>
      <c r="F237">
        <v>876.08019999999999</v>
      </c>
      <c r="G237">
        <f>_xlfn.MAXIFS(Crypto[Close],Crypto[Name],Crypto[[#This Row],[Name]],Crypto[Date],"&lt;="&amp;Crypto[[#This Row],[Date]])</f>
        <v>898.77454</v>
      </c>
      <c r="H237" s="3">
        <f>(Crypto[[#This Row],[Close]]/Crypto[[#This Row],[Peak Close]])-1</f>
        <v>-2.5250314722978229E-2</v>
      </c>
      <c r="I237">
        <v>880.04614000000004</v>
      </c>
      <c r="J237" s="1">
        <v>45892</v>
      </c>
      <c r="K237" s="3">
        <v>-4.5065137152923004E-3</v>
      </c>
      <c r="L237">
        <v>2909070734</v>
      </c>
      <c r="M237" s="2" t="s">
        <v>20</v>
      </c>
    </row>
    <row r="238" spans="1:13" x14ac:dyDescent="0.3">
      <c r="A238" s="1">
        <v>45894</v>
      </c>
      <c r="B238" s="2" t="s">
        <v>19</v>
      </c>
      <c r="C238">
        <v>876.08019999999999</v>
      </c>
      <c r="D238">
        <v>879.94073000000003</v>
      </c>
      <c r="E238">
        <v>835.25598000000002</v>
      </c>
      <c r="F238">
        <v>840.17193999999995</v>
      </c>
      <c r="G238">
        <f>_xlfn.MAXIFS(Crypto[Close],Crypto[Name],Crypto[[#This Row],[Name]],Crypto[Date],"&lt;="&amp;Crypto[[#This Row],[Date]])</f>
        <v>898.77454</v>
      </c>
      <c r="H238" s="3">
        <f>(Crypto[[#This Row],[Close]]/Crypto[[#This Row],[Peak Close]])-1</f>
        <v>-6.5202781556317868E-2</v>
      </c>
      <c r="I238">
        <v>876.08019999999999</v>
      </c>
      <c r="J238" s="1">
        <v>45893</v>
      </c>
      <c r="K238" s="3">
        <v>-4.0987411883067398E-2</v>
      </c>
      <c r="L238">
        <v>3300479072</v>
      </c>
      <c r="M238" s="2" t="s">
        <v>20</v>
      </c>
    </row>
    <row r="239" spans="1:13" x14ac:dyDescent="0.3">
      <c r="A239" s="1">
        <v>45895</v>
      </c>
      <c r="B239" s="2" t="s">
        <v>19</v>
      </c>
      <c r="C239">
        <v>840.17102</v>
      </c>
      <c r="D239">
        <v>867.71283000000005</v>
      </c>
      <c r="E239">
        <v>832.71942000000001</v>
      </c>
      <c r="F239">
        <v>863.63049000000001</v>
      </c>
      <c r="G239">
        <f>_xlfn.MAXIFS(Crypto[Close],Crypto[Name],Crypto[[#This Row],[Name]],Crypto[Date],"&lt;="&amp;Crypto[[#This Row],[Date]])</f>
        <v>898.77454</v>
      </c>
      <c r="H239" s="3">
        <f>(Crypto[[#This Row],[Close]]/Crypto[[#This Row],[Peak Close]])-1</f>
        <v>-3.91021868509982E-2</v>
      </c>
      <c r="I239">
        <v>840.17193999999995</v>
      </c>
      <c r="J239" s="1">
        <v>45894</v>
      </c>
      <c r="K239" s="3">
        <v>2.7921130048689902E-2</v>
      </c>
      <c r="L239">
        <v>2609863400</v>
      </c>
      <c r="M239" s="2" t="s">
        <v>20</v>
      </c>
    </row>
    <row r="240" spans="1:13" x14ac:dyDescent="0.3">
      <c r="A240" s="1">
        <v>45896</v>
      </c>
      <c r="B240" s="2" t="s">
        <v>19</v>
      </c>
      <c r="C240">
        <v>863.63049000000001</v>
      </c>
      <c r="D240">
        <v>866.98473999999999</v>
      </c>
      <c r="E240">
        <v>853.86566000000005</v>
      </c>
      <c r="F240">
        <v>855.6463</v>
      </c>
      <c r="G240">
        <f>_xlfn.MAXIFS(Crypto[Close],Crypto[Name],Crypto[[#This Row],[Name]],Crypto[Date],"&lt;="&amp;Crypto[[#This Row],[Date]])</f>
        <v>898.77454</v>
      </c>
      <c r="H240" s="3">
        <f>(Crypto[[#This Row],[Close]]/Crypto[[#This Row],[Peak Close]])-1</f>
        <v>-4.7985604932689774E-2</v>
      </c>
      <c r="I240">
        <v>863.63049000000001</v>
      </c>
      <c r="J240" s="1">
        <v>45895</v>
      </c>
      <c r="K240" s="3">
        <v>-9.2449144540971608E-3</v>
      </c>
      <c r="L240">
        <v>2391188252</v>
      </c>
      <c r="M240" s="2" t="s">
        <v>20</v>
      </c>
    </row>
    <row r="241" spans="1:13" x14ac:dyDescent="0.3">
      <c r="A241" s="1">
        <v>45897</v>
      </c>
      <c r="B241" s="2" t="s">
        <v>19</v>
      </c>
      <c r="C241">
        <v>855.6463</v>
      </c>
      <c r="D241">
        <v>878.80858999999998</v>
      </c>
      <c r="E241">
        <v>851.89862000000005</v>
      </c>
      <c r="F241">
        <v>874.36603000000002</v>
      </c>
      <c r="G241">
        <f>_xlfn.MAXIFS(Crypto[Close],Crypto[Name],Crypto[[#This Row],[Name]],Crypto[Date],"&lt;="&amp;Crypto[[#This Row],[Date]])</f>
        <v>898.77454</v>
      </c>
      <c r="H241" s="3">
        <f>(Crypto[[#This Row],[Close]]/Crypto[[#This Row],[Peak Close]])-1</f>
        <v>-2.7157544983417048E-2</v>
      </c>
      <c r="I241">
        <v>855.6463</v>
      </c>
      <c r="J241" s="1">
        <v>45896</v>
      </c>
      <c r="K241" s="3">
        <v>2.18778834198196E-2</v>
      </c>
      <c r="L241">
        <v>2744315947</v>
      </c>
      <c r="M241" s="2" t="s">
        <v>20</v>
      </c>
    </row>
    <row r="242" spans="1:13" x14ac:dyDescent="0.3">
      <c r="A242" s="1">
        <v>45898</v>
      </c>
      <c r="B242" s="2" t="s">
        <v>19</v>
      </c>
      <c r="C242">
        <v>874.35455000000002</v>
      </c>
      <c r="D242">
        <v>876.84771999999998</v>
      </c>
      <c r="E242">
        <v>851.31415000000004</v>
      </c>
      <c r="F242">
        <v>863.27655000000004</v>
      </c>
      <c r="G242">
        <f>_xlfn.MAXIFS(Crypto[Close],Crypto[Name],Crypto[[#This Row],[Name]],Crypto[Date],"&lt;="&amp;Crypto[[#This Row],[Date]])</f>
        <v>898.77454</v>
      </c>
      <c r="H242" s="3">
        <f>(Crypto[[#This Row],[Close]]/Crypto[[#This Row],[Peak Close]])-1</f>
        <v>-3.9495989728413949E-2</v>
      </c>
      <c r="I242">
        <v>874.36603000000002</v>
      </c>
      <c r="J242" s="1">
        <v>45897</v>
      </c>
      <c r="K242" s="3">
        <v>-1.26828806466783E-2</v>
      </c>
      <c r="L242">
        <v>2614507748</v>
      </c>
      <c r="M242" s="2" t="s">
        <v>20</v>
      </c>
    </row>
    <row r="243" spans="1:13" x14ac:dyDescent="0.3">
      <c r="A243" s="1">
        <v>45899</v>
      </c>
      <c r="B243" s="2" t="s">
        <v>19</v>
      </c>
      <c r="C243">
        <v>863.28216999999995</v>
      </c>
      <c r="D243">
        <v>863.64477999999997</v>
      </c>
      <c r="E243">
        <v>852.81872999999996</v>
      </c>
      <c r="F243">
        <v>862.40399000000002</v>
      </c>
      <c r="G243">
        <f>_xlfn.MAXIFS(Crypto[Close],Crypto[Name],Crypto[[#This Row],[Name]],Crypto[Date],"&lt;="&amp;Crypto[[#This Row],[Date]])</f>
        <v>898.77454</v>
      </c>
      <c r="H243" s="3">
        <f>(Crypto[[#This Row],[Close]]/Crypto[[#This Row],[Peak Close]])-1</f>
        <v>-4.0466822747337705E-2</v>
      </c>
      <c r="I243">
        <v>863.27655000000004</v>
      </c>
      <c r="J243" s="1">
        <v>45898</v>
      </c>
      <c r="K243" s="3">
        <v>-1.01075373818508E-3</v>
      </c>
      <c r="L243">
        <v>2030968355</v>
      </c>
      <c r="M243" s="2" t="s">
        <v>20</v>
      </c>
    </row>
    <row r="244" spans="1:13" x14ac:dyDescent="0.3">
      <c r="A244" s="1">
        <v>45900</v>
      </c>
      <c r="B244" s="2" t="s">
        <v>19</v>
      </c>
      <c r="C244">
        <v>862.40399000000002</v>
      </c>
      <c r="D244">
        <v>867.59667999999999</v>
      </c>
      <c r="E244">
        <v>857.31781000000001</v>
      </c>
      <c r="F244">
        <v>857.81677000000002</v>
      </c>
      <c r="G244">
        <f>_xlfn.MAXIFS(Crypto[Close],Crypto[Name],Crypto[[#This Row],[Name]],Crypto[Date],"&lt;="&amp;Crypto[[#This Row],[Date]])</f>
        <v>898.77454</v>
      </c>
      <c r="H244" s="3">
        <f>(Crypto[[#This Row],[Close]]/Crypto[[#This Row],[Peak Close]])-1</f>
        <v>-4.5570683388516997E-2</v>
      </c>
      <c r="I244">
        <v>862.40399000000002</v>
      </c>
      <c r="J244" s="1">
        <v>45899</v>
      </c>
      <c r="K244" s="3">
        <v>-5.3191080435516097E-3</v>
      </c>
      <c r="L244">
        <v>1741117798</v>
      </c>
      <c r="M244" s="2" t="s">
        <v>20</v>
      </c>
    </row>
    <row r="245" spans="1:13" x14ac:dyDescent="0.3">
      <c r="A245" s="1">
        <v>45901</v>
      </c>
      <c r="B245" s="2" t="s">
        <v>19</v>
      </c>
      <c r="C245">
        <v>857.81262000000004</v>
      </c>
      <c r="D245">
        <v>866.97388000000001</v>
      </c>
      <c r="E245">
        <v>840.89751999999999</v>
      </c>
      <c r="F245">
        <v>845.82628999999997</v>
      </c>
      <c r="G245">
        <f>_xlfn.MAXIFS(Crypto[Close],Crypto[Name],Crypto[[#This Row],[Name]],Crypto[Date],"&lt;="&amp;Crypto[[#This Row],[Date]])</f>
        <v>898.77454</v>
      </c>
      <c r="H245" s="3">
        <f>(Crypto[[#This Row],[Close]]/Crypto[[#This Row],[Peak Close]])-1</f>
        <v>-5.8911604238366611E-2</v>
      </c>
      <c r="I245">
        <v>857.81677000000002</v>
      </c>
      <c r="J245" s="1">
        <v>45900</v>
      </c>
      <c r="K245" s="3">
        <v>-1.3977903462997199E-2</v>
      </c>
      <c r="L245">
        <v>2756614903</v>
      </c>
      <c r="M245" s="2" t="s">
        <v>20</v>
      </c>
    </row>
    <row r="246" spans="1:13" x14ac:dyDescent="0.3">
      <c r="A246" s="1">
        <v>45902</v>
      </c>
      <c r="B246" s="2" t="s">
        <v>19</v>
      </c>
      <c r="C246">
        <v>845.82628999999997</v>
      </c>
      <c r="D246">
        <v>856.46442000000002</v>
      </c>
      <c r="E246">
        <v>841.61261000000002</v>
      </c>
      <c r="F246">
        <v>851.77722000000006</v>
      </c>
      <c r="G246">
        <f>_xlfn.MAXIFS(Crypto[Close],Crypto[Name],Crypto[[#This Row],[Name]],Crypto[Date],"&lt;="&amp;Crypto[[#This Row],[Date]])</f>
        <v>898.77454</v>
      </c>
      <c r="H246" s="3">
        <f>(Crypto[[#This Row],[Close]]/Crypto[[#This Row],[Peak Close]])-1</f>
        <v>-5.2290444275379655E-2</v>
      </c>
      <c r="I246">
        <v>845.82628999999997</v>
      </c>
      <c r="J246" s="1">
        <v>45901</v>
      </c>
      <c r="K246" s="3">
        <v>7.03564085244984E-3</v>
      </c>
      <c r="L246">
        <v>2385434736</v>
      </c>
      <c r="M246" s="2" t="s">
        <v>20</v>
      </c>
    </row>
    <row r="247" spans="1:13" x14ac:dyDescent="0.3">
      <c r="A247" s="1">
        <v>45903</v>
      </c>
      <c r="B247" s="2" t="s">
        <v>19</v>
      </c>
      <c r="C247">
        <v>851.77722000000006</v>
      </c>
      <c r="D247">
        <v>863.47253000000001</v>
      </c>
      <c r="E247">
        <v>849.15796</v>
      </c>
      <c r="F247">
        <v>855.25878999999998</v>
      </c>
      <c r="G247">
        <f>_xlfn.MAXIFS(Crypto[Close],Crypto[Name],Crypto[[#This Row],[Name]],Crypto[Date],"&lt;="&amp;Crypto[[#This Row],[Date]])</f>
        <v>898.77454</v>
      </c>
      <c r="H247" s="3">
        <f>(Crypto[[#This Row],[Close]]/Crypto[[#This Row],[Peak Close]])-1</f>
        <v>-4.8416758667863546E-2</v>
      </c>
      <c r="I247">
        <v>851.77722000000006</v>
      </c>
      <c r="J247" s="1">
        <v>45902</v>
      </c>
      <c r="K247" s="3">
        <v>4.0874185388521198E-3</v>
      </c>
      <c r="L247">
        <v>1915348780</v>
      </c>
      <c r="M247" s="2" t="s">
        <v>20</v>
      </c>
    </row>
    <row r="248" spans="1:13" x14ac:dyDescent="0.3">
      <c r="A248" s="1">
        <v>45904</v>
      </c>
      <c r="B248" s="2" t="s">
        <v>19</v>
      </c>
      <c r="C248">
        <v>855.25885000000005</v>
      </c>
      <c r="D248">
        <v>856.93682999999999</v>
      </c>
      <c r="E248">
        <v>841.88080000000002</v>
      </c>
      <c r="F248">
        <v>843.80298000000005</v>
      </c>
      <c r="G248">
        <f>_xlfn.MAXIFS(Crypto[Close],Crypto[Name],Crypto[[#This Row],[Name]],Crypto[Date],"&lt;="&amp;Crypto[[#This Row],[Date]])</f>
        <v>898.77454</v>
      </c>
      <c r="H248" s="3">
        <f>(Crypto[[#This Row],[Close]]/Crypto[[#This Row],[Peak Close]])-1</f>
        <v>-6.1162791727500387E-2</v>
      </c>
      <c r="I248">
        <v>855.25878999999998</v>
      </c>
      <c r="J248" s="1">
        <v>45903</v>
      </c>
      <c r="K248" s="3">
        <v>-1.3394553945478799E-2</v>
      </c>
      <c r="L248">
        <v>1915009280</v>
      </c>
      <c r="M248" s="2" t="s">
        <v>20</v>
      </c>
    </row>
    <row r="249" spans="1:13" x14ac:dyDescent="0.3">
      <c r="A249" s="1">
        <v>45905</v>
      </c>
      <c r="B249" s="2" t="s">
        <v>19</v>
      </c>
      <c r="C249">
        <v>843.80298000000005</v>
      </c>
      <c r="D249">
        <v>857.22460999999998</v>
      </c>
      <c r="E249">
        <v>843.74652000000003</v>
      </c>
      <c r="F249">
        <v>849.97924999999998</v>
      </c>
      <c r="G249">
        <f>_xlfn.MAXIFS(Crypto[Close],Crypto[Name],Crypto[[#This Row],[Name]],Crypto[Date],"&lt;="&amp;Crypto[[#This Row],[Date]])</f>
        <v>898.77454</v>
      </c>
      <c r="H249" s="3">
        <f>(Crypto[[#This Row],[Close]]/Crypto[[#This Row],[Peak Close]])-1</f>
        <v>-5.4290912601952512E-2</v>
      </c>
      <c r="I249">
        <v>843.80298000000005</v>
      </c>
      <c r="J249" s="1">
        <v>45904</v>
      </c>
      <c r="K249" s="3">
        <v>7.3195641001409196E-3</v>
      </c>
      <c r="L249">
        <v>2025139739</v>
      </c>
      <c r="M249" s="2" t="s">
        <v>20</v>
      </c>
    </row>
    <row r="250" spans="1:13" x14ac:dyDescent="0.3">
      <c r="A250" s="1">
        <v>45906</v>
      </c>
      <c r="B250" s="2" t="s">
        <v>19</v>
      </c>
      <c r="C250">
        <v>849.97924999999998</v>
      </c>
      <c r="D250">
        <v>864.49914999999999</v>
      </c>
      <c r="E250">
        <v>849.57458999999994</v>
      </c>
      <c r="F250">
        <v>861.77209000000005</v>
      </c>
      <c r="G250">
        <f>_xlfn.MAXIFS(Crypto[Close],Crypto[Name],Crypto[[#This Row],[Name]],Crypto[Date],"&lt;="&amp;Crypto[[#This Row],[Date]])</f>
        <v>898.77454</v>
      </c>
      <c r="H250" s="3">
        <f>(Crypto[[#This Row],[Close]]/Crypto[[#This Row],[Peak Close]])-1</f>
        <v>-4.1169891172039619E-2</v>
      </c>
      <c r="I250">
        <v>849.97924999999998</v>
      </c>
      <c r="J250" s="1">
        <v>45905</v>
      </c>
      <c r="K250" s="3">
        <v>1.3874268107133301E-2</v>
      </c>
      <c r="L250">
        <v>1992250771</v>
      </c>
      <c r="M250" s="2" t="s">
        <v>20</v>
      </c>
    </row>
    <row r="251" spans="1:13" x14ac:dyDescent="0.3">
      <c r="A251" s="1">
        <v>45907</v>
      </c>
      <c r="B251" s="2" t="s">
        <v>19</v>
      </c>
      <c r="C251">
        <v>861.77209000000005</v>
      </c>
      <c r="D251">
        <v>882.88580000000002</v>
      </c>
      <c r="E251">
        <v>861.27454</v>
      </c>
      <c r="F251">
        <v>880.61303999999996</v>
      </c>
      <c r="G251">
        <f>_xlfn.MAXIFS(Crypto[Close],Crypto[Name],Crypto[[#This Row],[Name]],Crypto[Date],"&lt;="&amp;Crypto[[#This Row],[Date]])</f>
        <v>898.77454</v>
      </c>
      <c r="H251" s="3">
        <f>(Crypto[[#This Row],[Close]]/Crypto[[#This Row],[Peak Close]])-1</f>
        <v>-2.0206958688438248E-2</v>
      </c>
      <c r="I251">
        <v>861.77209000000005</v>
      </c>
      <c r="J251" s="1">
        <v>45906</v>
      </c>
      <c r="K251" s="3">
        <v>2.18630310944509E-2</v>
      </c>
      <c r="L251">
        <v>1996378716</v>
      </c>
      <c r="M251" s="2" t="s">
        <v>20</v>
      </c>
    </row>
    <row r="252" spans="1:13" x14ac:dyDescent="0.3">
      <c r="A252" s="1">
        <v>45908</v>
      </c>
      <c r="B252" s="2" t="s">
        <v>19</v>
      </c>
      <c r="C252">
        <v>880.61303999999996</v>
      </c>
      <c r="D252">
        <v>885.23181</v>
      </c>
      <c r="E252">
        <v>872.03863999999999</v>
      </c>
      <c r="F252">
        <v>878.27593999999999</v>
      </c>
      <c r="G252">
        <f>_xlfn.MAXIFS(Crypto[Close],Crypto[Name],Crypto[[#This Row],[Name]],Crypto[Date],"&lt;="&amp;Crypto[[#This Row],[Date]])</f>
        <v>898.77454</v>
      </c>
      <c r="H252" s="3">
        <f>(Crypto[[#This Row],[Close]]/Crypto[[#This Row],[Peak Close]])-1</f>
        <v>-2.280727711757391E-2</v>
      </c>
      <c r="I252">
        <v>880.61303999999996</v>
      </c>
      <c r="J252" s="1">
        <v>45907</v>
      </c>
      <c r="K252" s="3">
        <v>-2.6539466188235899E-3</v>
      </c>
      <c r="L252">
        <v>2289021738</v>
      </c>
      <c r="M252" s="2" t="s">
        <v>20</v>
      </c>
    </row>
    <row r="253" spans="1:13" x14ac:dyDescent="0.3">
      <c r="A253" s="1">
        <v>45909</v>
      </c>
      <c r="B253" s="2" t="s">
        <v>19</v>
      </c>
      <c r="C253">
        <v>878.27593999999999</v>
      </c>
      <c r="D253">
        <v>884.23590000000002</v>
      </c>
      <c r="E253">
        <v>871.86023</v>
      </c>
      <c r="F253">
        <v>880.01500999999996</v>
      </c>
      <c r="G253">
        <f>_xlfn.MAXIFS(Crypto[Close],Crypto[Name],Crypto[[#This Row],[Name]],Crypto[Date],"&lt;="&amp;Crypto[[#This Row],[Date]])</f>
        <v>898.77454</v>
      </c>
      <c r="H253" s="3">
        <f>(Crypto[[#This Row],[Close]]/Crypto[[#This Row],[Peak Close]])-1</f>
        <v>-2.0872342467555871E-2</v>
      </c>
      <c r="I253">
        <v>878.27593999999999</v>
      </c>
      <c r="J253" s="1">
        <v>45908</v>
      </c>
      <c r="K253" s="3">
        <v>1.9800952306628901E-3</v>
      </c>
      <c r="L253">
        <v>1795168603</v>
      </c>
      <c r="M253" s="2" t="s">
        <v>20</v>
      </c>
    </row>
    <row r="254" spans="1:13" x14ac:dyDescent="0.3">
      <c r="A254" s="1">
        <v>45910</v>
      </c>
      <c r="B254" s="2" t="s">
        <v>19</v>
      </c>
      <c r="C254">
        <v>880.01500999999996</v>
      </c>
      <c r="D254">
        <v>906.12261999999998</v>
      </c>
      <c r="E254">
        <v>877.51202000000001</v>
      </c>
      <c r="F254">
        <v>893.56659000000002</v>
      </c>
      <c r="G254">
        <f>_xlfn.MAXIFS(Crypto[Close],Crypto[Name],Crypto[[#This Row],[Name]],Crypto[Date],"&lt;="&amp;Crypto[[#This Row],[Date]])</f>
        <v>898.77454</v>
      </c>
      <c r="H254" s="3">
        <f>(Crypto[[#This Row],[Close]]/Crypto[[#This Row],[Peak Close]])-1</f>
        <v>-5.7945010324835788E-3</v>
      </c>
      <c r="I254">
        <v>880.01500999999996</v>
      </c>
      <c r="J254" s="1">
        <v>45909</v>
      </c>
      <c r="K254" s="3">
        <v>1.5399260064893699E-2</v>
      </c>
      <c r="L254">
        <v>2868650920</v>
      </c>
      <c r="M254" s="2" t="s">
        <v>20</v>
      </c>
    </row>
    <row r="255" spans="1:13" x14ac:dyDescent="0.3">
      <c r="A255" s="1">
        <v>45911</v>
      </c>
      <c r="B255" s="2" t="s">
        <v>19</v>
      </c>
      <c r="C255">
        <v>893.56659000000002</v>
      </c>
      <c r="D255">
        <v>903.33294999999998</v>
      </c>
      <c r="E255">
        <v>889.37072999999998</v>
      </c>
      <c r="F255">
        <v>902.98334</v>
      </c>
      <c r="G255">
        <f>_xlfn.MAXIFS(Crypto[Close],Crypto[Name],Crypto[[#This Row],[Name]],Crypto[Date],"&lt;="&amp;Crypto[[#This Row],[Date]])</f>
        <v>902.98334</v>
      </c>
      <c r="H255" s="3">
        <f>(Crypto[[#This Row],[Close]]/Crypto[[#This Row],[Peak Close]])-1</f>
        <v>0</v>
      </c>
      <c r="I255">
        <v>893.56659000000002</v>
      </c>
      <c r="J255" s="1">
        <v>45910</v>
      </c>
      <c r="K255" s="3">
        <v>1.05383864005032E-2</v>
      </c>
      <c r="L255">
        <v>2250551806</v>
      </c>
      <c r="M255" s="2" t="s">
        <v>20</v>
      </c>
    </row>
    <row r="256" spans="1:13" x14ac:dyDescent="0.3">
      <c r="A256" s="1">
        <v>45912</v>
      </c>
      <c r="B256" s="2" t="s">
        <v>19</v>
      </c>
      <c r="C256">
        <v>902.98334</v>
      </c>
      <c r="D256">
        <v>928.61699999999996</v>
      </c>
      <c r="E256">
        <v>901.97411999999997</v>
      </c>
      <c r="F256">
        <v>925.03070000000002</v>
      </c>
      <c r="G256">
        <f>_xlfn.MAXIFS(Crypto[Close],Crypto[Name],Crypto[[#This Row],[Name]],Crypto[Date],"&lt;="&amp;Crypto[[#This Row],[Date]])</f>
        <v>925.03070000000002</v>
      </c>
      <c r="H256" s="3">
        <f>(Crypto[[#This Row],[Close]]/Crypto[[#This Row],[Peak Close]])-1</f>
        <v>0</v>
      </c>
      <c r="I256">
        <v>902.98334</v>
      </c>
      <c r="J256" s="1">
        <v>45911</v>
      </c>
      <c r="K256" s="3">
        <v>2.4416131531286099E-2</v>
      </c>
      <c r="L256">
        <v>2648100391</v>
      </c>
      <c r="M256" s="2" t="s">
        <v>20</v>
      </c>
    </row>
    <row r="257" spans="1:13" x14ac:dyDescent="0.3">
      <c r="A257" s="1">
        <v>45913</v>
      </c>
      <c r="B257" s="2" t="s">
        <v>19</v>
      </c>
      <c r="C257">
        <v>925.03070000000002</v>
      </c>
      <c r="D257">
        <v>942.52844000000005</v>
      </c>
      <c r="E257">
        <v>923.86719000000005</v>
      </c>
      <c r="F257">
        <v>933.89966000000004</v>
      </c>
      <c r="G257">
        <f>_xlfn.MAXIFS(Crypto[Close],Crypto[Name],Crypto[[#This Row],[Name]],Crypto[Date],"&lt;="&amp;Crypto[[#This Row],[Date]])</f>
        <v>933.89966000000004</v>
      </c>
      <c r="H257" s="3">
        <f>(Crypto[[#This Row],[Close]]/Crypto[[#This Row],[Peak Close]])-1</f>
        <v>0</v>
      </c>
      <c r="I257">
        <v>925.03070000000002</v>
      </c>
      <c r="J257" s="1">
        <v>45912</v>
      </c>
      <c r="K257" s="3">
        <v>9.5877466553272398E-3</v>
      </c>
      <c r="L257">
        <v>2744192106</v>
      </c>
      <c r="M257" s="2" t="s">
        <v>20</v>
      </c>
    </row>
    <row r="258" spans="1:13" x14ac:dyDescent="0.3">
      <c r="A258" s="1">
        <v>45914</v>
      </c>
      <c r="B258" s="2" t="s">
        <v>19</v>
      </c>
      <c r="C258">
        <v>933.89966000000004</v>
      </c>
      <c r="D258">
        <v>944.05817000000002</v>
      </c>
      <c r="E258">
        <v>923.76404000000002</v>
      </c>
      <c r="F258">
        <v>927.24170000000004</v>
      </c>
      <c r="G258">
        <f>_xlfn.MAXIFS(Crypto[Close],Crypto[Name],Crypto[[#This Row],[Name]],Crypto[Date],"&lt;="&amp;Crypto[[#This Row],[Date]])</f>
        <v>933.89966000000004</v>
      </c>
      <c r="H258" s="3">
        <f>(Crypto[[#This Row],[Close]]/Crypto[[#This Row],[Peak Close]])-1</f>
        <v>-7.1292027239843181E-3</v>
      </c>
      <c r="I258">
        <v>933.89966000000004</v>
      </c>
      <c r="J258" s="1">
        <v>45913</v>
      </c>
      <c r="K258" s="3">
        <v>-7.1292027239842903E-3</v>
      </c>
      <c r="L258">
        <v>2338327311</v>
      </c>
      <c r="M258" s="2" t="s">
        <v>20</v>
      </c>
    </row>
    <row r="259" spans="1:13" x14ac:dyDescent="0.3">
      <c r="A259" s="1">
        <v>45915</v>
      </c>
      <c r="B259" s="2" t="s">
        <v>19</v>
      </c>
      <c r="C259">
        <v>927.24323000000004</v>
      </c>
      <c r="D259">
        <v>935.21771000000001</v>
      </c>
      <c r="E259">
        <v>911.55242999999996</v>
      </c>
      <c r="F259">
        <v>919.97020999999995</v>
      </c>
      <c r="G259">
        <f>_xlfn.MAXIFS(Crypto[Close],Crypto[Name],Crypto[[#This Row],[Name]],Crypto[Date],"&lt;="&amp;Crypto[[#This Row],[Date]])</f>
        <v>933.89966000000004</v>
      </c>
      <c r="H259" s="3">
        <f>(Crypto[[#This Row],[Close]]/Crypto[[#This Row],[Peak Close]])-1</f>
        <v>-1.4915360393214061E-2</v>
      </c>
      <c r="I259">
        <v>927.24170000000004</v>
      </c>
      <c r="J259" s="1">
        <v>45914</v>
      </c>
      <c r="K259" s="3">
        <v>-7.8420653428335693E-3</v>
      </c>
      <c r="L259">
        <v>2475846477</v>
      </c>
      <c r="M259" s="2" t="s">
        <v>20</v>
      </c>
    </row>
    <row r="260" spans="1:13" x14ac:dyDescent="0.3">
      <c r="A260" s="1">
        <v>45916</v>
      </c>
      <c r="B260" s="2" t="s">
        <v>19</v>
      </c>
      <c r="C260">
        <v>919.97020999999995</v>
      </c>
      <c r="D260">
        <v>958.65539999999999</v>
      </c>
      <c r="E260">
        <v>917.23833999999999</v>
      </c>
      <c r="F260">
        <v>955.71258999999998</v>
      </c>
      <c r="G260">
        <f>_xlfn.MAXIFS(Crypto[Close],Crypto[Name],Crypto[[#This Row],[Name]],Crypto[Date],"&lt;="&amp;Crypto[[#This Row],[Date]])</f>
        <v>955.71258999999998</v>
      </c>
      <c r="H260" s="3">
        <f>(Crypto[[#This Row],[Close]]/Crypto[[#This Row],[Peak Close]])-1</f>
        <v>0</v>
      </c>
      <c r="I260">
        <v>919.97020999999995</v>
      </c>
      <c r="J260" s="1">
        <v>45915</v>
      </c>
      <c r="K260" s="3">
        <v>3.8851671077479798E-2</v>
      </c>
      <c r="L260">
        <v>3101245055</v>
      </c>
      <c r="M260" s="2" t="s">
        <v>20</v>
      </c>
    </row>
    <row r="261" spans="1:13" x14ac:dyDescent="0.3">
      <c r="A261" s="1">
        <v>45917</v>
      </c>
      <c r="B261" s="2" t="s">
        <v>19</v>
      </c>
      <c r="C261">
        <v>955.68786999999998</v>
      </c>
      <c r="D261">
        <v>993.12902999999994</v>
      </c>
      <c r="E261">
        <v>947.77099999999996</v>
      </c>
      <c r="F261">
        <v>990.30975000000001</v>
      </c>
      <c r="G261">
        <f>_xlfn.MAXIFS(Crypto[Close],Crypto[Name],Crypto[[#This Row],[Name]],Crypto[Date],"&lt;="&amp;Crypto[[#This Row],[Date]])</f>
        <v>990.30975000000001</v>
      </c>
      <c r="H261" s="3">
        <f>(Crypto[[#This Row],[Close]]/Crypto[[#This Row],[Peak Close]])-1</f>
        <v>0</v>
      </c>
      <c r="I261">
        <v>955.71258999999998</v>
      </c>
      <c r="J261" s="1">
        <v>45916</v>
      </c>
      <c r="K261" s="3">
        <v>3.62003811208556E-2</v>
      </c>
      <c r="L261">
        <v>3641636248</v>
      </c>
      <c r="M261" s="2" t="s">
        <v>20</v>
      </c>
    </row>
    <row r="262" spans="1:13" x14ac:dyDescent="0.3">
      <c r="A262" s="1">
        <v>45918</v>
      </c>
      <c r="B262" s="2" t="s">
        <v>19</v>
      </c>
      <c r="C262">
        <v>990.31903</v>
      </c>
      <c r="D262">
        <v>1005.29224</v>
      </c>
      <c r="E262">
        <v>980.37982</v>
      </c>
      <c r="F262">
        <v>981.83520999999996</v>
      </c>
      <c r="G262">
        <f>_xlfn.MAXIFS(Crypto[Close],Crypto[Name],Crypto[[#This Row],[Name]],Crypto[Date],"&lt;="&amp;Crypto[[#This Row],[Date]])</f>
        <v>990.30975000000001</v>
      </c>
      <c r="H262" s="3">
        <f>(Crypto[[#This Row],[Close]]/Crypto[[#This Row],[Peak Close]])-1</f>
        <v>-8.5574639651887496E-3</v>
      </c>
      <c r="I262">
        <v>990.30975000000001</v>
      </c>
      <c r="J262" s="1">
        <v>45917</v>
      </c>
      <c r="K262" s="3">
        <v>-8.5574639651887201E-3</v>
      </c>
      <c r="L262">
        <v>3741252935</v>
      </c>
      <c r="M262" s="2" t="s">
        <v>20</v>
      </c>
    </row>
    <row r="263" spans="1:13" x14ac:dyDescent="0.3">
      <c r="A263" s="1">
        <v>45919</v>
      </c>
      <c r="B263" s="2" t="s">
        <v>19</v>
      </c>
      <c r="C263">
        <v>981.83520999999996</v>
      </c>
      <c r="D263">
        <v>1002.08289</v>
      </c>
      <c r="E263">
        <v>975.81177000000002</v>
      </c>
      <c r="F263">
        <v>984.12408000000005</v>
      </c>
      <c r="G263">
        <f>_xlfn.MAXIFS(Crypto[Close],Crypto[Name],Crypto[[#This Row],[Name]],Crypto[Date],"&lt;="&amp;Crypto[[#This Row],[Date]])</f>
        <v>990.30975000000001</v>
      </c>
      <c r="H263" s="3">
        <f>(Crypto[[#This Row],[Close]]/Crypto[[#This Row],[Peak Close]])-1</f>
        <v>-6.2461972125387177E-3</v>
      </c>
      <c r="I263">
        <v>981.83520999999996</v>
      </c>
      <c r="J263" s="1">
        <v>45918</v>
      </c>
      <c r="K263" s="3">
        <v>2.3312160499928398E-3</v>
      </c>
      <c r="L263">
        <v>3293771895</v>
      </c>
      <c r="M263" s="2" t="s">
        <v>20</v>
      </c>
    </row>
    <row r="264" spans="1:13" x14ac:dyDescent="0.3">
      <c r="A264" s="1">
        <v>45920</v>
      </c>
      <c r="B264" s="2" t="s">
        <v>19</v>
      </c>
      <c r="C264">
        <v>984.13451999999995</v>
      </c>
      <c r="D264">
        <v>1043.2438999999999</v>
      </c>
      <c r="E264">
        <v>984.11974999999995</v>
      </c>
      <c r="F264">
        <v>1042.6501499999999</v>
      </c>
      <c r="G264">
        <f>_xlfn.MAXIFS(Crypto[Close],Crypto[Name],Crypto[[#This Row],[Name]],Crypto[Date],"&lt;="&amp;Crypto[[#This Row],[Date]])</f>
        <v>1042.6501499999999</v>
      </c>
      <c r="H264" s="3">
        <f>(Crypto[[#This Row],[Close]]/Crypto[[#This Row],[Peak Close]])-1</f>
        <v>0</v>
      </c>
      <c r="I264">
        <v>984.12408000000005</v>
      </c>
      <c r="J264" s="1">
        <v>45919</v>
      </c>
      <c r="K264" s="3">
        <v>5.9470214365651801E-2</v>
      </c>
      <c r="L264">
        <v>3759046572</v>
      </c>
      <c r="M264" s="2" t="s">
        <v>20</v>
      </c>
    </row>
    <row r="265" spans="1:13" x14ac:dyDescent="0.3">
      <c r="A265" s="1">
        <v>45921</v>
      </c>
      <c r="B265" s="2" t="s">
        <v>19</v>
      </c>
      <c r="C265">
        <v>1042.66272</v>
      </c>
      <c r="D265">
        <v>1080.47766</v>
      </c>
      <c r="E265">
        <v>1041.0262499999999</v>
      </c>
      <c r="F265">
        <v>1048.67236</v>
      </c>
      <c r="G265">
        <f>_xlfn.MAXIFS(Crypto[Close],Crypto[Name],Crypto[[#This Row],[Name]],Crypto[Date],"&lt;="&amp;Crypto[[#This Row],[Date]])</f>
        <v>1048.67236</v>
      </c>
      <c r="H265" s="3">
        <f>(Crypto[[#This Row],[Close]]/Crypto[[#This Row],[Peak Close]])-1</f>
        <v>0</v>
      </c>
      <c r="I265">
        <v>1042.6501499999999</v>
      </c>
      <c r="J265" s="1">
        <v>45920</v>
      </c>
      <c r="K265" s="3">
        <v>5.7758683485540103E-3</v>
      </c>
      <c r="L265">
        <v>4306431415</v>
      </c>
      <c r="M265" s="2" t="s">
        <v>20</v>
      </c>
    </row>
    <row r="266" spans="1:13" x14ac:dyDescent="0.3">
      <c r="A266" s="1">
        <v>45922</v>
      </c>
      <c r="B266" s="2" t="s">
        <v>19</v>
      </c>
      <c r="C266">
        <v>1048.6711399999999</v>
      </c>
      <c r="D266">
        <v>1050.31836</v>
      </c>
      <c r="E266">
        <v>978.57330000000002</v>
      </c>
      <c r="F266">
        <v>993.01404000000002</v>
      </c>
      <c r="G266">
        <f>_xlfn.MAXIFS(Crypto[Close],Crypto[Name],Crypto[[#This Row],[Name]],Crypto[Date],"&lt;="&amp;Crypto[[#This Row],[Date]])</f>
        <v>1048.67236</v>
      </c>
      <c r="H266" s="3">
        <f>(Crypto[[#This Row],[Close]]/Crypto[[#This Row],[Peak Close]])-1</f>
        <v>-5.3075032892065499E-2</v>
      </c>
      <c r="I266">
        <v>1048.67236</v>
      </c>
      <c r="J266" s="1">
        <v>45921</v>
      </c>
      <c r="K266" s="3">
        <v>-5.3075032892065603E-2</v>
      </c>
      <c r="L266">
        <v>4892903256</v>
      </c>
      <c r="M266" s="2" t="s">
        <v>20</v>
      </c>
    </row>
    <row r="267" spans="1:13" x14ac:dyDescent="0.3">
      <c r="A267" s="1">
        <v>45923</v>
      </c>
      <c r="B267" s="2" t="s">
        <v>19</v>
      </c>
      <c r="C267">
        <v>993.01404000000002</v>
      </c>
      <c r="D267">
        <v>1026.2456099999999</v>
      </c>
      <c r="E267">
        <v>964.55322000000001</v>
      </c>
      <c r="F267">
        <v>1017.0199</v>
      </c>
      <c r="G267">
        <f>_xlfn.MAXIFS(Crypto[Close],Crypto[Name],Crypto[[#This Row],[Name]],Crypto[Date],"&lt;="&amp;Crypto[[#This Row],[Date]])</f>
        <v>1048.67236</v>
      </c>
      <c r="H267" s="3">
        <f>(Crypto[[#This Row],[Close]]/Crypto[[#This Row],[Peak Close]])-1</f>
        <v>-3.0183364420894976E-2</v>
      </c>
      <c r="I267">
        <v>993.01404000000002</v>
      </c>
      <c r="J267" s="1">
        <v>45922</v>
      </c>
      <c r="K267" s="3">
        <v>2.4174743793149201E-2</v>
      </c>
      <c r="L267">
        <v>4038510425</v>
      </c>
      <c r="M267" s="2" t="s">
        <v>20</v>
      </c>
    </row>
    <row r="268" spans="1:13" x14ac:dyDescent="0.3">
      <c r="A268" s="1">
        <v>45924</v>
      </c>
      <c r="B268" s="2" t="s">
        <v>19</v>
      </c>
      <c r="C268">
        <v>1017.0293</v>
      </c>
      <c r="D268">
        <v>1034.0548100000001</v>
      </c>
      <c r="E268">
        <v>995.29291000000001</v>
      </c>
      <c r="F268">
        <v>1018.84784</v>
      </c>
      <c r="G268">
        <f>_xlfn.MAXIFS(Crypto[Close],Crypto[Name],Crypto[[#This Row],[Name]],Crypto[Date],"&lt;="&amp;Crypto[[#This Row],[Date]])</f>
        <v>1048.67236</v>
      </c>
      <c r="H268" s="3">
        <f>(Crypto[[#This Row],[Close]]/Crypto[[#This Row],[Peak Close]])-1</f>
        <v>-2.8440265174911272E-2</v>
      </c>
      <c r="I268">
        <v>1017.0199</v>
      </c>
      <c r="J268" s="1">
        <v>45923</v>
      </c>
      <c r="K268" s="3">
        <v>1.7973492947384901E-3</v>
      </c>
      <c r="L268">
        <v>3603925585</v>
      </c>
      <c r="M268" s="2" t="s">
        <v>20</v>
      </c>
    </row>
    <row r="269" spans="1:13" x14ac:dyDescent="0.3">
      <c r="A269" s="1">
        <v>45925</v>
      </c>
      <c r="B269" s="2" t="s">
        <v>19</v>
      </c>
      <c r="C269">
        <v>1018.87189</v>
      </c>
      <c r="D269">
        <v>1019.84283</v>
      </c>
      <c r="E269">
        <v>943.32483000000002</v>
      </c>
      <c r="F269">
        <v>945.71361999999999</v>
      </c>
      <c r="G269">
        <f>_xlfn.MAXIFS(Crypto[Close],Crypto[Name],Crypto[[#This Row],[Name]],Crypto[Date],"&lt;="&amp;Crypto[[#This Row],[Date]])</f>
        <v>1048.67236</v>
      </c>
      <c r="H269" s="3">
        <f>(Crypto[[#This Row],[Close]]/Crypto[[#This Row],[Peak Close]])-1</f>
        <v>-9.8180083624975101E-2</v>
      </c>
      <c r="I269">
        <v>1018.84784</v>
      </c>
      <c r="J269" s="1">
        <v>45924</v>
      </c>
      <c r="K269" s="3">
        <v>-7.17812975880677E-2</v>
      </c>
      <c r="L269">
        <v>4693762081</v>
      </c>
      <c r="M269" s="2" t="s">
        <v>20</v>
      </c>
    </row>
    <row r="270" spans="1:13" x14ac:dyDescent="0.3">
      <c r="A270" s="1">
        <v>45926</v>
      </c>
      <c r="B270" s="2" t="s">
        <v>19</v>
      </c>
      <c r="C270">
        <v>945.71361999999999</v>
      </c>
      <c r="D270">
        <v>964.72838999999999</v>
      </c>
      <c r="E270">
        <v>933.50525000000005</v>
      </c>
      <c r="F270">
        <v>960.92394999999999</v>
      </c>
      <c r="G270">
        <f>_xlfn.MAXIFS(Crypto[Close],Crypto[Name],Crypto[[#This Row],[Name]],Crypto[Date],"&lt;="&amp;Crypto[[#This Row],[Date]])</f>
        <v>1048.67236</v>
      </c>
      <c r="H270" s="3">
        <f>(Crypto[[#This Row],[Close]]/Crypto[[#This Row],[Peak Close]])-1</f>
        <v>-8.3675715454157751E-2</v>
      </c>
      <c r="I270">
        <v>945.71361999999999</v>
      </c>
      <c r="J270" s="1">
        <v>45925</v>
      </c>
      <c r="K270" s="3">
        <v>1.6083441835172001E-2</v>
      </c>
      <c r="L270">
        <v>3789703570</v>
      </c>
      <c r="M270" s="2" t="s">
        <v>20</v>
      </c>
    </row>
    <row r="271" spans="1:13" x14ac:dyDescent="0.3">
      <c r="A271" s="1">
        <v>45927</v>
      </c>
      <c r="B271" s="2" t="s">
        <v>19</v>
      </c>
      <c r="C271">
        <v>960.92394999999999</v>
      </c>
      <c r="D271">
        <v>983.92687999999998</v>
      </c>
      <c r="E271">
        <v>957.40210000000002</v>
      </c>
      <c r="F271">
        <v>968.78954999999996</v>
      </c>
      <c r="G271">
        <f>_xlfn.MAXIFS(Crypto[Close],Crypto[Name],Crypto[[#This Row],[Name]],Crypto[Date],"&lt;="&amp;Crypto[[#This Row],[Date]])</f>
        <v>1048.67236</v>
      </c>
      <c r="H271" s="3">
        <f>(Crypto[[#This Row],[Close]]/Crypto[[#This Row],[Peak Close]])-1</f>
        <v>-7.6175184020297881E-2</v>
      </c>
      <c r="I271">
        <v>960.92394999999999</v>
      </c>
      <c r="J271" s="1">
        <v>45926</v>
      </c>
      <c r="K271" s="3">
        <v>8.1854552589723396E-3</v>
      </c>
      <c r="L271">
        <v>2777184185</v>
      </c>
      <c r="M271" s="2" t="s">
        <v>20</v>
      </c>
    </row>
    <row r="272" spans="1:13" x14ac:dyDescent="0.3">
      <c r="A272" s="1">
        <v>45928</v>
      </c>
      <c r="B272" s="2" t="s">
        <v>19</v>
      </c>
      <c r="C272">
        <v>968.78954999999996</v>
      </c>
      <c r="D272">
        <v>993.38567999999998</v>
      </c>
      <c r="E272">
        <v>964.28754000000004</v>
      </c>
      <c r="F272">
        <v>993.31555000000003</v>
      </c>
      <c r="G272">
        <f>_xlfn.MAXIFS(Crypto[Close],Crypto[Name],Crypto[[#This Row],[Name]],Crypto[Date],"&lt;="&amp;Crypto[[#This Row],[Date]])</f>
        <v>1048.67236</v>
      </c>
      <c r="H272" s="3">
        <f>(Crypto[[#This Row],[Close]]/Crypto[[#This Row],[Peak Close]])-1</f>
        <v>-5.2787516970505433E-2</v>
      </c>
      <c r="I272">
        <v>968.78954999999996</v>
      </c>
      <c r="J272" s="1">
        <v>45927</v>
      </c>
      <c r="K272" s="3">
        <v>2.5316127738991501E-2</v>
      </c>
      <c r="L272">
        <v>2519459113</v>
      </c>
      <c r="M272" s="2" t="s">
        <v>20</v>
      </c>
    </row>
    <row r="273" spans="1:13" x14ac:dyDescent="0.3">
      <c r="A273" s="1">
        <v>45929</v>
      </c>
      <c r="B273" s="2" t="s">
        <v>19</v>
      </c>
      <c r="C273">
        <v>993.31579999999997</v>
      </c>
      <c r="D273">
        <v>1035.7254600000001</v>
      </c>
      <c r="E273">
        <v>992.64153999999996</v>
      </c>
      <c r="F273">
        <v>1030.7412099999999</v>
      </c>
      <c r="G273">
        <f>_xlfn.MAXIFS(Crypto[Close],Crypto[Name],Crypto[[#This Row],[Name]],Crypto[Date],"&lt;="&amp;Crypto[[#This Row],[Date]])</f>
        <v>1048.67236</v>
      </c>
      <c r="H273" s="3">
        <f>(Crypto[[#This Row],[Close]]/Crypto[[#This Row],[Peak Close]])-1</f>
        <v>-1.7098905896594907E-2</v>
      </c>
      <c r="I273">
        <v>993.31555000000003</v>
      </c>
      <c r="J273" s="1">
        <v>45928</v>
      </c>
      <c r="K273" s="3">
        <v>3.7677513454812898E-2</v>
      </c>
      <c r="L273">
        <v>3359320684</v>
      </c>
      <c r="M273" s="2" t="s">
        <v>20</v>
      </c>
    </row>
    <row r="274" spans="1:13" x14ac:dyDescent="0.3">
      <c r="A274" s="1">
        <v>45930</v>
      </c>
      <c r="B274" s="2" t="s">
        <v>19</v>
      </c>
      <c r="C274">
        <v>1030.7412099999999</v>
      </c>
      <c r="D274">
        <v>1032.79602</v>
      </c>
      <c r="E274">
        <v>994.48401000000001</v>
      </c>
      <c r="F274">
        <v>1008.48346</v>
      </c>
      <c r="G274">
        <f>_xlfn.MAXIFS(Crypto[Close],Crypto[Name],Crypto[[#This Row],[Name]],Crypto[Date],"&lt;="&amp;Crypto[[#This Row],[Date]])</f>
        <v>1048.67236</v>
      </c>
      <c r="H274" s="3">
        <f>(Crypto[[#This Row],[Close]]/Crypto[[#This Row],[Peak Close]])-1</f>
        <v>-3.8323599946889053E-2</v>
      </c>
      <c r="I274">
        <v>1030.7412099999999</v>
      </c>
      <c r="J274" s="1">
        <v>45929</v>
      </c>
      <c r="K274" s="3">
        <v>-2.1593926568629102E-2</v>
      </c>
      <c r="L274">
        <v>3076619211</v>
      </c>
      <c r="M274" s="2" t="s">
        <v>20</v>
      </c>
    </row>
    <row r="275" spans="1:13" x14ac:dyDescent="0.3">
      <c r="A275" s="1">
        <v>45931</v>
      </c>
      <c r="B275" s="2" t="s">
        <v>19</v>
      </c>
      <c r="C275">
        <v>1008.48346</v>
      </c>
      <c r="D275">
        <v>1034.82971</v>
      </c>
      <c r="E275">
        <v>1003.88373</v>
      </c>
      <c r="F275">
        <v>1026.1667500000001</v>
      </c>
      <c r="G275">
        <f>_xlfn.MAXIFS(Crypto[Close],Crypto[Name],Crypto[[#This Row],[Name]],Crypto[Date],"&lt;="&amp;Crypto[[#This Row],[Date]])</f>
        <v>1048.67236</v>
      </c>
      <c r="H275" s="3">
        <f>(Crypto[[#This Row],[Close]]/Crypto[[#This Row],[Peak Close]])-1</f>
        <v>-2.146105004617449E-2</v>
      </c>
      <c r="I275">
        <v>1008.48346</v>
      </c>
      <c r="J275" s="1">
        <v>45930</v>
      </c>
      <c r="K275" s="3">
        <v>1.7534536461311999E-2</v>
      </c>
      <c r="L275">
        <v>3100184262</v>
      </c>
      <c r="M275" s="2" t="s">
        <v>20</v>
      </c>
    </row>
    <row r="276" spans="1:13" x14ac:dyDescent="0.3">
      <c r="A276" s="1">
        <v>45932</v>
      </c>
      <c r="B276" s="2" t="s">
        <v>19</v>
      </c>
      <c r="C276">
        <v>1026.1667500000001</v>
      </c>
      <c r="D276">
        <v>1097.2117900000001</v>
      </c>
      <c r="E276">
        <v>1023.9827299999999</v>
      </c>
      <c r="F276">
        <v>1090.6556399999999</v>
      </c>
      <c r="G276">
        <f>_xlfn.MAXIFS(Crypto[Close],Crypto[Name],Crypto[[#This Row],[Name]],Crypto[Date],"&lt;="&amp;Crypto[[#This Row],[Date]])</f>
        <v>1090.6556399999999</v>
      </c>
      <c r="H276" s="3">
        <f>(Crypto[[#This Row],[Close]]/Crypto[[#This Row],[Peak Close]])-1</f>
        <v>0</v>
      </c>
      <c r="I276">
        <v>1026.1667500000001</v>
      </c>
      <c r="J276" s="1">
        <v>45931</v>
      </c>
      <c r="K276" s="3">
        <v>6.2844454860771795E-2</v>
      </c>
      <c r="L276">
        <v>3813163059</v>
      </c>
      <c r="M276" s="2" t="s">
        <v>20</v>
      </c>
    </row>
    <row r="277" spans="1:13" x14ac:dyDescent="0.3">
      <c r="A277" s="1">
        <v>45933</v>
      </c>
      <c r="B277" s="2" t="s">
        <v>19</v>
      </c>
      <c r="C277">
        <v>1090.6556399999999</v>
      </c>
      <c r="D277">
        <v>1190.3542500000001</v>
      </c>
      <c r="E277">
        <v>1085.59546</v>
      </c>
      <c r="F277">
        <v>1189.9190699999999</v>
      </c>
      <c r="G277">
        <f>_xlfn.MAXIFS(Crypto[Close],Crypto[Name],Crypto[[#This Row],[Name]],Crypto[Date],"&lt;="&amp;Crypto[[#This Row],[Date]])</f>
        <v>1189.9190699999999</v>
      </c>
      <c r="H277" s="3">
        <f>(Crypto[[#This Row],[Close]]/Crypto[[#This Row],[Peak Close]])-1</f>
        <v>0</v>
      </c>
      <c r="I277">
        <v>1090.6556399999999</v>
      </c>
      <c r="J277" s="1">
        <v>45932</v>
      </c>
      <c r="K277" s="3">
        <v>9.1012622462576701E-2</v>
      </c>
      <c r="L277">
        <v>6097241167</v>
      </c>
      <c r="M277" s="2" t="s">
        <v>20</v>
      </c>
    </row>
    <row r="278" spans="1:13" x14ac:dyDescent="0.3">
      <c r="A278" s="1">
        <v>45934</v>
      </c>
      <c r="B278" s="2" t="s">
        <v>19</v>
      </c>
      <c r="C278">
        <v>1189.9288300000001</v>
      </c>
      <c r="D278">
        <v>1190.0084199999999</v>
      </c>
      <c r="E278">
        <v>1138.26611</v>
      </c>
      <c r="F278">
        <v>1150.5476100000001</v>
      </c>
      <c r="G278">
        <f>_xlfn.MAXIFS(Crypto[Close],Crypto[Name],Crypto[[#This Row],[Name]],Crypto[Date],"&lt;="&amp;Crypto[[#This Row],[Date]])</f>
        <v>1189.9190699999999</v>
      </c>
      <c r="H278" s="3">
        <f>(Crypto[[#This Row],[Close]]/Crypto[[#This Row],[Peak Close]])-1</f>
        <v>-3.3087510732977665E-2</v>
      </c>
      <c r="I278">
        <v>1189.9190699999999</v>
      </c>
      <c r="J278" s="1">
        <v>45933</v>
      </c>
      <c r="K278" s="3">
        <v>-3.30875107329777E-2</v>
      </c>
      <c r="L278">
        <v>3775482131</v>
      </c>
      <c r="M278" s="2" t="s">
        <v>20</v>
      </c>
    </row>
    <row r="279" spans="1:13" x14ac:dyDescent="0.3">
      <c r="A279" s="1">
        <v>45935</v>
      </c>
      <c r="B279" s="2" t="s">
        <v>19</v>
      </c>
      <c r="C279">
        <v>1150.54529</v>
      </c>
      <c r="D279">
        <v>1186.85437</v>
      </c>
      <c r="E279">
        <v>1145.52881</v>
      </c>
      <c r="F279">
        <v>1165.5275899999999</v>
      </c>
      <c r="G279">
        <f>_xlfn.MAXIFS(Crypto[Close],Crypto[Name],Crypto[[#This Row],[Name]],Crypto[Date],"&lt;="&amp;Crypto[[#This Row],[Date]])</f>
        <v>1189.9190699999999</v>
      </c>
      <c r="H279" s="3">
        <f>(Crypto[[#This Row],[Close]]/Crypto[[#This Row],[Peak Close]])-1</f>
        <v>-2.0498436082716065E-2</v>
      </c>
      <c r="I279">
        <v>1150.5476100000001</v>
      </c>
      <c r="J279" s="1">
        <v>45934</v>
      </c>
      <c r="K279" s="3">
        <v>1.30198697296845E-2</v>
      </c>
      <c r="L279">
        <v>3611451465</v>
      </c>
      <c r="M279" s="2" t="s">
        <v>20</v>
      </c>
    </row>
    <row r="280" spans="1:13" x14ac:dyDescent="0.3">
      <c r="A280" s="1">
        <v>45936</v>
      </c>
      <c r="B280" s="2" t="s">
        <v>19</v>
      </c>
      <c r="C280">
        <v>1165.5275899999999</v>
      </c>
      <c r="D280">
        <v>1237.8118899999999</v>
      </c>
      <c r="E280">
        <v>1164.01685</v>
      </c>
      <c r="F280">
        <v>1223.58106</v>
      </c>
      <c r="G280">
        <f>_xlfn.MAXIFS(Crypto[Close],Crypto[Name],Crypto[[#This Row],[Name]],Crypto[Date],"&lt;="&amp;Crypto[[#This Row],[Date]])</f>
        <v>1223.58106</v>
      </c>
      <c r="H280" s="3">
        <f>(Crypto[[#This Row],[Close]]/Crypto[[#This Row],[Peak Close]])-1</f>
        <v>0</v>
      </c>
      <c r="I280">
        <v>1165.5275899999999</v>
      </c>
      <c r="J280" s="1">
        <v>45935</v>
      </c>
      <c r="K280" s="3">
        <v>4.9808747985107801E-2</v>
      </c>
      <c r="L280">
        <v>5653272930</v>
      </c>
      <c r="M280" s="2" t="s">
        <v>20</v>
      </c>
    </row>
    <row r="281" spans="1:13" x14ac:dyDescent="0.3">
      <c r="A281" s="1">
        <v>45937</v>
      </c>
      <c r="B281" s="2" t="s">
        <v>19</v>
      </c>
      <c r="C281">
        <v>1223.58008</v>
      </c>
      <c r="D281">
        <v>1336.56555</v>
      </c>
      <c r="E281">
        <v>1209.2814900000001</v>
      </c>
      <c r="F281">
        <v>1310.2143599999999</v>
      </c>
      <c r="G281">
        <f>_xlfn.MAXIFS(Crypto[Close],Crypto[Name],Crypto[[#This Row],[Name]],Crypto[Date],"&lt;="&amp;Crypto[[#This Row],[Date]])</f>
        <v>1310.2143599999999</v>
      </c>
      <c r="H281" s="3">
        <f>(Crypto[[#This Row],[Close]]/Crypto[[#This Row],[Peak Close]])-1</f>
        <v>0</v>
      </c>
      <c r="I281">
        <v>1223.58106</v>
      </c>
      <c r="J281" s="1">
        <v>45936</v>
      </c>
      <c r="K281" s="3">
        <v>7.0803073725250396E-2</v>
      </c>
      <c r="L281">
        <v>11163171147</v>
      </c>
      <c r="M281" s="2" t="s">
        <v>20</v>
      </c>
    </row>
    <row r="282" spans="1:13" x14ac:dyDescent="0.3">
      <c r="A282" s="1">
        <v>45938</v>
      </c>
      <c r="B282" s="2" t="s">
        <v>19</v>
      </c>
      <c r="C282">
        <v>1310.22766</v>
      </c>
      <c r="D282">
        <v>1332.8315399999999</v>
      </c>
      <c r="E282">
        <v>1270.3103000000001</v>
      </c>
      <c r="F282">
        <v>1306.5993699999999</v>
      </c>
      <c r="G282">
        <f>_xlfn.MAXIFS(Crypto[Close],Crypto[Name],Crypto[[#This Row],[Name]],Crypto[Date],"&lt;="&amp;Crypto[[#This Row],[Date]])</f>
        <v>1310.2143599999999</v>
      </c>
      <c r="H282" s="3">
        <f>(Crypto[[#This Row],[Close]]/Crypto[[#This Row],[Peak Close]])-1</f>
        <v>-2.7590828725155836E-3</v>
      </c>
      <c r="I282">
        <v>1310.2143599999999</v>
      </c>
      <c r="J282" s="1">
        <v>45937</v>
      </c>
      <c r="K282" s="3">
        <v>-2.75908287251564E-3</v>
      </c>
      <c r="L282">
        <v>7916662087</v>
      </c>
      <c r="M282" s="2" t="s">
        <v>20</v>
      </c>
    </row>
    <row r="283" spans="1:13" x14ac:dyDescent="0.3">
      <c r="A283" s="1">
        <v>45939</v>
      </c>
      <c r="B283" s="2" t="s">
        <v>19</v>
      </c>
      <c r="C283">
        <v>1306.5974100000001</v>
      </c>
      <c r="D283">
        <v>1318.05737</v>
      </c>
      <c r="E283">
        <v>1228.08203</v>
      </c>
      <c r="F283">
        <v>1255.8906300000001</v>
      </c>
      <c r="G283">
        <f>_xlfn.MAXIFS(Crypto[Close],Crypto[Name],Crypto[[#This Row],[Name]],Crypto[Date],"&lt;="&amp;Crypto[[#This Row],[Date]])</f>
        <v>1310.2143599999999</v>
      </c>
      <c r="H283" s="3">
        <f>(Crypto[[#This Row],[Close]]/Crypto[[#This Row],[Peak Close]])-1</f>
        <v>-4.1461711654572242E-2</v>
      </c>
      <c r="I283">
        <v>1306.5993699999999</v>
      </c>
      <c r="J283" s="1">
        <v>45938</v>
      </c>
      <c r="K283" s="3">
        <v>-3.8809707982638803E-2</v>
      </c>
      <c r="L283">
        <v>8172167891</v>
      </c>
      <c r="M283" s="2" t="s">
        <v>20</v>
      </c>
    </row>
    <row r="284" spans="1:13" x14ac:dyDescent="0.3">
      <c r="A284" s="1">
        <v>45940</v>
      </c>
      <c r="B284" s="2" t="s">
        <v>19</v>
      </c>
      <c r="C284">
        <v>1255.8875700000001</v>
      </c>
      <c r="D284">
        <v>1276.35815</v>
      </c>
      <c r="E284">
        <v>962.46813999999995</v>
      </c>
      <c r="F284">
        <v>1106.8985600000001</v>
      </c>
      <c r="G284">
        <f>_xlfn.MAXIFS(Crypto[Close],Crypto[Name],Crypto[[#This Row],[Name]],Crypto[Date],"&lt;="&amp;Crypto[[#This Row],[Date]])</f>
        <v>1310.2143599999999</v>
      </c>
      <c r="H284" s="3">
        <f>(Crypto[[#This Row],[Close]]/Crypto[[#This Row],[Peak Close]])-1</f>
        <v>-0.15517750851089729</v>
      </c>
      <c r="I284">
        <v>1255.8906300000001</v>
      </c>
      <c r="J284" s="1">
        <v>45939</v>
      </c>
      <c r="K284" s="3">
        <v>-0.11863459001999201</v>
      </c>
      <c r="L284">
        <v>10329526518</v>
      </c>
      <c r="M284" s="2" t="s">
        <v>20</v>
      </c>
    </row>
    <row r="285" spans="1:13" x14ac:dyDescent="0.3">
      <c r="A285" s="1">
        <v>45941</v>
      </c>
      <c r="B285" s="2" t="s">
        <v>19</v>
      </c>
      <c r="C285">
        <v>1106.8985600000001</v>
      </c>
      <c r="D285">
        <v>1180.5258799999999</v>
      </c>
      <c r="E285">
        <v>1080.71838</v>
      </c>
      <c r="F285">
        <v>1137.1993399999999</v>
      </c>
      <c r="G285">
        <f>_xlfn.MAXIFS(Crypto[Close],Crypto[Name],Crypto[[#This Row],[Name]],Crypto[Date],"&lt;="&amp;Crypto[[#This Row],[Date]])</f>
        <v>1310.2143599999999</v>
      </c>
      <c r="H285" s="3">
        <f>(Crypto[[#This Row],[Close]]/Crypto[[#This Row],[Peak Close]])-1</f>
        <v>-0.13205092638429028</v>
      </c>
      <c r="I285">
        <v>1106.8985600000001</v>
      </c>
      <c r="J285" s="1">
        <v>45940</v>
      </c>
      <c r="K285" s="3">
        <v>2.7374486782239402E-2</v>
      </c>
      <c r="L285">
        <v>8101403820</v>
      </c>
      <c r="M285" s="2" t="s">
        <v>20</v>
      </c>
    </row>
    <row r="286" spans="1:13" x14ac:dyDescent="0.3">
      <c r="A286" s="1">
        <v>45942</v>
      </c>
      <c r="B286" s="2" t="s">
        <v>19</v>
      </c>
      <c r="C286">
        <v>1137.1993399999999</v>
      </c>
      <c r="D286">
        <v>1319.77197</v>
      </c>
      <c r="E286">
        <v>1110.19739</v>
      </c>
      <c r="F286">
        <v>1303.1173100000001</v>
      </c>
      <c r="G286">
        <f>_xlfn.MAXIFS(Crypto[Close],Crypto[Name],Crypto[[#This Row],[Name]],Crypto[Date],"&lt;="&amp;Crypto[[#This Row],[Date]])</f>
        <v>1310.2143599999999</v>
      </c>
      <c r="H286" s="3">
        <f>(Crypto[[#This Row],[Close]]/Crypto[[#This Row],[Peak Close]])-1</f>
        <v>-5.4167090643090221E-3</v>
      </c>
      <c r="I286">
        <v>1137.1993399999999</v>
      </c>
      <c r="J286" s="1">
        <v>45941</v>
      </c>
      <c r="K286" s="3">
        <v>0.14590051555956801</v>
      </c>
      <c r="L286">
        <v>10201040572</v>
      </c>
      <c r="M286" s="2" t="s">
        <v>20</v>
      </c>
    </row>
    <row r="287" spans="1:13" x14ac:dyDescent="0.3">
      <c r="A287" s="1">
        <v>45943</v>
      </c>
      <c r="B287" s="2" t="s">
        <v>19</v>
      </c>
      <c r="C287">
        <v>1303.14734</v>
      </c>
      <c r="D287">
        <v>1370.54602</v>
      </c>
      <c r="E287">
        <v>1257.11023</v>
      </c>
      <c r="F287">
        <v>1293.47327</v>
      </c>
      <c r="G287">
        <f>_xlfn.MAXIFS(Crypto[Close],Crypto[Name],Crypto[[#This Row],[Name]],Crypto[Date],"&lt;="&amp;Crypto[[#This Row],[Date]])</f>
        <v>1310.2143599999999</v>
      </c>
      <c r="H287" s="3">
        <f>(Crypto[[#This Row],[Close]]/Crypto[[#This Row],[Peak Close]])-1</f>
        <v>-1.2777367208828272E-2</v>
      </c>
      <c r="I287">
        <v>1303.1173100000001</v>
      </c>
      <c r="J287" s="1">
        <v>45942</v>
      </c>
      <c r="K287" s="3">
        <v>-7.4007458315476799E-3</v>
      </c>
      <c r="L287">
        <v>11820387271</v>
      </c>
      <c r="M287" s="2" t="s">
        <v>20</v>
      </c>
    </row>
    <row r="288" spans="1:13" x14ac:dyDescent="0.3">
      <c r="A288" s="1">
        <v>45944</v>
      </c>
      <c r="B288" s="2" t="s">
        <v>19</v>
      </c>
      <c r="C288">
        <v>1293.47327</v>
      </c>
      <c r="D288">
        <v>1316.4070999999999</v>
      </c>
      <c r="E288">
        <v>1147.75</v>
      </c>
      <c r="F288">
        <v>1211.05115</v>
      </c>
      <c r="G288">
        <f>_xlfn.MAXIFS(Crypto[Close],Crypto[Name],Crypto[[#This Row],[Name]],Crypto[Date],"&lt;="&amp;Crypto[[#This Row],[Date]])</f>
        <v>1310.2143599999999</v>
      </c>
      <c r="H288" s="3">
        <f>(Crypto[[#This Row],[Close]]/Crypto[[#This Row],[Peak Close]])-1</f>
        <v>-7.5684722307577168E-2</v>
      </c>
      <c r="I288">
        <v>1293.47327</v>
      </c>
      <c r="J288" s="1">
        <v>45943</v>
      </c>
      <c r="K288" s="3">
        <v>-6.3721548725935398E-2</v>
      </c>
      <c r="L288">
        <v>10106588255</v>
      </c>
      <c r="M288" s="2" t="s">
        <v>20</v>
      </c>
    </row>
    <row r="289" spans="1:13" x14ac:dyDescent="0.3">
      <c r="A289" s="1">
        <v>45945</v>
      </c>
      <c r="B289" s="2" t="s">
        <v>19</v>
      </c>
      <c r="C289">
        <v>1211.05115</v>
      </c>
      <c r="D289">
        <v>1221.7075199999999</v>
      </c>
      <c r="E289">
        <v>1151.83521</v>
      </c>
      <c r="F289">
        <v>1162.6917699999999</v>
      </c>
      <c r="G289">
        <f>_xlfn.MAXIFS(Crypto[Close],Crypto[Name],Crypto[[#This Row],[Name]],Crypto[Date],"&lt;="&amp;Crypto[[#This Row],[Date]])</f>
        <v>1310.2143599999999</v>
      </c>
      <c r="H289" s="3">
        <f>(Crypto[[#This Row],[Close]]/Crypto[[#This Row],[Peak Close]])-1</f>
        <v>-0.11259423992269479</v>
      </c>
      <c r="I289">
        <v>1211.05115</v>
      </c>
      <c r="J289" s="1">
        <v>45944</v>
      </c>
      <c r="K289" s="3">
        <v>-3.9931740290242997E-2</v>
      </c>
      <c r="L289">
        <v>5853929585</v>
      </c>
      <c r="M289" s="2" t="s">
        <v>20</v>
      </c>
    </row>
    <row r="290" spans="1:13" x14ac:dyDescent="0.3">
      <c r="A290" s="1">
        <v>45946</v>
      </c>
      <c r="B290" s="2" t="s">
        <v>19</v>
      </c>
      <c r="C290">
        <v>1162.69373</v>
      </c>
      <c r="D290">
        <v>1193.7739300000001</v>
      </c>
      <c r="E290">
        <v>1125.3332499999999</v>
      </c>
      <c r="F290">
        <v>1145.8253199999999</v>
      </c>
      <c r="G290">
        <f>_xlfn.MAXIFS(Crypto[Close],Crypto[Name],Crypto[[#This Row],[Name]],Crypto[Date],"&lt;="&amp;Crypto[[#This Row],[Date]])</f>
        <v>1310.2143599999999</v>
      </c>
      <c r="H290" s="3">
        <f>(Crypto[[#This Row],[Close]]/Crypto[[#This Row],[Peak Close]])-1</f>
        <v>-0.12546728613171365</v>
      </c>
      <c r="I290">
        <v>1162.6917699999999</v>
      </c>
      <c r="J290" s="1">
        <v>45945</v>
      </c>
      <c r="K290" s="3">
        <v>-1.4506381170996001E-2</v>
      </c>
      <c r="L290">
        <v>5605348340</v>
      </c>
      <c r="M290" s="2" t="s">
        <v>20</v>
      </c>
    </row>
    <row r="291" spans="1:13" x14ac:dyDescent="0.3">
      <c r="A291" s="1">
        <v>45947</v>
      </c>
      <c r="B291" s="2" t="s">
        <v>19</v>
      </c>
      <c r="C291">
        <v>1145.81799</v>
      </c>
      <c r="D291">
        <v>1154.8912399999999</v>
      </c>
      <c r="E291">
        <v>1024.0832499999999</v>
      </c>
      <c r="F291">
        <v>1071.9630099999999</v>
      </c>
      <c r="G291">
        <f>_xlfn.MAXIFS(Crypto[Close],Crypto[Name],Crypto[[#This Row],[Name]],Crypto[Date],"&lt;="&amp;Crypto[[#This Row],[Date]])</f>
        <v>1310.2143599999999</v>
      </c>
      <c r="H291" s="3">
        <f>(Crypto[[#This Row],[Close]]/Crypto[[#This Row],[Peak Close]])-1</f>
        <v>-0.18184150416424993</v>
      </c>
      <c r="I291">
        <v>1145.8253199999999</v>
      </c>
      <c r="J291" s="1">
        <v>45946</v>
      </c>
      <c r="K291" s="3">
        <v>-6.4462103176424798E-2</v>
      </c>
      <c r="L291">
        <v>6656427568</v>
      </c>
      <c r="M291" s="2" t="s">
        <v>20</v>
      </c>
    </row>
    <row r="292" spans="1:13" x14ac:dyDescent="0.3">
      <c r="A292" s="1">
        <v>45948</v>
      </c>
      <c r="B292" s="2" t="s">
        <v>19</v>
      </c>
      <c r="C292">
        <v>1071.96558</v>
      </c>
      <c r="D292">
        <v>1129.1925100000001</v>
      </c>
      <c r="E292">
        <v>1071.47388</v>
      </c>
      <c r="F292">
        <v>1093.15247</v>
      </c>
      <c r="G292">
        <f>_xlfn.MAXIFS(Crypto[Close],Crypto[Name],Crypto[[#This Row],[Name]],Crypto[Date],"&lt;="&amp;Crypto[[#This Row],[Date]])</f>
        <v>1310.2143599999999</v>
      </c>
      <c r="H292" s="3">
        <f>(Crypto[[#This Row],[Close]]/Crypto[[#This Row],[Peak Close]])-1</f>
        <v>-0.16566899022538573</v>
      </c>
      <c r="I292">
        <v>1071.9630099999999</v>
      </c>
      <c r="J292" s="1">
        <v>45947</v>
      </c>
      <c r="K292" s="3">
        <v>1.9766969384512698E-2</v>
      </c>
      <c r="L292">
        <v>3767783165</v>
      </c>
      <c r="M292" s="2" t="s">
        <v>20</v>
      </c>
    </row>
    <row r="293" spans="1:13" x14ac:dyDescent="0.3">
      <c r="A293" s="1">
        <v>45949</v>
      </c>
      <c r="B293" s="2" t="s">
        <v>19</v>
      </c>
      <c r="C293">
        <v>1093.15247</v>
      </c>
      <c r="D293">
        <v>1132.3472899999999</v>
      </c>
      <c r="E293">
        <v>1069.3074999999999</v>
      </c>
      <c r="F293">
        <v>1109.6800499999999</v>
      </c>
      <c r="G293">
        <f>_xlfn.MAXIFS(Crypto[Close],Crypto[Name],Crypto[[#This Row],[Name]],Crypto[Date],"&lt;="&amp;Crypto[[#This Row],[Date]])</f>
        <v>1310.2143599999999</v>
      </c>
      <c r="H293" s="3">
        <f>(Crypto[[#This Row],[Close]]/Crypto[[#This Row],[Peak Close]])-1</f>
        <v>-0.15305458108396863</v>
      </c>
      <c r="I293">
        <v>1093.15247</v>
      </c>
      <c r="J293" s="1">
        <v>45948</v>
      </c>
      <c r="K293" s="3">
        <v>1.51191900979741E-2</v>
      </c>
      <c r="L293">
        <v>3690436753</v>
      </c>
      <c r="M293" s="2" t="s">
        <v>20</v>
      </c>
    </row>
    <row r="294" spans="1:13" x14ac:dyDescent="0.3">
      <c r="A294" s="1">
        <v>45950</v>
      </c>
      <c r="B294" s="2" t="s">
        <v>19</v>
      </c>
      <c r="C294">
        <v>1109.6821299999999</v>
      </c>
      <c r="D294">
        <v>1142.74451</v>
      </c>
      <c r="E294">
        <v>1090.00684</v>
      </c>
      <c r="F294">
        <v>1101.0616500000001</v>
      </c>
      <c r="G294">
        <f>_xlfn.MAXIFS(Crypto[Close],Crypto[Name],Crypto[[#This Row],[Name]],Crypto[Date],"&lt;="&amp;Crypto[[#This Row],[Date]])</f>
        <v>1310.2143599999999</v>
      </c>
      <c r="H294" s="3">
        <f>(Crypto[[#This Row],[Close]]/Crypto[[#This Row],[Peak Close]])-1</f>
        <v>-0.15963243602367472</v>
      </c>
      <c r="I294">
        <v>1109.6800499999999</v>
      </c>
      <c r="J294" s="1">
        <v>45949</v>
      </c>
      <c r="K294" s="3">
        <v>-7.7665629836274298E-3</v>
      </c>
      <c r="L294">
        <v>4209252745</v>
      </c>
      <c r="M294" s="2" t="s">
        <v>20</v>
      </c>
    </row>
    <row r="295" spans="1:13" x14ac:dyDescent="0.3">
      <c r="A295" s="1">
        <v>45951</v>
      </c>
      <c r="B295" s="2" t="s">
        <v>19</v>
      </c>
      <c r="C295">
        <v>1101.1649199999999</v>
      </c>
      <c r="D295">
        <v>1114.31323</v>
      </c>
      <c r="E295">
        <v>1054.30493</v>
      </c>
      <c r="F295">
        <v>1057.4404300000001</v>
      </c>
      <c r="G295">
        <f>_xlfn.MAXIFS(Crypto[Close],Crypto[Name],Crypto[[#This Row],[Name]],Crypto[Date],"&lt;="&amp;Crypto[[#This Row],[Date]])</f>
        <v>1310.2143599999999</v>
      </c>
      <c r="H295" s="3">
        <f>(Crypto[[#This Row],[Close]]/Crypto[[#This Row],[Peak Close]])-1</f>
        <v>-0.19292562936037416</v>
      </c>
      <c r="I295">
        <v>1101.0616500000001</v>
      </c>
      <c r="J295" s="1">
        <v>45950</v>
      </c>
      <c r="K295" s="3">
        <v>-3.9617418334386603E-2</v>
      </c>
      <c r="L295">
        <v>4398689427</v>
      </c>
      <c r="M295" s="2" t="s">
        <v>20</v>
      </c>
    </row>
    <row r="296" spans="1:13" x14ac:dyDescent="0.3">
      <c r="A296" s="1">
        <v>45952</v>
      </c>
      <c r="B296" s="2" t="s">
        <v>19</v>
      </c>
      <c r="C296">
        <v>1057.4404300000001</v>
      </c>
      <c r="D296">
        <v>1082.9290800000001</v>
      </c>
      <c r="E296">
        <v>1054.0701899999999</v>
      </c>
      <c r="F296">
        <v>1072.0479700000001</v>
      </c>
      <c r="G296">
        <f>_xlfn.MAXIFS(Crypto[Close],Crypto[Name],Crypto[[#This Row],[Name]],Crypto[Date],"&lt;="&amp;Crypto[[#This Row],[Date]])</f>
        <v>1310.2143599999999</v>
      </c>
      <c r="H296" s="3">
        <f>(Crypto[[#This Row],[Close]]/Crypto[[#This Row],[Peak Close]])-1</f>
        <v>-0.18177665981313151</v>
      </c>
      <c r="I296">
        <v>1057.4404300000001</v>
      </c>
      <c r="J296" s="1">
        <v>45951</v>
      </c>
      <c r="K296" s="3">
        <v>1.38140547548385E-2</v>
      </c>
      <c r="L296">
        <v>3625757780</v>
      </c>
      <c r="M296" s="2" t="s">
        <v>20</v>
      </c>
    </row>
    <row r="297" spans="1:13" x14ac:dyDescent="0.3">
      <c r="A297" s="1">
        <v>45953</v>
      </c>
      <c r="B297" s="2" t="s">
        <v>19</v>
      </c>
      <c r="C297">
        <v>1072.0509</v>
      </c>
      <c r="D297">
        <v>1150.99927</v>
      </c>
      <c r="E297">
        <v>1071.9394500000001</v>
      </c>
      <c r="F297">
        <v>1127.5730000000001</v>
      </c>
      <c r="G297">
        <f>_xlfn.MAXIFS(Crypto[Close],Crypto[Name],Crypto[[#This Row],[Name]],Crypto[Date],"&lt;="&amp;Crypto[[#This Row],[Date]])</f>
        <v>1310.2143599999999</v>
      </c>
      <c r="H297" s="3">
        <f>(Crypto[[#This Row],[Close]]/Crypto[[#This Row],[Peak Close]])-1</f>
        <v>-0.13939807528899306</v>
      </c>
      <c r="I297">
        <v>1072.0479700000001</v>
      </c>
      <c r="J297" s="1">
        <v>45952</v>
      </c>
      <c r="K297" s="3">
        <v>5.1793419281415197E-2</v>
      </c>
      <c r="L297">
        <v>5661131703</v>
      </c>
      <c r="M297" s="2" t="s">
        <v>20</v>
      </c>
    </row>
    <row r="298" spans="1:13" x14ac:dyDescent="0.3">
      <c r="A298" s="1">
        <v>45954</v>
      </c>
      <c r="B298" s="2" t="s">
        <v>19</v>
      </c>
      <c r="C298">
        <v>1127.5726299999999</v>
      </c>
      <c r="D298">
        <v>1141.6394</v>
      </c>
      <c r="E298">
        <v>1098.93103</v>
      </c>
      <c r="F298">
        <v>1109.14868</v>
      </c>
      <c r="G298">
        <f>_xlfn.MAXIFS(Crypto[Close],Crypto[Name],Crypto[[#This Row],[Name]],Crypto[Date],"&lt;="&amp;Crypto[[#This Row],[Date]])</f>
        <v>1310.2143599999999</v>
      </c>
      <c r="H298" s="3">
        <f>(Crypto[[#This Row],[Close]]/Crypto[[#This Row],[Peak Close]])-1</f>
        <v>-0.15346014067499603</v>
      </c>
      <c r="I298">
        <v>1127.5730000000001</v>
      </c>
      <c r="J298" s="1">
        <v>45953</v>
      </c>
      <c r="K298" s="3">
        <v>-1.6339802389734499E-2</v>
      </c>
      <c r="L298">
        <v>3451758493</v>
      </c>
      <c r="M298" s="2" t="s">
        <v>20</v>
      </c>
    </row>
    <row r="299" spans="1:13" x14ac:dyDescent="0.3">
      <c r="A299" s="1">
        <v>45955</v>
      </c>
      <c r="B299" s="2" t="s">
        <v>19</v>
      </c>
      <c r="C299">
        <v>1109.1498999999999</v>
      </c>
      <c r="D299">
        <v>1120.07068</v>
      </c>
      <c r="E299">
        <v>1102.49512</v>
      </c>
      <c r="F299">
        <v>1116.7412099999999</v>
      </c>
      <c r="G299">
        <f>_xlfn.MAXIFS(Crypto[Close],Crypto[Name],Crypto[[#This Row],[Name]],Crypto[Date],"&lt;="&amp;Crypto[[#This Row],[Date]])</f>
        <v>1310.2143599999999</v>
      </c>
      <c r="H299" s="3">
        <f>(Crypto[[#This Row],[Close]]/Crypto[[#This Row],[Peak Close]])-1</f>
        <v>-0.14766526448389716</v>
      </c>
      <c r="I299">
        <v>1109.14868</v>
      </c>
      <c r="J299" s="1">
        <v>45954</v>
      </c>
      <c r="K299" s="3">
        <v>6.8453672054136997E-3</v>
      </c>
      <c r="L299">
        <v>2230311136</v>
      </c>
      <c r="M299" s="2" t="s">
        <v>20</v>
      </c>
    </row>
    <row r="300" spans="1:13" x14ac:dyDescent="0.3">
      <c r="A300" s="1">
        <v>45956</v>
      </c>
      <c r="B300" s="2" t="s">
        <v>19</v>
      </c>
      <c r="C300">
        <v>1116.7419400000001</v>
      </c>
      <c r="D300">
        <v>1141.95569</v>
      </c>
      <c r="E300">
        <v>1115.5335700000001</v>
      </c>
      <c r="F300">
        <v>1137.58691</v>
      </c>
      <c r="G300">
        <f>_xlfn.MAXIFS(Crypto[Close],Crypto[Name],Crypto[[#This Row],[Name]],Crypto[Date],"&lt;="&amp;Crypto[[#This Row],[Date]])</f>
        <v>1310.2143599999999</v>
      </c>
      <c r="H300" s="3">
        <f>(Crypto[[#This Row],[Close]]/Crypto[[#This Row],[Peak Close]])-1</f>
        <v>-0.13175511982634658</v>
      </c>
      <c r="I300">
        <v>1116.7412099999999</v>
      </c>
      <c r="J300" s="1">
        <v>45955</v>
      </c>
      <c r="K300" s="3">
        <v>1.8666544955388598E-2</v>
      </c>
      <c r="L300">
        <v>2746697366</v>
      </c>
      <c r="M300" s="2" t="s">
        <v>20</v>
      </c>
    </row>
    <row r="301" spans="1:13" x14ac:dyDescent="0.3">
      <c r="A301" s="1">
        <v>45957</v>
      </c>
      <c r="B301" s="2" t="s">
        <v>19</v>
      </c>
      <c r="C301">
        <v>1137.5876499999999</v>
      </c>
      <c r="D301">
        <v>1180.0148899999999</v>
      </c>
      <c r="E301">
        <v>1134.2910199999999</v>
      </c>
      <c r="F301">
        <v>1139.7459699999999</v>
      </c>
      <c r="G301">
        <f>_xlfn.MAXIFS(Crypto[Close],Crypto[Name],Crypto[[#This Row],[Name]],Crypto[Date],"&lt;="&amp;Crypto[[#This Row],[Date]])</f>
        <v>1310.2143599999999</v>
      </c>
      <c r="H301" s="3">
        <f>(Crypto[[#This Row],[Close]]/Crypto[[#This Row],[Peak Close]])-1</f>
        <v>-0.13010725206827989</v>
      </c>
      <c r="I301">
        <v>1137.58691</v>
      </c>
      <c r="J301" s="1">
        <v>45956</v>
      </c>
      <c r="K301" s="3">
        <v>1.8979297151019E-3</v>
      </c>
      <c r="L301">
        <v>4501355092</v>
      </c>
      <c r="M301" s="2" t="s">
        <v>20</v>
      </c>
    </row>
    <row r="302" spans="1:13" x14ac:dyDescent="0.3">
      <c r="A302" s="1">
        <v>45958</v>
      </c>
      <c r="B302" s="2" t="s">
        <v>19</v>
      </c>
      <c r="C302">
        <v>1139.7508499999999</v>
      </c>
      <c r="D302">
        <v>1148.55835</v>
      </c>
      <c r="E302">
        <v>1088.88159</v>
      </c>
      <c r="F302">
        <v>1103.1447800000001</v>
      </c>
      <c r="G302">
        <f>_xlfn.MAXIFS(Crypto[Close],Crypto[Name],Crypto[[#This Row],[Name]],Crypto[Date],"&lt;="&amp;Crypto[[#This Row],[Date]])</f>
        <v>1310.2143599999999</v>
      </c>
      <c r="H302" s="3">
        <f>(Crypto[[#This Row],[Close]]/Crypto[[#This Row],[Peak Close]])-1</f>
        <v>-0.15804252061471824</v>
      </c>
      <c r="I302">
        <v>1139.7459699999999</v>
      </c>
      <c r="J302" s="1">
        <v>45957</v>
      </c>
      <c r="K302" s="3">
        <v>-3.2113462967541702E-2</v>
      </c>
      <c r="L302">
        <v>4178047763</v>
      </c>
      <c r="M302" s="2" t="s">
        <v>20</v>
      </c>
    </row>
    <row r="303" spans="1:13" x14ac:dyDescent="0.3">
      <c r="A303" s="1">
        <v>45959</v>
      </c>
      <c r="B303" s="2" t="s">
        <v>19</v>
      </c>
      <c r="C303">
        <v>1103.1491699999999</v>
      </c>
      <c r="D303">
        <v>1120.7299800000001</v>
      </c>
      <c r="E303">
        <v>1089.76819</v>
      </c>
      <c r="F303">
        <v>1107.1633300000001</v>
      </c>
      <c r="G303">
        <f>_xlfn.MAXIFS(Crypto[Close],Crypto[Name],Crypto[[#This Row],[Name]],Crypto[Date],"&lt;="&amp;Crypto[[#This Row],[Date]])</f>
        <v>1310.2143599999999</v>
      </c>
      <c r="H303" s="3">
        <f>(Crypto[[#This Row],[Close]]/Crypto[[#This Row],[Peak Close]])-1</f>
        <v>-0.15497542707439094</v>
      </c>
      <c r="I303">
        <v>1103.1447800000001</v>
      </c>
      <c r="J303" s="1">
        <v>45958</v>
      </c>
      <c r="K303" s="3">
        <v>3.64281286813505E-3</v>
      </c>
      <c r="L303">
        <v>4169218996</v>
      </c>
      <c r="M303" s="2" t="s">
        <v>20</v>
      </c>
    </row>
    <row r="304" spans="1:13" x14ac:dyDescent="0.3">
      <c r="A304" s="1">
        <v>45960</v>
      </c>
      <c r="B304" s="2" t="s">
        <v>19</v>
      </c>
      <c r="C304">
        <v>1107.1619900000001</v>
      </c>
      <c r="D304">
        <v>1123.6968999999999</v>
      </c>
      <c r="E304">
        <v>1050.1283000000001</v>
      </c>
      <c r="F304">
        <v>1078.6114500000001</v>
      </c>
      <c r="G304">
        <f>_xlfn.MAXIFS(Crypto[Close],Crypto[Name],Crypto[[#This Row],[Name]],Crypto[Date],"&lt;="&amp;Crypto[[#This Row],[Date]])</f>
        <v>1310.2143599999999</v>
      </c>
      <c r="H304" s="3">
        <f>(Crypto[[#This Row],[Close]]/Crypto[[#This Row],[Peak Close]])-1</f>
        <v>-0.1767671894544034</v>
      </c>
      <c r="I304">
        <v>1107.1633300000001</v>
      </c>
      <c r="J304" s="1">
        <v>45959</v>
      </c>
      <c r="K304" s="3">
        <v>-2.57883179711163E-2</v>
      </c>
      <c r="L304">
        <v>4153774666</v>
      </c>
      <c r="M304" s="2" t="s">
        <v>20</v>
      </c>
    </row>
    <row r="305" spans="1:13" x14ac:dyDescent="0.3">
      <c r="A305" s="1">
        <v>45961</v>
      </c>
      <c r="B305" s="2" t="s">
        <v>19</v>
      </c>
      <c r="C305">
        <v>1078.6125500000001</v>
      </c>
      <c r="D305">
        <v>1104.24756</v>
      </c>
      <c r="E305">
        <v>1073.45398</v>
      </c>
      <c r="F305">
        <v>1088.95544</v>
      </c>
      <c r="G305">
        <f>_xlfn.MAXIFS(Crypto[Close],Crypto[Name],Crypto[[#This Row],[Name]],Crypto[Date],"&lt;="&amp;Crypto[[#This Row],[Date]])</f>
        <v>1310.2143599999999</v>
      </c>
      <c r="H305" s="3">
        <f>(Crypto[[#This Row],[Close]]/Crypto[[#This Row],[Peak Close]])-1</f>
        <v>-0.16887230575003009</v>
      </c>
      <c r="I305">
        <v>1078.6114500000001</v>
      </c>
      <c r="J305" s="1">
        <v>45960</v>
      </c>
      <c r="K305" s="3">
        <v>9.5900984548234203E-3</v>
      </c>
      <c r="L305">
        <v>4399392720</v>
      </c>
      <c r="M305" s="2" t="s">
        <v>20</v>
      </c>
    </row>
    <row r="306" spans="1:13" x14ac:dyDescent="0.3">
      <c r="A306" s="1">
        <v>45962</v>
      </c>
      <c r="B306" s="2" t="s">
        <v>19</v>
      </c>
      <c r="C306">
        <v>1088.94434</v>
      </c>
      <c r="D306">
        <v>1097.1381799999999</v>
      </c>
      <c r="E306">
        <v>1082.4669200000001</v>
      </c>
      <c r="F306">
        <v>1094.6423299999999</v>
      </c>
      <c r="G306">
        <f>_xlfn.MAXIFS(Crypto[Close],Crypto[Name],Crypto[[#This Row],[Name]],Crypto[Date],"&lt;="&amp;Crypto[[#This Row],[Date]])</f>
        <v>1310.2143599999999</v>
      </c>
      <c r="H306" s="3">
        <f>(Crypto[[#This Row],[Close]]/Crypto[[#This Row],[Peak Close]])-1</f>
        <v>-0.16453187858511953</v>
      </c>
      <c r="I306">
        <v>1088.95544</v>
      </c>
      <c r="J306" s="1">
        <v>45961</v>
      </c>
      <c r="K306" s="3">
        <v>5.2223349010497204E-3</v>
      </c>
      <c r="L306">
        <v>2138185589</v>
      </c>
      <c r="M306" s="2" t="s">
        <v>20</v>
      </c>
    </row>
    <row r="307" spans="1:13" x14ac:dyDescent="0.3">
      <c r="A307" s="1">
        <v>45963</v>
      </c>
      <c r="B307" s="2" t="s">
        <v>19</v>
      </c>
      <c r="C307">
        <v>1094.64148</v>
      </c>
      <c r="D307">
        <v>1094.64453</v>
      </c>
      <c r="E307">
        <v>1073.65308</v>
      </c>
      <c r="F307">
        <v>1084.35986</v>
      </c>
      <c r="G307">
        <f>_xlfn.MAXIFS(Crypto[Close],Crypto[Name],Crypto[[#This Row],[Name]],Crypto[Date],"&lt;="&amp;Crypto[[#This Row],[Date]])</f>
        <v>1310.2143599999999</v>
      </c>
      <c r="H307" s="3">
        <f>(Crypto[[#This Row],[Close]]/Crypto[[#This Row],[Peak Close]])-1</f>
        <v>-0.17237980814070752</v>
      </c>
      <c r="I307">
        <v>1094.6423299999999</v>
      </c>
      <c r="J307" s="1">
        <v>45962</v>
      </c>
      <c r="K307" s="3">
        <v>-9.3934518318872905E-3</v>
      </c>
      <c r="L307">
        <v>2049912244</v>
      </c>
      <c r="M307" s="2" t="s">
        <v>20</v>
      </c>
    </row>
    <row r="308" spans="1:13" x14ac:dyDescent="0.3">
      <c r="A308" s="1">
        <v>45964</v>
      </c>
      <c r="B308" s="2" t="s">
        <v>19</v>
      </c>
      <c r="C308">
        <v>1084.3364300000001</v>
      </c>
      <c r="D308">
        <v>1086.59448</v>
      </c>
      <c r="E308">
        <v>975.79614000000004</v>
      </c>
      <c r="F308">
        <v>992.53539999999998</v>
      </c>
      <c r="G308">
        <f>_xlfn.MAXIFS(Crypto[Close],Crypto[Name],Crypto[[#This Row],[Name]],Crypto[Date],"&lt;="&amp;Crypto[[#This Row],[Date]])</f>
        <v>1310.2143599999999</v>
      </c>
      <c r="H308" s="3">
        <f>(Crypto[[#This Row],[Close]]/Crypto[[#This Row],[Peak Close]])-1</f>
        <v>-0.24246334775326384</v>
      </c>
      <c r="I308">
        <v>1084.35986</v>
      </c>
      <c r="J308" s="1">
        <v>45963</v>
      </c>
      <c r="K308" s="3">
        <v>-8.46807996009738E-2</v>
      </c>
      <c r="L308">
        <v>4849653054</v>
      </c>
      <c r="M308" s="2" t="s">
        <v>20</v>
      </c>
    </row>
    <row r="309" spans="1:13" x14ac:dyDescent="0.3">
      <c r="A309" s="1">
        <v>45965</v>
      </c>
      <c r="B309" s="2" t="s">
        <v>19</v>
      </c>
      <c r="C309">
        <v>992.55187999999998</v>
      </c>
      <c r="D309">
        <v>1000.19861</v>
      </c>
      <c r="E309">
        <v>886.38544000000002</v>
      </c>
      <c r="F309">
        <v>937.89324999999997</v>
      </c>
      <c r="G309">
        <f>_xlfn.MAXIFS(Crypto[Close],Crypto[Name],Crypto[[#This Row],[Name]],Crypto[Date],"&lt;="&amp;Crypto[[#This Row],[Date]])</f>
        <v>1310.2143599999999</v>
      </c>
      <c r="H309" s="3">
        <f>(Crypto[[#This Row],[Close]]/Crypto[[#This Row],[Peak Close]])-1</f>
        <v>-0.28416808834242968</v>
      </c>
      <c r="I309">
        <v>992.53539999999998</v>
      </c>
      <c r="J309" s="1">
        <v>45964</v>
      </c>
      <c r="K309" s="3">
        <v>-5.5053099365523897E-2</v>
      </c>
      <c r="L309">
        <v>5824529918</v>
      </c>
      <c r="M309" s="2" t="s">
        <v>20</v>
      </c>
    </row>
    <row r="310" spans="1:13" x14ac:dyDescent="0.3">
      <c r="A310" s="1">
        <v>45966</v>
      </c>
      <c r="B310" s="2" t="s">
        <v>19</v>
      </c>
      <c r="C310">
        <v>937.88232000000005</v>
      </c>
      <c r="D310">
        <v>966.80395999999996</v>
      </c>
      <c r="E310">
        <v>903.86926000000005</v>
      </c>
      <c r="F310">
        <v>959.95105000000001</v>
      </c>
      <c r="G310">
        <f>_xlfn.MAXIFS(Crypto[Close],Crypto[Name],Crypto[[#This Row],[Name]],Crypto[Date],"&lt;="&amp;Crypto[[#This Row],[Date]])</f>
        <v>1310.2143599999999</v>
      </c>
      <c r="H310" s="3">
        <f>(Crypto[[#This Row],[Close]]/Crypto[[#This Row],[Peak Close]])-1</f>
        <v>-0.26733282788932333</v>
      </c>
      <c r="I310">
        <v>937.89324999999997</v>
      </c>
      <c r="J310" s="1">
        <v>45965</v>
      </c>
      <c r="K310" s="3">
        <v>2.3518454792163201E-2</v>
      </c>
      <c r="L310">
        <v>3816276917</v>
      </c>
      <c r="M310" s="2" t="s">
        <v>20</v>
      </c>
    </row>
    <row r="311" spans="1:13" x14ac:dyDescent="0.3">
      <c r="A311" s="1">
        <v>45967</v>
      </c>
      <c r="B311" s="2" t="s">
        <v>19</v>
      </c>
      <c r="C311">
        <v>959.95343000000003</v>
      </c>
      <c r="D311">
        <v>964.33123999999998</v>
      </c>
      <c r="E311">
        <v>927.44524999999999</v>
      </c>
      <c r="F311">
        <v>949.18047999999999</v>
      </c>
      <c r="G311">
        <f>_xlfn.MAXIFS(Crypto[Close],Crypto[Name],Crypto[[#This Row],[Name]],Crypto[Date],"&lt;="&amp;Crypto[[#This Row],[Date]])</f>
        <v>1310.2143599999999</v>
      </c>
      <c r="H311" s="3">
        <f>(Crypto[[#This Row],[Close]]/Crypto[[#This Row],[Peak Close]])-1</f>
        <v>-0.27555329190560851</v>
      </c>
      <c r="I311">
        <v>959.95105000000001</v>
      </c>
      <c r="J311" s="1">
        <v>45966</v>
      </c>
      <c r="K311" s="3">
        <v>-1.12199158488342E-2</v>
      </c>
      <c r="L311">
        <v>2798073439</v>
      </c>
      <c r="M311" s="2" t="s">
        <v>20</v>
      </c>
    </row>
    <row r="312" spans="1:13" x14ac:dyDescent="0.3">
      <c r="A312" s="1">
        <v>45968</v>
      </c>
      <c r="B312" s="2" t="s">
        <v>19</v>
      </c>
      <c r="C312">
        <v>949.20721000000003</v>
      </c>
      <c r="D312">
        <v>994.41283999999996</v>
      </c>
      <c r="E312">
        <v>927.10986000000003</v>
      </c>
      <c r="F312">
        <v>990.55237</v>
      </c>
      <c r="G312">
        <f>_xlfn.MAXIFS(Crypto[Close],Crypto[Name],Crypto[[#This Row],[Name]],Crypto[Date],"&lt;="&amp;Crypto[[#This Row],[Date]])</f>
        <v>1310.2143599999999</v>
      </c>
      <c r="H312" s="3">
        <f>(Crypto[[#This Row],[Close]]/Crypto[[#This Row],[Peak Close]])-1</f>
        <v>-0.24397686345003877</v>
      </c>
      <c r="I312">
        <v>949.18047999999999</v>
      </c>
      <c r="J312" s="1">
        <v>45967</v>
      </c>
      <c r="K312" s="3">
        <v>4.3586958299016001E-2</v>
      </c>
      <c r="L312">
        <v>3614944089</v>
      </c>
      <c r="M312" s="2" t="s">
        <v>20</v>
      </c>
    </row>
    <row r="313" spans="1:13" x14ac:dyDescent="0.3">
      <c r="A313" s="1">
        <v>45969</v>
      </c>
      <c r="B313" s="2" t="s">
        <v>19</v>
      </c>
      <c r="C313">
        <v>990.58190999999999</v>
      </c>
      <c r="D313">
        <v>1005.86359</v>
      </c>
      <c r="E313">
        <v>981.11176</v>
      </c>
      <c r="F313">
        <v>990.22271999999998</v>
      </c>
      <c r="G313">
        <f>_xlfn.MAXIFS(Crypto[Close],Crypto[Name],Crypto[[#This Row],[Name]],Crypto[Date],"&lt;="&amp;Crypto[[#This Row],[Date]])</f>
        <v>1310.2143599999999</v>
      </c>
      <c r="H313" s="3">
        <f>(Crypto[[#This Row],[Close]]/Crypto[[#This Row],[Peak Close]])-1</f>
        <v>-0.24422846350119376</v>
      </c>
      <c r="I313">
        <v>990.55237</v>
      </c>
      <c r="J313" s="1">
        <v>45968</v>
      </c>
      <c r="K313" s="3">
        <v>-3.3279411567105203E-4</v>
      </c>
      <c r="L313">
        <v>2913804232</v>
      </c>
      <c r="M313" s="2" t="s">
        <v>20</v>
      </c>
    </row>
    <row r="314" spans="1:13" x14ac:dyDescent="0.3">
      <c r="A314" s="1">
        <v>45970</v>
      </c>
      <c r="B314" s="2" t="s">
        <v>19</v>
      </c>
      <c r="C314">
        <v>990.23108000000002</v>
      </c>
      <c r="D314">
        <v>1005.93848</v>
      </c>
      <c r="E314">
        <v>977.64404000000002</v>
      </c>
      <c r="F314">
        <v>996.57983000000002</v>
      </c>
      <c r="G314">
        <f>_xlfn.MAXIFS(Crypto[Close],Crypto[Name],Crypto[[#This Row],[Name]],Crypto[Date],"&lt;="&amp;Crypto[[#This Row],[Date]])</f>
        <v>1310.2143599999999</v>
      </c>
      <c r="H314" s="3">
        <f>(Crypto[[#This Row],[Close]]/Crypto[[#This Row],[Peak Close]])-1</f>
        <v>-0.23937650171991698</v>
      </c>
      <c r="I314">
        <v>990.22271999999998</v>
      </c>
      <c r="J314" s="1">
        <v>45969</v>
      </c>
      <c r="K314" s="3">
        <v>6.4198789541003798E-3</v>
      </c>
      <c r="L314">
        <v>2642212274</v>
      </c>
      <c r="M314" s="2" t="s">
        <v>20</v>
      </c>
    </row>
    <row r="315" spans="1:13" x14ac:dyDescent="0.3">
      <c r="A315" s="1">
        <v>45971</v>
      </c>
      <c r="B315" s="2" t="s">
        <v>19</v>
      </c>
      <c r="C315">
        <v>996.58887000000004</v>
      </c>
      <c r="D315">
        <v>1017.68286</v>
      </c>
      <c r="E315">
        <v>977.10766999999998</v>
      </c>
      <c r="F315">
        <v>991.91967999999997</v>
      </c>
      <c r="G315">
        <f>_xlfn.MAXIFS(Crypto[Close],Crypto[Name],Crypto[[#This Row],[Name]],Crypto[Date],"&lt;="&amp;Crypto[[#This Row],[Date]])</f>
        <v>1310.2143599999999</v>
      </c>
      <c r="H315" s="3">
        <f>(Crypto[[#This Row],[Close]]/Crypto[[#This Row],[Peak Close]])-1</f>
        <v>-0.2429332861227379</v>
      </c>
      <c r="I315">
        <v>996.57983000000002</v>
      </c>
      <c r="J315" s="1">
        <v>45970</v>
      </c>
      <c r="K315" s="3">
        <v>-4.6761432047044797E-3</v>
      </c>
      <c r="L315">
        <v>2844075057</v>
      </c>
      <c r="M315" s="2" t="s">
        <v>20</v>
      </c>
    </row>
    <row r="316" spans="1:13" x14ac:dyDescent="0.3">
      <c r="A316" s="1">
        <v>45972</v>
      </c>
      <c r="B316" s="2" t="s">
        <v>19</v>
      </c>
      <c r="C316">
        <v>991.92029000000002</v>
      </c>
      <c r="D316">
        <v>1005.97253</v>
      </c>
      <c r="E316">
        <v>956.83623999999998</v>
      </c>
      <c r="F316">
        <v>958.26575000000003</v>
      </c>
      <c r="G316">
        <f>_xlfn.MAXIFS(Crypto[Close],Crypto[Name],Crypto[[#This Row],[Name]],Crypto[Date],"&lt;="&amp;Crypto[[#This Row],[Date]])</f>
        <v>1310.2143599999999</v>
      </c>
      <c r="H316" s="3">
        <f>(Crypto[[#This Row],[Close]]/Crypto[[#This Row],[Peak Close]])-1</f>
        <v>-0.26861910596064598</v>
      </c>
      <c r="I316">
        <v>991.91967999999997</v>
      </c>
      <c r="J316" s="1">
        <v>45971</v>
      </c>
      <c r="K316" s="3">
        <v>-3.3928079741295102E-2</v>
      </c>
      <c r="L316">
        <v>2696896367</v>
      </c>
      <c r="M316" s="2" t="s">
        <v>20</v>
      </c>
    </row>
    <row r="317" spans="1:13" x14ac:dyDescent="0.3">
      <c r="A317" s="1">
        <v>45973</v>
      </c>
      <c r="B317" s="2" t="s">
        <v>19</v>
      </c>
      <c r="C317">
        <v>958.23206000000005</v>
      </c>
      <c r="D317">
        <v>976.95776000000001</v>
      </c>
      <c r="E317">
        <v>940.86168999999995</v>
      </c>
      <c r="F317">
        <v>953.01049999999998</v>
      </c>
      <c r="G317">
        <f>_xlfn.MAXIFS(Crypto[Close],Crypto[Name],Crypto[[#This Row],[Name]],Crypto[Date],"&lt;="&amp;Crypto[[#This Row],[Date]])</f>
        <v>1310.2143599999999</v>
      </c>
      <c r="H317" s="3">
        <f>(Crypto[[#This Row],[Close]]/Crypto[[#This Row],[Peak Close]])-1</f>
        <v>-0.27263009085017198</v>
      </c>
      <c r="I317">
        <v>958.26575000000003</v>
      </c>
      <c r="J317" s="1">
        <v>45972</v>
      </c>
      <c r="K317" s="3">
        <v>-5.4841258805295402E-3</v>
      </c>
      <c r="L317">
        <v>2405972144</v>
      </c>
      <c r="M317" s="2" t="s">
        <v>20</v>
      </c>
    </row>
    <row r="318" spans="1:13" x14ac:dyDescent="0.3">
      <c r="A318" s="1">
        <v>45974</v>
      </c>
      <c r="B318" s="2" t="s">
        <v>19</v>
      </c>
      <c r="C318">
        <v>953.01984000000004</v>
      </c>
      <c r="D318">
        <v>969.84649999999999</v>
      </c>
      <c r="E318">
        <v>907.61974999999995</v>
      </c>
      <c r="F318">
        <v>928.04663000000005</v>
      </c>
      <c r="G318">
        <f>_xlfn.MAXIFS(Crypto[Close],Crypto[Name],Crypto[[#This Row],[Name]],Crypto[Date],"&lt;="&amp;Crypto[[#This Row],[Date]])</f>
        <v>1310.2143599999999</v>
      </c>
      <c r="H318" s="3">
        <f>(Crypto[[#This Row],[Close]]/Crypto[[#This Row],[Peak Close]])-1</f>
        <v>-0.291683362407965</v>
      </c>
      <c r="I318">
        <v>953.01049999999998</v>
      </c>
      <c r="J318" s="1">
        <v>45973</v>
      </c>
      <c r="K318" s="3">
        <v>-2.6194748116626101E-2</v>
      </c>
      <c r="L318">
        <v>3034452281</v>
      </c>
      <c r="M318" s="2" t="s">
        <v>20</v>
      </c>
    </row>
    <row r="319" spans="1:13" x14ac:dyDescent="0.3">
      <c r="A319" s="1">
        <v>45975</v>
      </c>
      <c r="B319" s="2" t="s">
        <v>19</v>
      </c>
      <c r="C319">
        <v>928.03972999999996</v>
      </c>
      <c r="D319">
        <v>932.64502000000005</v>
      </c>
      <c r="E319">
        <v>889.40319999999997</v>
      </c>
      <c r="F319">
        <v>915.30926999999997</v>
      </c>
      <c r="G319">
        <f>_xlfn.MAXIFS(Crypto[Close],Crypto[Name],Crypto[[#This Row],[Name]],Crypto[Date],"&lt;="&amp;Crypto[[#This Row],[Date]])</f>
        <v>1310.2143599999999</v>
      </c>
      <c r="H319" s="3">
        <f>(Crypto[[#This Row],[Close]]/Crypto[[#This Row],[Peak Close]])-1</f>
        <v>-0.30140494720268518</v>
      </c>
      <c r="I319">
        <v>928.04663000000005</v>
      </c>
      <c r="J319" s="1">
        <v>45974</v>
      </c>
      <c r="K319" s="3">
        <v>-1.3724913800937001E-2</v>
      </c>
      <c r="L319">
        <v>3778463496</v>
      </c>
      <c r="M319" s="2" t="s">
        <v>20</v>
      </c>
    </row>
    <row r="320" spans="1:13" x14ac:dyDescent="0.3">
      <c r="A320" s="1">
        <v>45976</v>
      </c>
      <c r="B320" s="2" t="s">
        <v>19</v>
      </c>
      <c r="C320">
        <v>915.19385</v>
      </c>
      <c r="D320">
        <v>944.08172999999999</v>
      </c>
      <c r="E320">
        <v>915.19385</v>
      </c>
      <c r="F320">
        <v>932.20190000000002</v>
      </c>
      <c r="G320">
        <f>_xlfn.MAXIFS(Crypto[Close],Crypto[Name],Crypto[[#This Row],[Name]],Crypto[Date],"&lt;="&amp;Crypto[[#This Row],[Date]])</f>
        <v>1310.2143599999999</v>
      </c>
      <c r="H320" s="3">
        <f>(Crypto[[#This Row],[Close]]/Crypto[[#This Row],[Peak Close]])-1</f>
        <v>-0.2885119195304805</v>
      </c>
      <c r="I320">
        <v>915.30926999999997</v>
      </c>
      <c r="J320" s="1">
        <v>45975</v>
      </c>
      <c r="K320" s="3">
        <v>1.8455652699769998E-2</v>
      </c>
      <c r="L320">
        <v>1963778260</v>
      </c>
      <c r="M320" s="2" t="s">
        <v>20</v>
      </c>
    </row>
    <row r="321" spans="1:13" x14ac:dyDescent="0.3">
      <c r="A321" s="1">
        <v>45977</v>
      </c>
      <c r="B321" s="2" t="s">
        <v>19</v>
      </c>
      <c r="C321">
        <v>932.18517999999995</v>
      </c>
      <c r="D321">
        <v>948.51202000000001</v>
      </c>
      <c r="E321">
        <v>910.90350000000001</v>
      </c>
      <c r="F321">
        <v>927.25787000000003</v>
      </c>
      <c r="G321">
        <f>_xlfn.MAXIFS(Crypto[Close],Crypto[Name],Crypto[[#This Row],[Name]],Crypto[Date],"&lt;="&amp;Crypto[[#This Row],[Date]])</f>
        <v>1310.2143599999999</v>
      </c>
      <c r="H321" s="3">
        <f>(Crypto[[#This Row],[Close]]/Crypto[[#This Row],[Peak Close]])-1</f>
        <v>-0.29228537076940597</v>
      </c>
      <c r="I321">
        <v>932.20190000000002</v>
      </c>
      <c r="J321" s="1">
        <v>45976</v>
      </c>
      <c r="K321" s="3">
        <v>-5.3036042943057698E-3</v>
      </c>
      <c r="L321">
        <v>2497118342</v>
      </c>
      <c r="M321" s="2" t="s">
        <v>20</v>
      </c>
    </row>
    <row r="322" spans="1:13" x14ac:dyDescent="0.3">
      <c r="A322" s="1">
        <v>45978</v>
      </c>
      <c r="B322" s="2" t="s">
        <v>19</v>
      </c>
      <c r="C322">
        <v>927.25787000000003</v>
      </c>
      <c r="D322">
        <v>936.99066000000005</v>
      </c>
      <c r="E322">
        <v>893.00409000000002</v>
      </c>
      <c r="F322">
        <v>906.48242000000005</v>
      </c>
      <c r="G322">
        <f>_xlfn.MAXIFS(Crypto[Close],Crypto[Name],Crypto[[#This Row],[Name]],Crypto[Date],"&lt;="&amp;Crypto[[#This Row],[Date]])</f>
        <v>1310.2143599999999</v>
      </c>
      <c r="H322" s="3">
        <f>(Crypto[[#This Row],[Close]]/Crypto[[#This Row],[Peak Close]])-1</f>
        <v>-0.30814189824632965</v>
      </c>
      <c r="I322">
        <v>927.25787000000003</v>
      </c>
      <c r="J322" s="1">
        <v>45977</v>
      </c>
      <c r="K322" s="3">
        <v>-2.2405256048136798E-2</v>
      </c>
      <c r="L322">
        <v>3757441490</v>
      </c>
      <c r="M322" s="2" t="s">
        <v>20</v>
      </c>
    </row>
    <row r="323" spans="1:13" x14ac:dyDescent="0.3">
      <c r="A323" s="1">
        <v>45979</v>
      </c>
      <c r="B323" s="2" t="s">
        <v>19</v>
      </c>
      <c r="C323">
        <v>906.47058000000004</v>
      </c>
      <c r="D323">
        <v>937.38415999999995</v>
      </c>
      <c r="E323">
        <v>888.51471000000004</v>
      </c>
      <c r="F323">
        <v>932.48235999999997</v>
      </c>
      <c r="G323">
        <f>_xlfn.MAXIFS(Crypto[Close],Crypto[Name],Crypto[[#This Row],[Name]],Crypto[Date],"&lt;="&amp;Crypto[[#This Row],[Date]])</f>
        <v>1310.2143599999999</v>
      </c>
      <c r="H323" s="3">
        <f>(Crypto[[#This Row],[Close]]/Crypto[[#This Row],[Peak Close]])-1</f>
        <v>-0.28829786295427262</v>
      </c>
      <c r="I323">
        <v>906.48242000000005</v>
      </c>
      <c r="J323" s="1">
        <v>45978</v>
      </c>
      <c r="K323" s="3">
        <v>2.8682233021132299E-2</v>
      </c>
      <c r="L323">
        <v>3623344375</v>
      </c>
      <c r="M323" s="2" t="s">
        <v>20</v>
      </c>
    </row>
    <row r="324" spans="1:13" x14ac:dyDescent="0.3">
      <c r="A324" s="1">
        <v>45980</v>
      </c>
      <c r="B324" s="2" t="s">
        <v>19</v>
      </c>
      <c r="C324">
        <v>932.48468000000003</v>
      </c>
      <c r="D324">
        <v>939.28612999999996</v>
      </c>
      <c r="E324">
        <v>872.94317999999998</v>
      </c>
      <c r="F324">
        <v>895.61968999999999</v>
      </c>
      <c r="G324">
        <f>_xlfn.MAXIFS(Crypto[Close],Crypto[Name],Crypto[[#This Row],[Name]],Crypto[Date],"&lt;="&amp;Crypto[[#This Row],[Date]])</f>
        <v>1310.2143599999999</v>
      </c>
      <c r="H324" s="3">
        <f>(Crypto[[#This Row],[Close]]/Crypto[[#This Row],[Peak Close]])-1</f>
        <v>-0.3164327018977261</v>
      </c>
      <c r="I324">
        <v>932.48235999999997</v>
      </c>
      <c r="J324" s="1">
        <v>45979</v>
      </c>
      <c r="K324" s="3">
        <v>-3.9531761222807403E-2</v>
      </c>
      <c r="L324">
        <v>3254464199</v>
      </c>
      <c r="M324" s="2" t="s">
        <v>20</v>
      </c>
    </row>
    <row r="325" spans="1:13" x14ac:dyDescent="0.3">
      <c r="A325" s="1">
        <v>45981</v>
      </c>
      <c r="B325" s="2" t="s">
        <v>19</v>
      </c>
      <c r="C325">
        <v>895.66399999999999</v>
      </c>
      <c r="D325">
        <v>912.65801999999996</v>
      </c>
      <c r="E325">
        <v>866.34387000000004</v>
      </c>
      <c r="F325">
        <v>866.34387000000004</v>
      </c>
      <c r="G325">
        <f>_xlfn.MAXIFS(Crypto[Close],Crypto[Name],Crypto[[#This Row],[Name]],Crypto[Date],"&lt;="&amp;Crypto[[#This Row],[Date]])</f>
        <v>1310.2143599999999</v>
      </c>
      <c r="H325" s="3">
        <f>(Crypto[[#This Row],[Close]]/Crypto[[#This Row],[Peak Close]])-1</f>
        <v>-0.33877699981856402</v>
      </c>
      <c r="I325">
        <v>895.61968999999999</v>
      </c>
      <c r="J325" s="1">
        <v>45980</v>
      </c>
      <c r="K325" s="3">
        <v>-3.2687780680659202E-2</v>
      </c>
      <c r="L325">
        <v>3038816761</v>
      </c>
      <c r="M325" s="2" t="s">
        <v>20</v>
      </c>
    </row>
    <row r="326" spans="1:13" x14ac:dyDescent="0.3">
      <c r="A326" s="1">
        <v>45982</v>
      </c>
      <c r="B326" s="2" t="s">
        <v>19</v>
      </c>
      <c r="C326">
        <v>866.33465999999999</v>
      </c>
      <c r="D326">
        <v>874.26160000000004</v>
      </c>
      <c r="E326">
        <v>793.82092</v>
      </c>
      <c r="F326">
        <v>830.07874000000004</v>
      </c>
      <c r="G326">
        <f>_xlfn.MAXIFS(Crypto[Close],Crypto[Name],Crypto[[#This Row],[Name]],Crypto[Date],"&lt;="&amp;Crypto[[#This Row],[Date]])</f>
        <v>1310.2143599999999</v>
      </c>
      <c r="H326" s="3">
        <f>(Crypto[[#This Row],[Close]]/Crypto[[#This Row],[Peak Close]])-1</f>
        <v>-0.36645577598462586</v>
      </c>
      <c r="I326">
        <v>866.34387000000004</v>
      </c>
      <c r="J326" s="1">
        <v>45981</v>
      </c>
      <c r="K326" s="3">
        <v>-4.1859971837741497E-2</v>
      </c>
      <c r="L326">
        <v>4772315493</v>
      </c>
      <c r="M326" s="2" t="s">
        <v>20</v>
      </c>
    </row>
    <row r="327" spans="1:13" x14ac:dyDescent="0.3">
      <c r="A327" s="1">
        <v>45983</v>
      </c>
      <c r="B327" s="2" t="s">
        <v>19</v>
      </c>
      <c r="C327">
        <v>830.07952999999998</v>
      </c>
      <c r="D327">
        <v>841.49248999999998</v>
      </c>
      <c r="E327">
        <v>815.20929000000001</v>
      </c>
      <c r="F327">
        <v>833.35107000000005</v>
      </c>
      <c r="G327">
        <f>_xlfn.MAXIFS(Crypto[Close],Crypto[Name],Crypto[[#This Row],[Name]],Crypto[Date],"&lt;="&amp;Crypto[[#This Row],[Date]])</f>
        <v>1310.2143599999999</v>
      </c>
      <c r="H327" s="3">
        <f>(Crypto[[#This Row],[Close]]/Crypto[[#This Row],[Peak Close]])-1</f>
        <v>-0.36395822283614709</v>
      </c>
      <c r="I327">
        <v>830.07874000000004</v>
      </c>
      <c r="J327" s="1">
        <v>45982</v>
      </c>
      <c r="K327" s="3">
        <v>3.94219227925294E-3</v>
      </c>
      <c r="L327">
        <v>2015396840</v>
      </c>
      <c r="M327" s="2" t="s">
        <v>20</v>
      </c>
    </row>
    <row r="328" spans="1:13" x14ac:dyDescent="0.3">
      <c r="A328" s="1">
        <v>45984</v>
      </c>
      <c r="B328" s="2" t="s">
        <v>19</v>
      </c>
      <c r="C328">
        <v>833.34760000000006</v>
      </c>
      <c r="D328">
        <v>854.40368999999998</v>
      </c>
      <c r="E328">
        <v>833.28747999999996</v>
      </c>
      <c r="F328">
        <v>843.22478999999998</v>
      </c>
      <c r="G328">
        <f>_xlfn.MAXIFS(Crypto[Close],Crypto[Name],Crypto[[#This Row],[Name]],Crypto[Date],"&lt;="&amp;Crypto[[#This Row],[Date]])</f>
        <v>1310.2143599999999</v>
      </c>
      <c r="H328" s="3">
        <f>(Crypto[[#This Row],[Close]]/Crypto[[#This Row],[Peak Close]])-1</f>
        <v>-0.35642226513224906</v>
      </c>
      <c r="I328">
        <v>833.35107000000005</v>
      </c>
      <c r="J328" s="1">
        <v>45983</v>
      </c>
      <c r="K328" s="3">
        <v>1.18482118226595E-2</v>
      </c>
      <c r="L328">
        <v>1754920246</v>
      </c>
      <c r="M328" s="2" t="s">
        <v>20</v>
      </c>
    </row>
    <row r="329" spans="1:13" x14ac:dyDescent="0.3">
      <c r="A329" s="1">
        <v>45985</v>
      </c>
      <c r="B329" s="2" t="s">
        <v>19</v>
      </c>
      <c r="C329">
        <v>843.22362999999996</v>
      </c>
      <c r="D329">
        <v>875.26129000000003</v>
      </c>
      <c r="E329">
        <v>832.04803000000004</v>
      </c>
      <c r="F329">
        <v>864.42114000000004</v>
      </c>
      <c r="G329">
        <f>_xlfn.MAXIFS(Crypto[Close],Crypto[Name],Crypto[[#This Row],[Name]],Crypto[Date],"&lt;="&amp;Crypto[[#This Row],[Date]])</f>
        <v>1310.2143599999999</v>
      </c>
      <c r="H329" s="3">
        <f>(Crypto[[#This Row],[Close]]/Crypto[[#This Row],[Peak Close]])-1</f>
        <v>-0.34024449251189703</v>
      </c>
      <c r="I329">
        <v>843.22478999999998</v>
      </c>
      <c r="J329" s="1">
        <v>45984</v>
      </c>
      <c r="K329" s="3">
        <v>2.5137247210201299E-2</v>
      </c>
      <c r="L329">
        <v>2485800089</v>
      </c>
      <c r="M329" s="2" t="s">
        <v>20</v>
      </c>
    </row>
    <row r="330" spans="1:13" x14ac:dyDescent="0.3">
      <c r="A330" s="1">
        <v>45986</v>
      </c>
      <c r="B330" s="2" t="s">
        <v>19</v>
      </c>
      <c r="C330">
        <v>864.46100000000001</v>
      </c>
      <c r="D330">
        <v>866.90954999999997</v>
      </c>
      <c r="E330">
        <v>838.97864000000004</v>
      </c>
      <c r="F330">
        <v>862.10802999999999</v>
      </c>
      <c r="G330">
        <f>_xlfn.MAXIFS(Crypto[Close],Crypto[Name],Crypto[[#This Row],[Name]],Crypto[Date],"&lt;="&amp;Crypto[[#This Row],[Date]])</f>
        <v>1310.2143599999999</v>
      </c>
      <c r="H330" s="3">
        <f>(Crypto[[#This Row],[Close]]/Crypto[[#This Row],[Peak Close]])-1</f>
        <v>-0.34200993645039879</v>
      </c>
      <c r="I330">
        <v>864.42114000000004</v>
      </c>
      <c r="J330" s="1">
        <v>45985</v>
      </c>
      <c r="K330" s="3">
        <v>-2.6759063296393402E-3</v>
      </c>
      <c r="L330">
        <v>2007620452</v>
      </c>
      <c r="M330" s="2" t="s">
        <v>20</v>
      </c>
    </row>
    <row r="331" spans="1:13" x14ac:dyDescent="0.3">
      <c r="A331" s="1">
        <v>45987</v>
      </c>
      <c r="B331" s="2" t="s">
        <v>19</v>
      </c>
      <c r="C331">
        <v>862.10338999999999</v>
      </c>
      <c r="D331">
        <v>896.62878000000001</v>
      </c>
      <c r="E331">
        <v>852.49059999999997</v>
      </c>
      <c r="F331">
        <v>891.75336000000004</v>
      </c>
      <c r="G331">
        <f>_xlfn.MAXIFS(Crypto[Close],Crypto[Name],Crypto[[#This Row],[Name]],Crypto[Date],"&lt;="&amp;Crypto[[#This Row],[Date]])</f>
        <v>1310.2143599999999</v>
      </c>
      <c r="H331" s="3">
        <f>(Crypto[[#This Row],[Close]]/Crypto[[#This Row],[Peak Close]])-1</f>
        <v>-0.31938361597563314</v>
      </c>
      <c r="I331">
        <v>862.10802999999999</v>
      </c>
      <c r="J331" s="1">
        <v>45986</v>
      </c>
      <c r="K331" s="3">
        <v>3.43870245588596E-2</v>
      </c>
      <c r="L331">
        <v>2040255309</v>
      </c>
      <c r="M331" s="2" t="s">
        <v>20</v>
      </c>
    </row>
    <row r="332" spans="1:13" x14ac:dyDescent="0.3">
      <c r="A332" s="1">
        <v>45988</v>
      </c>
      <c r="B332" s="2" t="s">
        <v>19</v>
      </c>
      <c r="C332">
        <v>891.77459999999996</v>
      </c>
      <c r="D332">
        <v>902.58690999999999</v>
      </c>
      <c r="E332">
        <v>885.22882000000004</v>
      </c>
      <c r="F332">
        <v>895.55980999999997</v>
      </c>
      <c r="G332">
        <f>_xlfn.MAXIFS(Crypto[Close],Crypto[Name],Crypto[[#This Row],[Name]],Crypto[Date],"&lt;="&amp;Crypto[[#This Row],[Date]])</f>
        <v>1310.2143599999999</v>
      </c>
      <c r="H332" s="3">
        <f>(Crypto[[#This Row],[Close]]/Crypto[[#This Row],[Peak Close]])-1</f>
        <v>-0.31647840434293517</v>
      </c>
      <c r="I332">
        <v>891.75336000000004</v>
      </c>
      <c r="J332" s="1">
        <v>45987</v>
      </c>
      <c r="K332" s="3">
        <v>4.2685008778659697E-3</v>
      </c>
      <c r="L332">
        <v>1780660164</v>
      </c>
      <c r="M332" s="2" t="s">
        <v>20</v>
      </c>
    </row>
    <row r="333" spans="1:13" x14ac:dyDescent="0.3">
      <c r="A333" s="1">
        <v>45989</v>
      </c>
      <c r="B333" s="2" t="s">
        <v>19</v>
      </c>
      <c r="C333">
        <v>895.56439</v>
      </c>
      <c r="D333">
        <v>904.37909000000002</v>
      </c>
      <c r="E333">
        <v>877.31353999999999</v>
      </c>
      <c r="F333">
        <v>887.64679000000001</v>
      </c>
      <c r="G333">
        <f>_xlfn.MAXIFS(Crypto[Close],Crypto[Name],Crypto[[#This Row],[Name]],Crypto[Date],"&lt;="&amp;Crypto[[#This Row],[Date]])</f>
        <v>1310.2143599999999</v>
      </c>
      <c r="H333" s="3">
        <f>(Crypto[[#This Row],[Close]]/Crypto[[#This Row],[Peak Close]])-1</f>
        <v>-0.3225178893627757</v>
      </c>
      <c r="I333">
        <v>895.55980999999997</v>
      </c>
      <c r="J333" s="1">
        <v>45988</v>
      </c>
      <c r="K333" s="3">
        <v>-8.83583643620626E-3</v>
      </c>
      <c r="L333">
        <v>2009647841</v>
      </c>
      <c r="M333" s="2" t="s">
        <v>20</v>
      </c>
    </row>
    <row r="334" spans="1:13" x14ac:dyDescent="0.3">
      <c r="A334" s="1">
        <v>45990</v>
      </c>
      <c r="B334" s="2" t="s">
        <v>19</v>
      </c>
      <c r="C334">
        <v>887.64655000000005</v>
      </c>
      <c r="D334">
        <v>888.85302999999999</v>
      </c>
      <c r="E334">
        <v>869.83574999999996</v>
      </c>
      <c r="F334">
        <v>873.68988000000002</v>
      </c>
      <c r="G334">
        <f>_xlfn.MAXIFS(Crypto[Close],Crypto[Name],Crypto[[#This Row],[Name]],Crypto[Date],"&lt;="&amp;Crypto[[#This Row],[Date]])</f>
        <v>1310.2143599999999</v>
      </c>
      <c r="H334" s="3">
        <f>(Crypto[[#This Row],[Close]]/Crypto[[#This Row],[Peak Close]])-1</f>
        <v>-0.33317027604551663</v>
      </c>
      <c r="I334">
        <v>887.64679000000001</v>
      </c>
      <c r="J334" s="1">
        <v>45989</v>
      </c>
      <c r="K334" s="3">
        <v>-1.5723495152841101E-2</v>
      </c>
      <c r="L334">
        <v>1357539865</v>
      </c>
      <c r="M334" s="2" t="s">
        <v>20</v>
      </c>
    </row>
    <row r="335" spans="1:13" x14ac:dyDescent="0.3">
      <c r="A335" s="1">
        <v>45991</v>
      </c>
      <c r="B335" s="2" t="s">
        <v>19</v>
      </c>
      <c r="C335">
        <v>873.68848000000003</v>
      </c>
      <c r="D335">
        <v>899.57476999999994</v>
      </c>
      <c r="E335">
        <v>871.07372999999995</v>
      </c>
      <c r="F335">
        <v>877.57677999999999</v>
      </c>
      <c r="G335">
        <f>_xlfn.MAXIFS(Crypto[Close],Crypto[Name],Crypto[[#This Row],[Name]],Crypto[Date],"&lt;="&amp;Crypto[[#This Row],[Date]])</f>
        <v>1310.2143599999999</v>
      </c>
      <c r="H335" s="3">
        <f>(Crypto[[#This Row],[Close]]/Crypto[[#This Row],[Peak Close]])-1</f>
        <v>-0.33020366224653497</v>
      </c>
      <c r="I335">
        <v>873.68988000000002</v>
      </c>
      <c r="J335" s="1">
        <v>45990</v>
      </c>
      <c r="K335" s="3">
        <v>4.4488325766117E-3</v>
      </c>
      <c r="L335">
        <v>1452982911</v>
      </c>
      <c r="M335" s="2" t="s">
        <v>20</v>
      </c>
    </row>
    <row r="336" spans="1:13" x14ac:dyDescent="0.3">
      <c r="A336" s="1">
        <v>45992</v>
      </c>
      <c r="B336" s="2" t="s">
        <v>19</v>
      </c>
      <c r="C336">
        <v>877.56158000000005</v>
      </c>
      <c r="D336">
        <v>877.70483000000002</v>
      </c>
      <c r="E336">
        <v>803.45825000000002</v>
      </c>
      <c r="F336">
        <v>827.40539999999999</v>
      </c>
      <c r="G336">
        <f>_xlfn.MAXIFS(Crypto[Close],Crypto[Name],Crypto[[#This Row],[Name]],Crypto[Date],"&lt;="&amp;Crypto[[#This Row],[Date]])</f>
        <v>1310.2143599999999</v>
      </c>
      <c r="H336" s="3">
        <f>(Crypto[[#This Row],[Close]]/Crypto[[#This Row],[Peak Close]])-1</f>
        <v>-0.36849615966657545</v>
      </c>
      <c r="I336">
        <v>877.57677999999999</v>
      </c>
      <c r="J336" s="1">
        <v>45991</v>
      </c>
      <c r="K336" s="3">
        <v>-5.7170359498345001E-2</v>
      </c>
      <c r="L336">
        <v>2778473663</v>
      </c>
      <c r="M336" s="2" t="s">
        <v>20</v>
      </c>
    </row>
    <row r="337" spans="1:13" x14ac:dyDescent="0.3">
      <c r="A337" s="1">
        <v>45993</v>
      </c>
      <c r="B337" s="2" t="s">
        <v>19</v>
      </c>
      <c r="C337">
        <v>827.40923999999995</v>
      </c>
      <c r="D337">
        <v>884.05988000000002</v>
      </c>
      <c r="E337">
        <v>821.30096000000003</v>
      </c>
      <c r="F337">
        <v>877.03467000000001</v>
      </c>
      <c r="G337">
        <f>_xlfn.MAXIFS(Crypto[Close],Crypto[Name],Crypto[[#This Row],[Name]],Crypto[Date],"&lt;="&amp;Crypto[[#This Row],[Date]])</f>
        <v>1310.2143599999999</v>
      </c>
      <c r="H337" s="3">
        <f>(Crypto[[#This Row],[Close]]/Crypto[[#This Row],[Peak Close]])-1</f>
        <v>-0.33061741896951879</v>
      </c>
      <c r="I337">
        <v>827.40539999999999</v>
      </c>
      <c r="J337" s="1">
        <v>45992</v>
      </c>
      <c r="K337" s="3">
        <v>5.9981805775016703E-2</v>
      </c>
      <c r="L337">
        <v>2264885312</v>
      </c>
      <c r="M337" s="2" t="s">
        <v>20</v>
      </c>
    </row>
    <row r="338" spans="1:13" x14ac:dyDescent="0.3">
      <c r="A338" s="1">
        <v>45994</v>
      </c>
      <c r="B338" s="2" t="s">
        <v>19</v>
      </c>
      <c r="C338">
        <v>877.02850000000001</v>
      </c>
      <c r="D338">
        <v>922.12994000000003</v>
      </c>
      <c r="E338">
        <v>874.41223000000002</v>
      </c>
      <c r="F338">
        <v>921.75372000000004</v>
      </c>
      <c r="G338">
        <f>_xlfn.MAXIFS(Crypto[Close],Crypto[Name],Crypto[[#This Row],[Name]],Crypto[Date],"&lt;="&amp;Crypto[[#This Row],[Date]])</f>
        <v>1310.2143599999999</v>
      </c>
      <c r="H338" s="3">
        <f>(Crypto[[#This Row],[Close]]/Crypto[[#This Row],[Peak Close]])-1</f>
        <v>-0.29648632457363688</v>
      </c>
      <c r="I338">
        <v>877.03467000000001</v>
      </c>
      <c r="J338" s="1">
        <v>45993</v>
      </c>
      <c r="K338" s="3">
        <v>5.0988919286394999E-2</v>
      </c>
      <c r="L338">
        <v>2754777581</v>
      </c>
      <c r="M338" s="2" t="s">
        <v>20</v>
      </c>
    </row>
    <row r="339" spans="1:13" x14ac:dyDescent="0.3">
      <c r="A339" s="1">
        <v>45995</v>
      </c>
      <c r="B339" s="2" t="s">
        <v>19</v>
      </c>
      <c r="C339">
        <v>921.73212000000001</v>
      </c>
      <c r="D339">
        <v>927.45496000000003</v>
      </c>
      <c r="E339">
        <v>889.61743000000001</v>
      </c>
      <c r="F339">
        <v>900.06610000000001</v>
      </c>
      <c r="G339">
        <f>_xlfn.MAXIFS(Crypto[Close],Crypto[Name],Crypto[[#This Row],[Name]],Crypto[Date],"&lt;="&amp;Crypto[[#This Row],[Date]])</f>
        <v>1310.2143599999999</v>
      </c>
      <c r="H339" s="3">
        <f>(Crypto[[#This Row],[Close]]/Crypto[[#This Row],[Peak Close]])-1</f>
        <v>-0.31303905110611052</v>
      </c>
      <c r="I339">
        <v>921.75372000000004</v>
      </c>
      <c r="J339" s="1">
        <v>45994</v>
      </c>
      <c r="K339" s="3">
        <v>-2.35286492795495E-2</v>
      </c>
      <c r="L339">
        <v>2052379059</v>
      </c>
      <c r="M339" s="2" t="s">
        <v>20</v>
      </c>
    </row>
    <row r="340" spans="1:13" x14ac:dyDescent="0.3">
      <c r="A340" s="1">
        <v>45996</v>
      </c>
      <c r="B340" s="2" t="s">
        <v>19</v>
      </c>
      <c r="C340">
        <v>900.06371999999999</v>
      </c>
      <c r="D340">
        <v>906.85235999999998</v>
      </c>
      <c r="E340">
        <v>873.40637000000004</v>
      </c>
      <c r="F340">
        <v>884.21807999999999</v>
      </c>
      <c r="G340">
        <f>_xlfn.MAXIFS(Crypto[Close],Crypto[Name],Crypto[[#This Row],[Name]],Crypto[Date],"&lt;="&amp;Crypto[[#This Row],[Date]])</f>
        <v>1310.2143599999999</v>
      </c>
      <c r="H340" s="3">
        <f>(Crypto[[#This Row],[Close]]/Crypto[[#This Row],[Peak Close]])-1</f>
        <v>-0.32513479702664838</v>
      </c>
      <c r="I340">
        <v>900.06610000000001</v>
      </c>
      <c r="J340" s="1">
        <v>45995</v>
      </c>
      <c r="K340" s="3">
        <v>-1.76076179293943E-2</v>
      </c>
      <c r="L340">
        <v>1968850986</v>
      </c>
      <c r="M340" s="2" t="s">
        <v>20</v>
      </c>
    </row>
    <row r="341" spans="1:13" x14ac:dyDescent="0.3">
      <c r="A341" s="1">
        <v>45997</v>
      </c>
      <c r="B341" s="2" t="s">
        <v>19</v>
      </c>
      <c r="C341">
        <v>884.21276999999998</v>
      </c>
      <c r="D341">
        <v>896.65581999999995</v>
      </c>
      <c r="E341">
        <v>878.98383000000001</v>
      </c>
      <c r="F341">
        <v>890.54503999999997</v>
      </c>
      <c r="G341">
        <f>_xlfn.MAXIFS(Crypto[Close],Crypto[Name],Crypto[[#This Row],[Name]],Crypto[Date],"&lt;="&amp;Crypto[[#This Row],[Date]])</f>
        <v>1310.2143599999999</v>
      </c>
      <c r="H341" s="3">
        <f>(Crypto[[#This Row],[Close]]/Crypto[[#This Row],[Peak Close]])-1</f>
        <v>-0.32030584674709262</v>
      </c>
      <c r="I341">
        <v>884.21807999999999</v>
      </c>
      <c r="J341" s="1">
        <v>45996</v>
      </c>
      <c r="K341" s="3">
        <v>7.1554293483797396E-3</v>
      </c>
      <c r="L341">
        <v>1418385761</v>
      </c>
      <c r="M341" s="2" t="s">
        <v>20</v>
      </c>
    </row>
    <row r="342" spans="1:13" x14ac:dyDescent="0.3">
      <c r="A342" s="1">
        <v>45998</v>
      </c>
      <c r="B342" s="2" t="s">
        <v>19</v>
      </c>
      <c r="C342">
        <v>890.52666999999997</v>
      </c>
      <c r="D342">
        <v>905.11450000000002</v>
      </c>
      <c r="E342">
        <v>872.89458999999999</v>
      </c>
      <c r="F342">
        <v>894.02228000000002</v>
      </c>
      <c r="G342">
        <f>_xlfn.MAXIFS(Crypto[Close],Crypto[Name],Crypto[[#This Row],[Name]],Crypto[Date],"&lt;="&amp;Crypto[[#This Row],[Date]])</f>
        <v>1310.2143599999999</v>
      </c>
      <c r="H342" s="3">
        <f>(Crypto[[#This Row],[Close]]/Crypto[[#This Row],[Peak Close]])-1</f>
        <v>-0.31765189934263882</v>
      </c>
      <c r="I342">
        <v>890.54503999999997</v>
      </c>
      <c r="J342" s="1">
        <v>45997</v>
      </c>
      <c r="K342" s="3">
        <v>3.9046200291004401E-3</v>
      </c>
      <c r="L342">
        <v>1779976227</v>
      </c>
      <c r="M342" s="2" t="s">
        <v>20</v>
      </c>
    </row>
    <row r="343" spans="1:13" x14ac:dyDescent="0.3">
      <c r="A343" s="1">
        <v>45999</v>
      </c>
      <c r="B343" s="2" t="s">
        <v>19</v>
      </c>
      <c r="C343">
        <v>894.02733999999998</v>
      </c>
      <c r="D343">
        <v>911.53863999999999</v>
      </c>
      <c r="E343">
        <v>891.77899000000002</v>
      </c>
      <c r="F343">
        <v>897.60406</v>
      </c>
      <c r="G343">
        <f>_xlfn.MAXIFS(Crypto[Close],Crypto[Name],Crypto[[#This Row],[Name]],Crypto[Date],"&lt;="&amp;Crypto[[#This Row],[Date]])</f>
        <v>1310.2143599999999</v>
      </c>
      <c r="H343" s="3">
        <f>(Crypto[[#This Row],[Close]]/Crypto[[#This Row],[Peak Close]])-1</f>
        <v>-0.31491816346754131</v>
      </c>
      <c r="I343">
        <v>894.02228000000002</v>
      </c>
      <c r="J343" s="1">
        <v>45998</v>
      </c>
      <c r="K343" s="3">
        <v>4.0063654789453101E-3</v>
      </c>
      <c r="L343">
        <v>1906067258</v>
      </c>
      <c r="M343" s="2" t="s">
        <v>20</v>
      </c>
    </row>
    <row r="344" spans="1:13" x14ac:dyDescent="0.3">
      <c r="A344" s="1">
        <v>46000</v>
      </c>
      <c r="B344" s="2" t="s">
        <v>19</v>
      </c>
      <c r="C344">
        <v>897.59064000000001</v>
      </c>
      <c r="D344">
        <v>926.51709000000005</v>
      </c>
      <c r="E344">
        <v>882.40723000000003</v>
      </c>
      <c r="F344">
        <v>898.81042000000002</v>
      </c>
      <c r="G344">
        <f>_xlfn.MAXIFS(Crypto[Close],Crypto[Name],Crypto[[#This Row],[Name]],Crypto[Date],"&lt;="&amp;Crypto[[#This Row],[Date]])</f>
        <v>1310.2143599999999</v>
      </c>
      <c r="H344" s="3">
        <f>(Crypto[[#This Row],[Close]]/Crypto[[#This Row],[Peak Close]])-1</f>
        <v>-0.3139974286345022</v>
      </c>
      <c r="I344">
        <v>897.60406</v>
      </c>
      <c r="J344" s="1">
        <v>45999</v>
      </c>
      <c r="K344" s="3">
        <v>1.34397787817495E-3</v>
      </c>
      <c r="L344">
        <v>2357057936</v>
      </c>
      <c r="M344" s="2" t="s">
        <v>20</v>
      </c>
    </row>
    <row r="345" spans="1:13" x14ac:dyDescent="0.3">
      <c r="A345" s="1">
        <v>46001</v>
      </c>
      <c r="B345" s="2" t="s">
        <v>19</v>
      </c>
      <c r="C345">
        <v>898.78057999999999</v>
      </c>
      <c r="D345">
        <v>914.18640000000005</v>
      </c>
      <c r="E345">
        <v>884.94750999999997</v>
      </c>
      <c r="F345">
        <v>894.65062999999998</v>
      </c>
      <c r="G345">
        <f>_xlfn.MAXIFS(Crypto[Close],Crypto[Name],Crypto[[#This Row],[Name]],Crypto[Date],"&lt;="&amp;Crypto[[#This Row],[Date]])</f>
        <v>1310.2143599999999</v>
      </c>
      <c r="H345" s="3">
        <f>(Crypto[[#This Row],[Close]]/Crypto[[#This Row],[Peak Close]])-1</f>
        <v>-0.31717232132916018</v>
      </c>
      <c r="I345">
        <v>898.81042000000002</v>
      </c>
      <c r="J345" s="1">
        <v>46000</v>
      </c>
      <c r="K345" s="3">
        <v>-4.6281061138566297E-3</v>
      </c>
      <c r="L345">
        <v>2429639422</v>
      </c>
      <c r="M345" s="2" t="s">
        <v>20</v>
      </c>
    </row>
    <row r="346" spans="1:13" x14ac:dyDescent="0.3">
      <c r="A346" s="1">
        <v>46002</v>
      </c>
      <c r="B346" s="2" t="s">
        <v>19</v>
      </c>
      <c r="C346">
        <v>894.65899999999999</v>
      </c>
      <c r="D346">
        <v>894.65899999999999</v>
      </c>
      <c r="E346">
        <v>861.25365999999997</v>
      </c>
      <c r="F346">
        <v>886.16663000000005</v>
      </c>
      <c r="G346">
        <f>_xlfn.MAXIFS(Crypto[Close],Crypto[Name],Crypto[[#This Row],[Name]],Crypto[Date],"&lt;="&amp;Crypto[[#This Row],[Date]])</f>
        <v>1310.2143599999999</v>
      </c>
      <c r="H346" s="3">
        <f>(Crypto[[#This Row],[Close]]/Crypto[[#This Row],[Peak Close]])-1</f>
        <v>-0.32364759763432904</v>
      </c>
      <c r="I346">
        <v>894.65062999999998</v>
      </c>
      <c r="J346" s="1">
        <v>46001</v>
      </c>
      <c r="K346" s="3">
        <v>-9.4830313817584003E-3</v>
      </c>
      <c r="L346">
        <v>2524483059</v>
      </c>
      <c r="M346" s="2" t="s">
        <v>20</v>
      </c>
    </row>
    <row r="347" spans="1:13" x14ac:dyDescent="0.3">
      <c r="A347" s="1">
        <v>46003</v>
      </c>
      <c r="B347" s="2" t="s">
        <v>19</v>
      </c>
      <c r="C347">
        <v>886.16607999999997</v>
      </c>
      <c r="D347">
        <v>895.46887000000004</v>
      </c>
      <c r="E347">
        <v>873.60815000000002</v>
      </c>
      <c r="F347">
        <v>881.86761000000001</v>
      </c>
      <c r="G347">
        <f>_xlfn.MAXIFS(Crypto[Close],Crypto[Name],Crypto[[#This Row],[Name]],Crypto[Date],"&lt;="&amp;Crypto[[#This Row],[Date]])</f>
        <v>1310.2143599999999</v>
      </c>
      <c r="H347" s="3">
        <f>(Crypto[[#This Row],[Close]]/Crypto[[#This Row],[Peak Close]])-1</f>
        <v>-0.3269287553832031</v>
      </c>
      <c r="I347">
        <v>886.16663000000005</v>
      </c>
      <c r="J347" s="1">
        <v>46002</v>
      </c>
      <c r="K347" s="3">
        <v>-4.8512546675336197E-3</v>
      </c>
      <c r="L347">
        <v>1807202490</v>
      </c>
      <c r="M347" s="2" t="s">
        <v>20</v>
      </c>
    </row>
    <row r="348" spans="1:13" x14ac:dyDescent="0.3">
      <c r="A348" s="1">
        <v>46004</v>
      </c>
      <c r="B348" s="2" t="s">
        <v>19</v>
      </c>
      <c r="C348">
        <v>881.86243000000002</v>
      </c>
      <c r="D348">
        <v>903.75824</v>
      </c>
      <c r="E348">
        <v>880.78070000000002</v>
      </c>
      <c r="F348">
        <v>897.42957000000001</v>
      </c>
      <c r="G348">
        <f>_xlfn.MAXIFS(Crypto[Close],Crypto[Name],Crypto[[#This Row],[Name]],Crypto[Date],"&lt;="&amp;Crypto[[#This Row],[Date]])</f>
        <v>1310.2143599999999</v>
      </c>
      <c r="H348" s="3">
        <f>(Crypto[[#This Row],[Close]]/Crypto[[#This Row],[Peak Close]])-1</f>
        <v>-0.31505134014864555</v>
      </c>
      <c r="I348">
        <v>881.86761000000001</v>
      </c>
      <c r="J348" s="1">
        <v>46003</v>
      </c>
      <c r="K348" s="3">
        <v>1.76465943680594E-2</v>
      </c>
      <c r="L348">
        <v>1472368344</v>
      </c>
      <c r="M348" s="2" t="s">
        <v>20</v>
      </c>
    </row>
    <row r="349" spans="1:13" x14ac:dyDescent="0.3">
      <c r="A349" s="1">
        <v>46005</v>
      </c>
      <c r="B349" s="2" t="s">
        <v>19</v>
      </c>
      <c r="C349">
        <v>897.43579</v>
      </c>
      <c r="D349">
        <v>899.21765000000005</v>
      </c>
      <c r="E349">
        <v>874.12963999999999</v>
      </c>
      <c r="F349">
        <v>877.80687999999998</v>
      </c>
      <c r="G349">
        <f>_xlfn.MAXIFS(Crypto[Close],Crypto[Name],Crypto[[#This Row],[Name]],Crypto[Date],"&lt;="&amp;Crypto[[#This Row],[Date]])</f>
        <v>1310.2143599999999</v>
      </c>
      <c r="H349" s="3">
        <f>(Crypto[[#This Row],[Close]]/Crypto[[#This Row],[Peak Close]])-1</f>
        <v>-0.33002804212892312</v>
      </c>
      <c r="I349">
        <v>897.42957000000001</v>
      </c>
      <c r="J349" s="1">
        <v>46004</v>
      </c>
      <c r="K349" s="3">
        <v>-2.18654373066847E-2</v>
      </c>
      <c r="L349">
        <v>1640570319</v>
      </c>
      <c r="M349" s="2" t="s">
        <v>20</v>
      </c>
    </row>
    <row r="350" spans="1:13" x14ac:dyDescent="0.3">
      <c r="A350" s="1">
        <v>46006</v>
      </c>
      <c r="B350" s="2" t="s">
        <v>19</v>
      </c>
      <c r="C350">
        <v>877.78925000000004</v>
      </c>
      <c r="D350">
        <v>894.20525999999995</v>
      </c>
      <c r="E350">
        <v>843.76787999999999</v>
      </c>
      <c r="F350">
        <v>858.54511000000002</v>
      </c>
      <c r="G350">
        <f>_xlfn.MAXIFS(Crypto[Close],Crypto[Name],Crypto[[#This Row],[Name]],Crypto[Date],"&lt;="&amp;Crypto[[#This Row],[Date]])</f>
        <v>1310.2143599999999</v>
      </c>
      <c r="H350" s="3">
        <f>(Crypto[[#This Row],[Close]]/Crypto[[#This Row],[Peak Close]])-1</f>
        <v>-0.34472927773437012</v>
      </c>
      <c r="I350">
        <v>877.80687999999998</v>
      </c>
      <c r="J350" s="1">
        <v>46005</v>
      </c>
      <c r="K350" s="3">
        <v>-2.19430610979034E-2</v>
      </c>
      <c r="L350">
        <v>2222157806</v>
      </c>
      <c r="M350" s="2" t="s">
        <v>20</v>
      </c>
    </row>
    <row r="351" spans="1:13" x14ac:dyDescent="0.3">
      <c r="A351" s="1">
        <v>46007</v>
      </c>
      <c r="B351" s="2" t="s">
        <v>19</v>
      </c>
      <c r="C351">
        <v>858.54589999999996</v>
      </c>
      <c r="D351">
        <v>877.61310000000003</v>
      </c>
      <c r="E351">
        <v>851.36761000000001</v>
      </c>
      <c r="F351">
        <v>874.89904999999999</v>
      </c>
      <c r="G351">
        <f>_xlfn.MAXIFS(Crypto[Close],Crypto[Name],Crypto[[#This Row],[Name]],Crypto[Date],"&lt;="&amp;Crypto[[#This Row],[Date]])</f>
        <v>1310.2143599999999</v>
      </c>
      <c r="H351" s="3">
        <f>(Crypto[[#This Row],[Close]]/Crypto[[#This Row],[Peak Close]])-1</f>
        <v>-0.33224739652525248</v>
      </c>
      <c r="I351">
        <v>858.54511000000002</v>
      </c>
      <c r="J351" s="1">
        <v>46006</v>
      </c>
      <c r="K351" s="3">
        <v>1.9048434158573199E-2</v>
      </c>
      <c r="L351">
        <v>2379705373</v>
      </c>
      <c r="M351" s="2" t="s">
        <v>20</v>
      </c>
    </row>
    <row r="352" spans="1:13" x14ac:dyDescent="0.3">
      <c r="A352" s="1">
        <v>46008</v>
      </c>
      <c r="B352" s="2" t="s">
        <v>19</v>
      </c>
      <c r="C352">
        <v>874.90552000000002</v>
      </c>
      <c r="D352">
        <v>875.11084000000005</v>
      </c>
      <c r="E352">
        <v>834.85167999999999</v>
      </c>
      <c r="F352">
        <v>842.93017999999995</v>
      </c>
      <c r="G352">
        <f>_xlfn.MAXIFS(Crypto[Close],Crypto[Name],Crypto[[#This Row],[Name]],Crypto[Date],"&lt;="&amp;Crypto[[#This Row],[Date]])</f>
        <v>1310.2143599999999</v>
      </c>
      <c r="H352" s="3">
        <f>(Crypto[[#This Row],[Close]]/Crypto[[#This Row],[Peak Close]])-1</f>
        <v>-0.35664712146797106</v>
      </c>
      <c r="I352">
        <v>874.89904999999999</v>
      </c>
      <c r="J352" s="1">
        <v>46007</v>
      </c>
      <c r="K352" s="3">
        <v>-3.6540067108313902E-2</v>
      </c>
      <c r="L352">
        <v>2968394043</v>
      </c>
      <c r="M352" s="2" t="s">
        <v>20</v>
      </c>
    </row>
    <row r="353" spans="1:13" x14ac:dyDescent="0.3">
      <c r="A353" s="1">
        <v>46009</v>
      </c>
      <c r="B353" s="2" t="s">
        <v>19</v>
      </c>
      <c r="C353">
        <v>842.93127000000004</v>
      </c>
      <c r="D353">
        <v>850.89837999999997</v>
      </c>
      <c r="E353">
        <v>819.98383000000001</v>
      </c>
      <c r="F353">
        <v>829.30115000000001</v>
      </c>
      <c r="G353">
        <f>_xlfn.MAXIFS(Crypto[Close],Crypto[Name],Crypto[[#This Row],[Name]],Crypto[Date],"&lt;="&amp;Crypto[[#This Row],[Date]])</f>
        <v>1310.2143599999999</v>
      </c>
      <c r="H353" s="3">
        <f>(Crypto[[#This Row],[Close]]/Crypto[[#This Row],[Peak Close]])-1</f>
        <v>-0.36704925902353869</v>
      </c>
      <c r="I353">
        <v>842.93017999999995</v>
      </c>
      <c r="J353" s="1">
        <v>46008</v>
      </c>
      <c r="K353" s="3">
        <v>-1.6168634512528601E-2</v>
      </c>
      <c r="L353">
        <v>3195634004</v>
      </c>
      <c r="M353" s="2" t="s">
        <v>20</v>
      </c>
    </row>
    <row r="354" spans="1:13" x14ac:dyDescent="0.3">
      <c r="A354" s="1">
        <v>46010</v>
      </c>
      <c r="B354" s="2" t="s">
        <v>19</v>
      </c>
      <c r="C354">
        <v>829.30389000000002</v>
      </c>
      <c r="D354">
        <v>861.08771000000002</v>
      </c>
      <c r="E354">
        <v>823.17181000000005</v>
      </c>
      <c r="F354">
        <v>855.94330000000002</v>
      </c>
      <c r="G354">
        <f>_xlfn.MAXIFS(Crypto[Close],Crypto[Name],Crypto[[#This Row],[Name]],Crypto[Date],"&lt;="&amp;Crypto[[#This Row],[Date]])</f>
        <v>1310.2143599999999</v>
      </c>
      <c r="H354" s="3">
        <f>(Crypto[[#This Row],[Close]]/Crypto[[#This Row],[Peak Close]])-1</f>
        <v>-0.34671506729631629</v>
      </c>
      <c r="I354">
        <v>829.30115000000001</v>
      </c>
      <c r="J354" s="1">
        <v>46009</v>
      </c>
      <c r="K354" s="3">
        <v>3.2126025630134503E-2</v>
      </c>
      <c r="L354">
        <v>5429911683</v>
      </c>
      <c r="M354" s="2" t="s">
        <v>20</v>
      </c>
    </row>
    <row r="355" spans="1:13" x14ac:dyDescent="0.3">
      <c r="A355" s="1">
        <v>46011</v>
      </c>
      <c r="B355" s="2" t="s">
        <v>19</v>
      </c>
      <c r="C355">
        <v>855.94299000000001</v>
      </c>
      <c r="D355">
        <v>858.74121000000002</v>
      </c>
      <c r="E355">
        <v>850.89086999999995</v>
      </c>
      <c r="F355">
        <v>853.58618000000001</v>
      </c>
      <c r="G355">
        <f>_xlfn.MAXIFS(Crypto[Close],Crypto[Name],Crypto[[#This Row],[Name]],Crypto[Date],"&lt;="&amp;Crypto[[#This Row],[Date]])</f>
        <v>1310.2143599999999</v>
      </c>
      <c r="H355" s="3">
        <f>(Crypto[[#This Row],[Close]]/Crypto[[#This Row],[Peak Close]])-1</f>
        <v>-0.34851410115822568</v>
      </c>
      <c r="I355">
        <v>855.94330000000002</v>
      </c>
      <c r="J355" s="1">
        <v>46010</v>
      </c>
      <c r="K355" s="3">
        <v>-2.7538272686987702E-3</v>
      </c>
      <c r="L355">
        <v>1374684930</v>
      </c>
      <c r="M355" s="2" t="s">
        <v>20</v>
      </c>
    </row>
    <row r="356" spans="1:13" x14ac:dyDescent="0.3">
      <c r="A356" s="1">
        <v>46012</v>
      </c>
      <c r="B356" s="2" t="s">
        <v>19</v>
      </c>
      <c r="C356">
        <v>853.59698000000003</v>
      </c>
      <c r="D356">
        <v>858.92913999999996</v>
      </c>
      <c r="E356">
        <v>846.09929999999997</v>
      </c>
      <c r="F356">
        <v>857.88922000000002</v>
      </c>
      <c r="G356">
        <f>_xlfn.MAXIFS(Crypto[Close],Crypto[Name],Crypto[[#This Row],[Name]],Crypto[Date],"&lt;="&amp;Crypto[[#This Row],[Date]])</f>
        <v>1310.2143599999999</v>
      </c>
      <c r="H356" s="3">
        <f>(Crypto[[#This Row],[Close]]/Crypto[[#This Row],[Peak Close]])-1</f>
        <v>-0.34522987520912218</v>
      </c>
      <c r="I356">
        <v>853.58618000000001</v>
      </c>
      <c r="J356" s="1">
        <v>46011</v>
      </c>
      <c r="K356" s="3">
        <v>5.0411312891687297E-3</v>
      </c>
      <c r="L356">
        <v>1501917010</v>
      </c>
      <c r="M356" s="2" t="s">
        <v>20</v>
      </c>
    </row>
    <row r="357" spans="1:13" x14ac:dyDescent="0.3">
      <c r="A357" s="1">
        <v>46013</v>
      </c>
      <c r="B357" s="2" t="s">
        <v>19</v>
      </c>
      <c r="C357">
        <v>857.88666000000001</v>
      </c>
      <c r="D357">
        <v>869.09924000000001</v>
      </c>
      <c r="E357">
        <v>852.63733000000002</v>
      </c>
      <c r="F357">
        <v>857.85742000000005</v>
      </c>
      <c r="G357">
        <f>_xlfn.MAXIFS(Crypto[Close],Crypto[Name],Crypto[[#This Row],[Name]],Crypto[Date],"&lt;="&amp;Crypto[[#This Row],[Date]])</f>
        <v>1310.2143599999999</v>
      </c>
      <c r="H357" s="3">
        <f>(Crypto[[#This Row],[Close]]/Crypto[[#This Row],[Peak Close]])-1</f>
        <v>-0.3452541460467583</v>
      </c>
      <c r="I357">
        <v>857.88922000000002</v>
      </c>
      <c r="J357" s="1">
        <v>46012</v>
      </c>
      <c r="K357" s="3">
        <v>-3.70677230330224E-5</v>
      </c>
      <c r="L357">
        <v>1959463444</v>
      </c>
      <c r="M357" s="2" t="s">
        <v>20</v>
      </c>
    </row>
    <row r="358" spans="1:13" x14ac:dyDescent="0.3">
      <c r="A358" s="1">
        <v>46014</v>
      </c>
      <c r="B358" s="2" t="s">
        <v>19</v>
      </c>
      <c r="C358">
        <v>857.85991999999999</v>
      </c>
      <c r="D358">
        <v>860.77715999999998</v>
      </c>
      <c r="E358">
        <v>839.58745999999996</v>
      </c>
      <c r="F358">
        <v>843.77142000000003</v>
      </c>
      <c r="G358">
        <f>_xlfn.MAXIFS(Crypto[Close],Crypto[Name],Crypto[[#This Row],[Name]],Crypto[Date],"&lt;="&amp;Crypto[[#This Row],[Date]])</f>
        <v>1310.2143599999999</v>
      </c>
      <c r="H358" s="3">
        <f>(Crypto[[#This Row],[Close]]/Crypto[[#This Row],[Peak Close]])-1</f>
        <v>-0.35600505859209175</v>
      </c>
      <c r="I358">
        <v>857.85742000000005</v>
      </c>
      <c r="J358" s="1">
        <v>46013</v>
      </c>
      <c r="K358" s="3">
        <v>-1.6419978042505001E-2</v>
      </c>
      <c r="L358">
        <v>1696809904</v>
      </c>
      <c r="M358" s="2" t="s">
        <v>20</v>
      </c>
    </row>
    <row r="359" spans="1:13" x14ac:dyDescent="0.3">
      <c r="A359" s="1">
        <v>46015</v>
      </c>
      <c r="B359" s="2" t="s">
        <v>19</v>
      </c>
      <c r="C359">
        <v>843.76935000000003</v>
      </c>
      <c r="D359">
        <v>849.32776000000001</v>
      </c>
      <c r="E359">
        <v>835.27039000000002</v>
      </c>
      <c r="F359">
        <v>846.25963999999999</v>
      </c>
      <c r="G359">
        <f>_xlfn.MAXIFS(Crypto[Close],Crypto[Name],Crypto[[#This Row],[Name]],Crypto[Date],"&lt;="&amp;Crypto[[#This Row],[Date]])</f>
        <v>1310.2143599999999</v>
      </c>
      <c r="H359" s="3">
        <f>(Crypto[[#This Row],[Close]]/Crypto[[#This Row],[Peak Close]])-1</f>
        <v>-0.35410596476747513</v>
      </c>
      <c r="I359">
        <v>843.77142000000003</v>
      </c>
      <c r="J359" s="1">
        <v>46014</v>
      </c>
      <c r="K359" s="3">
        <v>2.9489266180643499E-3</v>
      </c>
      <c r="L359">
        <v>1535799969</v>
      </c>
      <c r="M359" s="2" t="s">
        <v>20</v>
      </c>
    </row>
    <row r="360" spans="1:13" x14ac:dyDescent="0.3">
      <c r="A360" s="1">
        <v>46016</v>
      </c>
      <c r="B360" s="2" t="s">
        <v>19</v>
      </c>
      <c r="C360">
        <v>846.24310000000003</v>
      </c>
      <c r="D360">
        <v>847.07916</v>
      </c>
      <c r="E360">
        <v>827.65857000000005</v>
      </c>
      <c r="F360">
        <v>829.42444</v>
      </c>
      <c r="G360">
        <f>_xlfn.MAXIFS(Crypto[Close],Crypto[Name],Crypto[[#This Row],[Name]],Crypto[Date],"&lt;="&amp;Crypto[[#This Row],[Date]])</f>
        <v>1310.2143599999999</v>
      </c>
      <c r="H360" s="3">
        <f>(Crypto[[#This Row],[Close]]/Crypto[[#This Row],[Peak Close]])-1</f>
        <v>-0.36695515991749617</v>
      </c>
      <c r="I360">
        <v>846.25963999999999</v>
      </c>
      <c r="J360" s="1">
        <v>46015</v>
      </c>
      <c r="K360" s="3">
        <v>-1.9893658168549801E-2</v>
      </c>
      <c r="L360">
        <v>1415229398</v>
      </c>
      <c r="M360" s="2" t="s">
        <v>20</v>
      </c>
    </row>
    <row r="361" spans="1:13" x14ac:dyDescent="0.3">
      <c r="A361" s="1">
        <v>46017</v>
      </c>
      <c r="B361" s="2" t="s">
        <v>19</v>
      </c>
      <c r="C361">
        <v>829.42638999999997</v>
      </c>
      <c r="D361">
        <v>845.71747000000005</v>
      </c>
      <c r="E361">
        <v>823.37292000000002</v>
      </c>
      <c r="F361">
        <v>834.15155000000004</v>
      </c>
      <c r="G361">
        <f>_xlfn.MAXIFS(Crypto[Close],Crypto[Name],Crypto[[#This Row],[Name]],Crypto[Date],"&lt;="&amp;Crypto[[#This Row],[Date]])</f>
        <v>1310.2143599999999</v>
      </c>
      <c r="H361" s="3">
        <f>(Crypto[[#This Row],[Close]]/Crypto[[#This Row],[Peak Close]])-1</f>
        <v>-0.36334726937353967</v>
      </c>
      <c r="I361">
        <v>829.42444</v>
      </c>
      <c r="J361" s="1">
        <v>46016</v>
      </c>
      <c r="K361" s="3">
        <v>5.69926538455997E-3</v>
      </c>
      <c r="L361">
        <v>1730790904</v>
      </c>
      <c r="M361" s="2" t="s">
        <v>20</v>
      </c>
    </row>
    <row r="362" spans="1:13" x14ac:dyDescent="0.3">
      <c r="A362" s="1">
        <v>46018</v>
      </c>
      <c r="B362" s="2" t="s">
        <v>19</v>
      </c>
      <c r="C362">
        <v>834.15137000000004</v>
      </c>
      <c r="D362">
        <v>844.59436000000005</v>
      </c>
      <c r="E362">
        <v>834.14586999999995</v>
      </c>
      <c r="F362">
        <v>844.55449999999996</v>
      </c>
      <c r="G362">
        <f>_xlfn.MAXIFS(Crypto[Close],Crypto[Name],Crypto[[#This Row],[Name]],Crypto[Date],"&lt;="&amp;Crypto[[#This Row],[Date]])</f>
        <v>1310.2143599999999</v>
      </c>
      <c r="H362" s="3">
        <f>(Crypto[[#This Row],[Close]]/Crypto[[#This Row],[Peak Close]])-1</f>
        <v>-0.35540738539913419</v>
      </c>
      <c r="I362">
        <v>834.15155000000004</v>
      </c>
      <c r="J362" s="1">
        <v>46017</v>
      </c>
      <c r="K362" s="3">
        <v>1.24712949343557E-2</v>
      </c>
      <c r="L362">
        <v>1496575663</v>
      </c>
      <c r="M362" s="2" t="s">
        <v>20</v>
      </c>
    </row>
    <row r="363" spans="1:13" x14ac:dyDescent="0.3">
      <c r="A363" s="1">
        <v>46019</v>
      </c>
      <c r="B363" s="2" t="s">
        <v>19</v>
      </c>
      <c r="C363">
        <v>844.55755999999997</v>
      </c>
      <c r="D363">
        <v>864.94304999999997</v>
      </c>
      <c r="E363">
        <v>839.59209999999996</v>
      </c>
      <c r="F363">
        <v>858.8288</v>
      </c>
      <c r="G363">
        <f>_xlfn.MAXIFS(Crypto[Close],Crypto[Name],Crypto[[#This Row],[Name]],Crypto[Date],"&lt;="&amp;Crypto[[#This Row],[Date]])</f>
        <v>1310.2143599999999</v>
      </c>
      <c r="H363" s="3">
        <f>(Crypto[[#This Row],[Close]]/Crypto[[#This Row],[Peak Close]])-1</f>
        <v>-0.34451275591270425</v>
      </c>
      <c r="I363">
        <v>844.55449999999996</v>
      </c>
      <c r="J363" s="1">
        <v>46018</v>
      </c>
      <c r="K363" s="3">
        <v>1.69015735514997E-2</v>
      </c>
      <c r="L363">
        <v>1855190489</v>
      </c>
      <c r="M363" s="2" t="s">
        <v>20</v>
      </c>
    </row>
    <row r="364" spans="1:13" x14ac:dyDescent="0.3">
      <c r="A364" s="1">
        <v>46020</v>
      </c>
      <c r="B364" s="2" t="s">
        <v>19</v>
      </c>
      <c r="C364">
        <v>858.83520999999996</v>
      </c>
      <c r="D364">
        <v>869.98584000000005</v>
      </c>
      <c r="E364">
        <v>846.64531999999997</v>
      </c>
      <c r="F364">
        <v>851.18755999999996</v>
      </c>
      <c r="G364">
        <f>_xlfn.MAXIFS(Crypto[Close],Crypto[Name],Crypto[[#This Row],[Name]],Crypto[Date],"&lt;="&amp;Crypto[[#This Row],[Date]])</f>
        <v>1310.2143599999999</v>
      </c>
      <c r="H364" s="3">
        <f>(Crypto[[#This Row],[Close]]/Crypto[[#This Row],[Peak Close]])-1</f>
        <v>-0.35034480922648414</v>
      </c>
      <c r="I364">
        <v>858.8288</v>
      </c>
      <c r="J364" s="1">
        <v>46019</v>
      </c>
      <c r="K364" s="3">
        <v>-8.8972796440920897E-3</v>
      </c>
      <c r="L364">
        <v>2271142660</v>
      </c>
      <c r="M364" s="2" t="s">
        <v>20</v>
      </c>
    </row>
    <row r="365" spans="1:13" x14ac:dyDescent="0.3">
      <c r="A365" s="1">
        <v>46021</v>
      </c>
      <c r="B365" s="2" t="s">
        <v>19</v>
      </c>
      <c r="C365">
        <v>851.19073000000003</v>
      </c>
      <c r="D365">
        <v>862.01984000000004</v>
      </c>
      <c r="E365">
        <v>848.45050000000003</v>
      </c>
      <c r="F365">
        <v>860.55371000000002</v>
      </c>
      <c r="G365">
        <f>_xlfn.MAXIFS(Crypto[Close],Crypto[Name],Crypto[[#This Row],[Name]],Crypto[Date],"&lt;="&amp;Crypto[[#This Row],[Date]])</f>
        <v>1310.2143599999999</v>
      </c>
      <c r="H365" s="3">
        <f>(Crypto[[#This Row],[Close]]/Crypto[[#This Row],[Peak Close]])-1</f>
        <v>-0.34319624614708077</v>
      </c>
      <c r="I365">
        <v>851.18755999999996</v>
      </c>
      <c r="J365" s="1">
        <v>46020</v>
      </c>
      <c r="K365" s="3">
        <v>1.10036265097672E-2</v>
      </c>
      <c r="L365">
        <v>2042633098</v>
      </c>
      <c r="M365" s="2" t="s">
        <v>20</v>
      </c>
    </row>
    <row r="366" spans="1:13" x14ac:dyDescent="0.3">
      <c r="A366" s="1">
        <v>46022</v>
      </c>
      <c r="B366" s="2" t="s">
        <v>19</v>
      </c>
      <c r="C366">
        <v>860.53399999999999</v>
      </c>
      <c r="D366">
        <v>873.27039000000002</v>
      </c>
      <c r="E366">
        <v>856.89757999999995</v>
      </c>
      <c r="F366">
        <v>861.30327999999997</v>
      </c>
      <c r="G366">
        <f>_xlfn.MAXIFS(Crypto[Close],Crypto[Name],Crypto[[#This Row],[Name]],Crypto[Date],"&lt;="&amp;Crypto[[#This Row],[Date]])</f>
        <v>1310.2143599999999</v>
      </c>
      <c r="H366" s="3">
        <f>(Crypto[[#This Row],[Close]]/Crypto[[#This Row],[Peak Close]])-1</f>
        <v>-0.34262414892170778</v>
      </c>
      <c r="I366">
        <v>860.55371000000002</v>
      </c>
      <c r="J366" s="1">
        <v>46021</v>
      </c>
      <c r="K366" s="3">
        <v>8.7103221018005803E-4</v>
      </c>
      <c r="L366">
        <v>2447182848</v>
      </c>
      <c r="M366" s="2" t="s">
        <v>20</v>
      </c>
    </row>
    <row r="367" spans="1:13" x14ac:dyDescent="0.3">
      <c r="A367" s="1">
        <v>45658</v>
      </c>
      <c r="B367" s="2" t="s">
        <v>11</v>
      </c>
      <c r="C367">
        <v>93425.101559999996</v>
      </c>
      <c r="D367">
        <v>94929.867190000004</v>
      </c>
      <c r="E367">
        <v>92788.125</v>
      </c>
      <c r="F367">
        <v>94419.757809999996</v>
      </c>
      <c r="G367">
        <f>_xlfn.MAXIFS(Crypto[Close],Crypto[Name],Crypto[[#This Row],[Name]],Crypto[Date],"&lt;="&amp;Crypto[[#This Row],[Date]])</f>
        <v>94419.757809999996</v>
      </c>
      <c r="H367" s="3">
        <f>(Crypto[[#This Row],[Close]]/Crypto[[#This Row],[Peak Close]])-1</f>
        <v>0</v>
      </c>
      <c r="J367" s="1">
        <v>45657</v>
      </c>
      <c r="L367">
        <v>24519888919</v>
      </c>
      <c r="M367" s="2" t="s">
        <v>12</v>
      </c>
    </row>
    <row r="368" spans="1:13" x14ac:dyDescent="0.3">
      <c r="A368" s="1">
        <v>45659</v>
      </c>
      <c r="B368" s="2" t="s">
        <v>11</v>
      </c>
      <c r="C368">
        <v>94416.289059999996</v>
      </c>
      <c r="D368">
        <v>97739.820309999996</v>
      </c>
      <c r="E368">
        <v>94201.570309999996</v>
      </c>
      <c r="F368">
        <v>96886.875</v>
      </c>
      <c r="G368">
        <f>_xlfn.MAXIFS(Crypto[Close],Crypto[Name],Crypto[[#This Row],[Name]],Crypto[Date],"&lt;="&amp;Crypto[[#This Row],[Date]])</f>
        <v>96886.875</v>
      </c>
      <c r="H368" s="3">
        <f>(Crypto[[#This Row],[Close]]/Crypto[[#This Row],[Peak Close]])-1</f>
        <v>0</v>
      </c>
      <c r="I368">
        <v>94419.757809999996</v>
      </c>
      <c r="J368" s="1">
        <v>45658</v>
      </c>
      <c r="K368" s="3">
        <v>2.6129247174776299E-2</v>
      </c>
      <c r="L368">
        <v>46009564411</v>
      </c>
      <c r="M368" s="2" t="s">
        <v>12</v>
      </c>
    </row>
    <row r="369" spans="1:13" x14ac:dyDescent="0.3">
      <c r="A369" s="1">
        <v>45660</v>
      </c>
      <c r="B369" s="2" t="s">
        <v>11</v>
      </c>
      <c r="C369">
        <v>96881.726559999996</v>
      </c>
      <c r="D369">
        <v>98956.914059999996</v>
      </c>
      <c r="E369">
        <v>96034.617190000004</v>
      </c>
      <c r="F369">
        <v>98107.429690000004</v>
      </c>
      <c r="G369">
        <f>_xlfn.MAXIFS(Crypto[Close],Crypto[Name],Crypto[[#This Row],[Name]],Crypto[Date],"&lt;="&amp;Crypto[[#This Row],[Date]])</f>
        <v>98107.429690000004</v>
      </c>
      <c r="H369" s="3">
        <f>(Crypto[[#This Row],[Close]]/Crypto[[#This Row],[Peak Close]])-1</f>
        <v>0</v>
      </c>
      <c r="I369">
        <v>96886.875</v>
      </c>
      <c r="J369" s="1">
        <v>45659</v>
      </c>
      <c r="K369" s="3">
        <v>1.25977299814862E-2</v>
      </c>
      <c r="L369">
        <v>35611391163</v>
      </c>
      <c r="M369" s="2" t="s">
        <v>12</v>
      </c>
    </row>
    <row r="370" spans="1:13" x14ac:dyDescent="0.3">
      <c r="A370" s="1">
        <v>45661</v>
      </c>
      <c r="B370" s="2" t="s">
        <v>11</v>
      </c>
      <c r="C370">
        <v>98106.992190000004</v>
      </c>
      <c r="D370">
        <v>98734.429690000004</v>
      </c>
      <c r="E370">
        <v>97562.976559999996</v>
      </c>
      <c r="F370">
        <v>98236.226559999996</v>
      </c>
      <c r="G370">
        <f>_xlfn.MAXIFS(Crypto[Close],Crypto[Name],Crypto[[#This Row],[Name]],Crypto[Date],"&lt;="&amp;Crypto[[#This Row],[Date]])</f>
        <v>98236.226559999996</v>
      </c>
      <c r="H370" s="3">
        <f>(Crypto[[#This Row],[Close]]/Crypto[[#This Row],[Peak Close]])-1</f>
        <v>0</v>
      </c>
      <c r="I370">
        <v>98107.429690000004</v>
      </c>
      <c r="J370" s="1">
        <v>45660</v>
      </c>
      <c r="K370" s="3">
        <v>1.31281464010385E-3</v>
      </c>
      <c r="L370">
        <v>22342608078</v>
      </c>
      <c r="M370" s="2" t="s">
        <v>12</v>
      </c>
    </row>
    <row r="371" spans="1:13" x14ac:dyDescent="0.3">
      <c r="A371" s="1">
        <v>45662</v>
      </c>
      <c r="B371" s="2" t="s">
        <v>11</v>
      </c>
      <c r="C371">
        <v>98233.90625</v>
      </c>
      <c r="D371">
        <v>98813.304690000004</v>
      </c>
      <c r="E371">
        <v>97291.765629999994</v>
      </c>
      <c r="F371">
        <v>98314.960940000004</v>
      </c>
      <c r="G371">
        <f>_xlfn.MAXIFS(Crypto[Close],Crypto[Name],Crypto[[#This Row],[Name]],Crypto[Date],"&lt;="&amp;Crypto[[#This Row],[Date]])</f>
        <v>98314.960940000004</v>
      </c>
      <c r="H371" s="3">
        <f>(Crypto[[#This Row],[Close]]/Crypto[[#This Row],[Peak Close]])-1</f>
        <v>0</v>
      </c>
      <c r="I371">
        <v>98236.226559999996</v>
      </c>
      <c r="J371" s="1">
        <v>45661</v>
      </c>
      <c r="K371" s="3">
        <v>8.0148009300744195E-4</v>
      </c>
      <c r="L371">
        <v>20525254825</v>
      </c>
      <c r="M371" s="2" t="s">
        <v>12</v>
      </c>
    </row>
    <row r="372" spans="1:13" x14ac:dyDescent="0.3">
      <c r="A372" s="1">
        <v>45663</v>
      </c>
      <c r="B372" s="2" t="s">
        <v>11</v>
      </c>
      <c r="C372">
        <v>98314.953129999994</v>
      </c>
      <c r="D372">
        <v>102482.875</v>
      </c>
      <c r="E372">
        <v>97926.148440000004</v>
      </c>
      <c r="F372">
        <v>102078.08590000001</v>
      </c>
      <c r="G372">
        <f>_xlfn.MAXIFS(Crypto[Close],Crypto[Name],Crypto[[#This Row],[Name]],Crypto[Date],"&lt;="&amp;Crypto[[#This Row],[Date]])</f>
        <v>102078.08590000001</v>
      </c>
      <c r="H372" s="3">
        <f>(Crypto[[#This Row],[Close]]/Crypto[[#This Row],[Peak Close]])-1</f>
        <v>0</v>
      </c>
      <c r="I372">
        <v>98314.960940000004</v>
      </c>
      <c r="J372" s="1">
        <v>45662</v>
      </c>
      <c r="K372" s="3">
        <v>3.8276218838113302E-2</v>
      </c>
      <c r="L372">
        <v>51823432705</v>
      </c>
      <c r="M372" s="2" t="s">
        <v>12</v>
      </c>
    </row>
    <row r="373" spans="1:13" x14ac:dyDescent="0.3">
      <c r="A373" s="1">
        <v>45664</v>
      </c>
      <c r="B373" s="2" t="s">
        <v>11</v>
      </c>
      <c r="C373">
        <v>102248.85159999999</v>
      </c>
      <c r="D373">
        <v>102712.4844</v>
      </c>
      <c r="E373">
        <v>96132.875</v>
      </c>
      <c r="F373">
        <v>96922.703129999994</v>
      </c>
      <c r="G373">
        <f>_xlfn.MAXIFS(Crypto[Close],Crypto[Name],Crypto[[#This Row],[Name]],Crypto[Date],"&lt;="&amp;Crypto[[#This Row],[Date]])</f>
        <v>102078.08590000001</v>
      </c>
      <c r="H373" s="3">
        <f>(Crypto[[#This Row],[Close]]/Crypto[[#This Row],[Peak Close]])-1</f>
        <v>-5.0504304861774596E-2</v>
      </c>
      <c r="I373">
        <v>102078.08590000001</v>
      </c>
      <c r="J373" s="1">
        <v>45663</v>
      </c>
      <c r="K373" s="3">
        <v>-5.0504304861774603E-2</v>
      </c>
      <c r="L373">
        <v>58685738547</v>
      </c>
      <c r="M373" s="2" t="s">
        <v>12</v>
      </c>
    </row>
    <row r="374" spans="1:13" x14ac:dyDescent="0.3">
      <c r="A374" s="1">
        <v>45665</v>
      </c>
      <c r="B374" s="2" t="s">
        <v>11</v>
      </c>
      <c r="C374">
        <v>96924.164059999996</v>
      </c>
      <c r="D374">
        <v>97258.320309999996</v>
      </c>
      <c r="E374">
        <v>92525.84375</v>
      </c>
      <c r="F374">
        <v>95043.523440000004</v>
      </c>
      <c r="G374">
        <f>_xlfn.MAXIFS(Crypto[Close],Crypto[Name],Crypto[[#This Row],[Name]],Crypto[Date],"&lt;="&amp;Crypto[[#This Row],[Date]])</f>
        <v>102078.08590000001</v>
      </c>
      <c r="H374" s="3">
        <f>(Crypto[[#This Row],[Close]]/Crypto[[#This Row],[Peak Close]])-1</f>
        <v>-6.8913542000497152E-2</v>
      </c>
      <c r="I374">
        <v>96922.703129999994</v>
      </c>
      <c r="J374" s="1">
        <v>45664</v>
      </c>
      <c r="K374" s="3">
        <v>-1.93884366543048E-2</v>
      </c>
      <c r="L374">
        <v>63875859171</v>
      </c>
      <c r="M374" s="2" t="s">
        <v>12</v>
      </c>
    </row>
    <row r="375" spans="1:13" x14ac:dyDescent="0.3">
      <c r="A375" s="1">
        <v>45666</v>
      </c>
      <c r="B375" s="2" t="s">
        <v>11</v>
      </c>
      <c r="C375">
        <v>95043.484379999994</v>
      </c>
      <c r="D375">
        <v>95349.71875</v>
      </c>
      <c r="E375">
        <v>91220.84375</v>
      </c>
      <c r="F375">
        <v>92484.039059999996</v>
      </c>
      <c r="G375">
        <f>_xlfn.MAXIFS(Crypto[Close],Crypto[Name],Crypto[[#This Row],[Name]],Crypto[Date],"&lt;="&amp;Crypto[[#This Row],[Date]])</f>
        <v>102078.08590000001</v>
      </c>
      <c r="H375" s="3">
        <f>(Crypto[[#This Row],[Close]]/Crypto[[#This Row],[Peak Close]])-1</f>
        <v>-9.398733092819489E-2</v>
      </c>
      <c r="I375">
        <v>95043.523440000004</v>
      </c>
      <c r="J375" s="1">
        <v>45665</v>
      </c>
      <c r="K375" s="3">
        <v>-2.69296032739757E-2</v>
      </c>
      <c r="L375">
        <v>62777261693</v>
      </c>
      <c r="M375" s="2" t="s">
        <v>12</v>
      </c>
    </row>
    <row r="376" spans="1:13" x14ac:dyDescent="0.3">
      <c r="A376" s="1">
        <v>45667</v>
      </c>
      <c r="B376" s="2" t="s">
        <v>11</v>
      </c>
      <c r="C376">
        <v>92494.492190000004</v>
      </c>
      <c r="D376">
        <v>95770.609379999994</v>
      </c>
      <c r="E376">
        <v>92250.09375</v>
      </c>
      <c r="F376">
        <v>94701.453129999994</v>
      </c>
      <c r="G376">
        <f>_xlfn.MAXIFS(Crypto[Close],Crypto[Name],Crypto[[#This Row],[Name]],Crypto[Date],"&lt;="&amp;Crypto[[#This Row],[Date]])</f>
        <v>102078.08590000001</v>
      </c>
      <c r="H376" s="3">
        <f>(Crypto[[#This Row],[Close]]/Crypto[[#This Row],[Peak Close]])-1</f>
        <v>-7.2264607089385202E-2</v>
      </c>
      <c r="I376">
        <v>92484.039059999996</v>
      </c>
      <c r="J376" s="1">
        <v>45666</v>
      </c>
      <c r="K376" s="3">
        <v>2.3976181106898101E-2</v>
      </c>
      <c r="L376">
        <v>62058693684</v>
      </c>
      <c r="M376" s="2" t="s">
        <v>12</v>
      </c>
    </row>
    <row r="377" spans="1:13" x14ac:dyDescent="0.3">
      <c r="A377" s="1">
        <v>45668</v>
      </c>
      <c r="B377" s="2" t="s">
        <v>11</v>
      </c>
      <c r="C377">
        <v>94700.835940000004</v>
      </c>
      <c r="D377">
        <v>94977.6875</v>
      </c>
      <c r="E377">
        <v>93840.046879999994</v>
      </c>
      <c r="F377">
        <v>94566.59375</v>
      </c>
      <c r="G377">
        <f>_xlfn.MAXIFS(Crypto[Close],Crypto[Name],Crypto[[#This Row],[Name]],Crypto[Date],"&lt;="&amp;Crypto[[#This Row],[Date]])</f>
        <v>102078.08590000001</v>
      </c>
      <c r="H377" s="3">
        <f>(Crypto[[#This Row],[Close]]/Crypto[[#This Row],[Peak Close]])-1</f>
        <v>-7.35857464780304E-2</v>
      </c>
      <c r="I377">
        <v>94701.453129999994</v>
      </c>
      <c r="J377" s="1">
        <v>45667</v>
      </c>
      <c r="K377" s="3">
        <v>-1.4240476311896499E-3</v>
      </c>
      <c r="L377">
        <v>18860894100</v>
      </c>
      <c r="M377" s="2" t="s">
        <v>12</v>
      </c>
    </row>
    <row r="378" spans="1:13" x14ac:dyDescent="0.3">
      <c r="A378" s="1">
        <v>45669</v>
      </c>
      <c r="B378" s="2" t="s">
        <v>11</v>
      </c>
      <c r="C378">
        <v>94565.726559999996</v>
      </c>
      <c r="D378">
        <v>95367.539059999996</v>
      </c>
      <c r="E378">
        <v>93712.507809999996</v>
      </c>
      <c r="F378">
        <v>94488.4375</v>
      </c>
      <c r="G378">
        <f>_xlfn.MAXIFS(Crypto[Close],Crypto[Name],Crypto[[#This Row],[Name]],Crypto[Date],"&lt;="&amp;Crypto[[#This Row],[Date]])</f>
        <v>102078.08590000001</v>
      </c>
      <c r="H378" s="3">
        <f>(Crypto[[#This Row],[Close]]/Crypto[[#This Row],[Peak Close]])-1</f>
        <v>-7.4351398080045761E-2</v>
      </c>
      <c r="I378">
        <v>94566.59375</v>
      </c>
      <c r="J378" s="1">
        <v>45668</v>
      </c>
      <c r="K378" s="3">
        <v>-8.26467856150312E-4</v>
      </c>
      <c r="L378">
        <v>20885130965</v>
      </c>
      <c r="M378" s="2" t="s">
        <v>12</v>
      </c>
    </row>
    <row r="379" spans="1:13" x14ac:dyDescent="0.3">
      <c r="A379" s="1">
        <v>45670</v>
      </c>
      <c r="B379" s="2" t="s">
        <v>11</v>
      </c>
      <c r="C379">
        <v>94488.890629999994</v>
      </c>
      <c r="D379">
        <v>95837</v>
      </c>
      <c r="E379">
        <v>89260.101559999996</v>
      </c>
      <c r="F379">
        <v>94516.523440000004</v>
      </c>
      <c r="G379">
        <f>_xlfn.MAXIFS(Crypto[Close],Crypto[Name],Crypto[[#This Row],[Name]],Crypto[Date],"&lt;="&amp;Crypto[[#This Row],[Date]])</f>
        <v>102078.08590000001</v>
      </c>
      <c r="H379" s="3">
        <f>(Crypto[[#This Row],[Close]]/Crypto[[#This Row],[Peak Close]])-1</f>
        <v>-7.4076256361307768E-2</v>
      </c>
      <c r="I379">
        <v>94488.4375</v>
      </c>
      <c r="J379" s="1">
        <v>45669</v>
      </c>
      <c r="K379" s="3">
        <v>2.9724208319144302E-4</v>
      </c>
      <c r="L379">
        <v>72978998252</v>
      </c>
      <c r="M379" s="2" t="s">
        <v>12</v>
      </c>
    </row>
    <row r="380" spans="1:13" x14ac:dyDescent="0.3">
      <c r="A380" s="1">
        <v>45671</v>
      </c>
      <c r="B380" s="2" t="s">
        <v>11</v>
      </c>
      <c r="C380">
        <v>94519.007809999996</v>
      </c>
      <c r="D380">
        <v>97352.664059999996</v>
      </c>
      <c r="E380">
        <v>94322.15625</v>
      </c>
      <c r="F380">
        <v>96534.046879999994</v>
      </c>
      <c r="G380">
        <f>_xlfn.MAXIFS(Crypto[Close],Crypto[Name],Crypto[[#This Row],[Name]],Crypto[Date],"&lt;="&amp;Crypto[[#This Row],[Date]])</f>
        <v>102078.08590000001</v>
      </c>
      <c r="H380" s="3">
        <f>(Crypto[[#This Row],[Close]]/Crypto[[#This Row],[Peak Close]])-1</f>
        <v>-5.4311745475235318E-2</v>
      </c>
      <c r="I380">
        <v>94516.523440000004</v>
      </c>
      <c r="J380" s="1">
        <v>45670</v>
      </c>
      <c r="K380" s="3">
        <v>2.1345722066054802E-2</v>
      </c>
      <c r="L380">
        <v>53769675818</v>
      </c>
      <c r="M380" s="2" t="s">
        <v>12</v>
      </c>
    </row>
    <row r="381" spans="1:13" x14ac:dyDescent="0.3">
      <c r="A381" s="1">
        <v>45672</v>
      </c>
      <c r="B381" s="2" t="s">
        <v>11</v>
      </c>
      <c r="C381">
        <v>96534.046879999994</v>
      </c>
      <c r="D381">
        <v>100697.2344</v>
      </c>
      <c r="E381">
        <v>96501.640629999994</v>
      </c>
      <c r="F381">
        <v>100504.49219999999</v>
      </c>
      <c r="G381">
        <f>_xlfn.MAXIFS(Crypto[Close],Crypto[Name],Crypto[[#This Row],[Name]],Crypto[Date],"&lt;="&amp;Crypto[[#This Row],[Date]])</f>
        <v>102078.08590000001</v>
      </c>
      <c r="H381" s="3">
        <f>(Crypto[[#This Row],[Close]]/Crypto[[#This Row],[Peak Close]])-1</f>
        <v>-1.5415587842640077E-2</v>
      </c>
      <c r="I381">
        <v>96534.046879999994</v>
      </c>
      <c r="J381" s="1">
        <v>45671</v>
      </c>
      <c r="K381" s="3">
        <v>4.1129999708140297E-2</v>
      </c>
      <c r="L381">
        <v>57805923627</v>
      </c>
      <c r="M381" s="2" t="s">
        <v>12</v>
      </c>
    </row>
    <row r="382" spans="1:13" x14ac:dyDescent="0.3">
      <c r="A382" s="1">
        <v>45673</v>
      </c>
      <c r="B382" s="2" t="s">
        <v>11</v>
      </c>
      <c r="C382">
        <v>100505.2969</v>
      </c>
      <c r="D382">
        <v>100781.58590000001</v>
      </c>
      <c r="E382">
        <v>97364.445309999996</v>
      </c>
      <c r="F382">
        <v>99756.90625</v>
      </c>
      <c r="G382">
        <f>_xlfn.MAXIFS(Crypto[Close],Crypto[Name],Crypto[[#This Row],[Name]],Crypto[Date],"&lt;="&amp;Crypto[[#This Row],[Date]])</f>
        <v>102078.08590000001</v>
      </c>
      <c r="H382" s="3">
        <f>(Crypto[[#This Row],[Close]]/Crypto[[#This Row],[Peak Close]])-1</f>
        <v>-2.2739255243029666E-2</v>
      </c>
      <c r="I382">
        <v>100504.49219999999</v>
      </c>
      <c r="J382" s="1">
        <v>45672</v>
      </c>
      <c r="K382" s="3">
        <v>-7.43833368674036E-3</v>
      </c>
      <c r="L382">
        <v>54103781805</v>
      </c>
      <c r="M382" s="2" t="s">
        <v>12</v>
      </c>
    </row>
    <row r="383" spans="1:13" x14ac:dyDescent="0.3">
      <c r="A383" s="1">
        <v>45674</v>
      </c>
      <c r="B383" s="2" t="s">
        <v>11</v>
      </c>
      <c r="C383">
        <v>100025.7656</v>
      </c>
      <c r="D383">
        <v>105884.22659999999</v>
      </c>
      <c r="E383">
        <v>99948.90625</v>
      </c>
      <c r="F383">
        <v>104462.03909999999</v>
      </c>
      <c r="G383">
        <f>_xlfn.MAXIFS(Crypto[Close],Crypto[Name],Crypto[[#This Row],[Name]],Crypto[Date],"&lt;="&amp;Crypto[[#This Row],[Date]])</f>
        <v>104462.03909999999</v>
      </c>
      <c r="H383" s="3">
        <f>(Crypto[[#This Row],[Close]]/Crypto[[#This Row],[Peak Close]])-1</f>
        <v>0</v>
      </c>
      <c r="I383">
        <v>99756.90625</v>
      </c>
      <c r="J383" s="1">
        <v>45673</v>
      </c>
      <c r="K383" s="3">
        <v>4.7165986064248003E-2</v>
      </c>
      <c r="L383">
        <v>71888972663</v>
      </c>
      <c r="M383" s="2" t="s">
        <v>12</v>
      </c>
    </row>
    <row r="384" spans="1:13" x14ac:dyDescent="0.3">
      <c r="A384" s="1">
        <v>45675</v>
      </c>
      <c r="B384" s="2" t="s">
        <v>11</v>
      </c>
      <c r="C384">
        <v>104124.9531</v>
      </c>
      <c r="D384">
        <v>104913.2031</v>
      </c>
      <c r="E384">
        <v>102226.61719999999</v>
      </c>
      <c r="F384">
        <v>104408.07030000001</v>
      </c>
      <c r="G384">
        <f>_xlfn.MAXIFS(Crypto[Close],Crypto[Name],Crypto[[#This Row],[Name]],Crypto[Date],"&lt;="&amp;Crypto[[#This Row],[Date]])</f>
        <v>104462.03909999999</v>
      </c>
      <c r="H384" s="3">
        <f>(Crypto[[#This Row],[Close]]/Crypto[[#This Row],[Peak Close]])-1</f>
        <v>-5.1663552104630472E-4</v>
      </c>
      <c r="I384">
        <v>104462.03909999999</v>
      </c>
      <c r="J384" s="1">
        <v>45674</v>
      </c>
      <c r="K384" s="3">
        <v>-5.1663552104630299E-4</v>
      </c>
      <c r="L384">
        <v>50445655726</v>
      </c>
      <c r="M384" s="2" t="s">
        <v>12</v>
      </c>
    </row>
    <row r="385" spans="1:13" x14ac:dyDescent="0.3">
      <c r="A385" s="1">
        <v>45676</v>
      </c>
      <c r="B385" s="2" t="s">
        <v>11</v>
      </c>
      <c r="C385">
        <v>104411.28909999999</v>
      </c>
      <c r="D385">
        <v>106299.7969</v>
      </c>
      <c r="E385">
        <v>99570.53125</v>
      </c>
      <c r="F385">
        <v>101089.6094</v>
      </c>
      <c r="G385">
        <f>_xlfn.MAXIFS(Crypto[Close],Crypto[Name],Crypto[[#This Row],[Name]],Crypto[Date],"&lt;="&amp;Crypto[[#This Row],[Date]])</f>
        <v>104462.03909999999</v>
      </c>
      <c r="H385" s="3">
        <f>(Crypto[[#This Row],[Close]]/Crypto[[#This Row],[Peak Close]])-1</f>
        <v>-3.2283782023167396E-2</v>
      </c>
      <c r="I385">
        <v>104408.07030000001</v>
      </c>
      <c r="J385" s="1">
        <v>45675</v>
      </c>
      <c r="K385" s="3">
        <v>-3.1783567021830203E-2</v>
      </c>
      <c r="L385">
        <v>76789928525</v>
      </c>
      <c r="M385" s="2" t="s">
        <v>12</v>
      </c>
    </row>
    <row r="386" spans="1:13" x14ac:dyDescent="0.3">
      <c r="A386" s="1">
        <v>45677</v>
      </c>
      <c r="B386" s="2" t="s">
        <v>11</v>
      </c>
      <c r="C386">
        <v>101083.75</v>
      </c>
      <c r="D386">
        <v>109114.88280000001</v>
      </c>
      <c r="E386">
        <v>99471.359379999994</v>
      </c>
      <c r="F386">
        <v>102016.66409999999</v>
      </c>
      <c r="G386">
        <f>_xlfn.MAXIFS(Crypto[Close],Crypto[Name],Crypto[[#This Row],[Name]],Crypto[Date],"&lt;="&amp;Crypto[[#This Row],[Date]])</f>
        <v>104462.03909999999</v>
      </c>
      <c r="H386" s="3">
        <f>(Crypto[[#This Row],[Close]]/Crypto[[#This Row],[Peak Close]])-1</f>
        <v>-2.3409221388633661E-2</v>
      </c>
      <c r="I386">
        <v>101089.6094</v>
      </c>
      <c r="J386" s="1">
        <v>45676</v>
      </c>
      <c r="K386" s="3">
        <v>9.1706230294326709E-3</v>
      </c>
      <c r="L386">
        <v>126000000000</v>
      </c>
      <c r="M386" s="2" t="s">
        <v>12</v>
      </c>
    </row>
    <row r="387" spans="1:13" x14ac:dyDescent="0.3">
      <c r="A387" s="1">
        <v>45678</v>
      </c>
      <c r="B387" s="2" t="s">
        <v>11</v>
      </c>
      <c r="C387">
        <v>102052.5781</v>
      </c>
      <c r="D387">
        <v>107180.9219</v>
      </c>
      <c r="E387">
        <v>100103.9531</v>
      </c>
      <c r="F387">
        <v>106146.2656</v>
      </c>
      <c r="G387">
        <f>_xlfn.MAXIFS(Crypto[Close],Crypto[Name],Crypto[[#This Row],[Name]],Crypto[Date],"&lt;="&amp;Crypto[[#This Row],[Date]])</f>
        <v>106146.2656</v>
      </c>
      <c r="H387" s="3">
        <f>(Crypto[[#This Row],[Close]]/Crypto[[#This Row],[Peak Close]])-1</f>
        <v>0</v>
      </c>
      <c r="I387">
        <v>102016.66409999999</v>
      </c>
      <c r="J387" s="1">
        <v>45677</v>
      </c>
      <c r="K387" s="3">
        <v>4.0479675908163801E-2</v>
      </c>
      <c r="L387">
        <v>88733878242</v>
      </c>
      <c r="M387" s="2" t="s">
        <v>12</v>
      </c>
    </row>
    <row r="388" spans="1:13" x14ac:dyDescent="0.3">
      <c r="A388" s="1">
        <v>45679</v>
      </c>
      <c r="B388" s="2" t="s">
        <v>11</v>
      </c>
      <c r="C388">
        <v>106136.38280000001</v>
      </c>
      <c r="D388">
        <v>106294.3438</v>
      </c>
      <c r="E388">
        <v>103360.2656</v>
      </c>
      <c r="F388">
        <v>103653.07030000001</v>
      </c>
      <c r="G388">
        <f>_xlfn.MAXIFS(Crypto[Close],Crypto[Name],Crypto[[#This Row],[Name]],Crypto[Date],"&lt;="&amp;Crypto[[#This Row],[Date]])</f>
        <v>106146.2656</v>
      </c>
      <c r="H388" s="3">
        <f>(Crypto[[#This Row],[Close]]/Crypto[[#This Row],[Peak Close]])-1</f>
        <v>-2.3488299714615635E-2</v>
      </c>
      <c r="I388">
        <v>106146.2656</v>
      </c>
      <c r="J388" s="1">
        <v>45678</v>
      </c>
      <c r="K388" s="3">
        <v>-2.34882997146156E-2</v>
      </c>
      <c r="L388">
        <v>53878181052</v>
      </c>
      <c r="M388" s="2" t="s">
        <v>12</v>
      </c>
    </row>
    <row r="389" spans="1:13" x14ac:dyDescent="0.3">
      <c r="A389" s="1">
        <v>45680</v>
      </c>
      <c r="B389" s="2" t="s">
        <v>11</v>
      </c>
      <c r="C389">
        <v>103657.6719</v>
      </c>
      <c r="D389">
        <v>106820.3281</v>
      </c>
      <c r="E389">
        <v>101257.80469999999</v>
      </c>
      <c r="F389">
        <v>103960.1719</v>
      </c>
      <c r="G389">
        <f>_xlfn.MAXIFS(Crypto[Close],Crypto[Name],Crypto[[#This Row],[Name]],Crypto[Date],"&lt;="&amp;Crypto[[#This Row],[Date]])</f>
        <v>106146.2656</v>
      </c>
      <c r="H389" s="3">
        <f>(Crypto[[#This Row],[Close]]/Crypto[[#This Row],[Peak Close]])-1</f>
        <v>-2.0595107021833869E-2</v>
      </c>
      <c r="I389">
        <v>103653.07030000001</v>
      </c>
      <c r="J389" s="1">
        <v>45679</v>
      </c>
      <c r="K389" s="3">
        <v>2.9627834381669499E-3</v>
      </c>
      <c r="L389">
        <v>104000000000</v>
      </c>
      <c r="M389" s="2" t="s">
        <v>12</v>
      </c>
    </row>
    <row r="390" spans="1:13" x14ac:dyDescent="0.3">
      <c r="A390" s="1">
        <v>45681</v>
      </c>
      <c r="B390" s="2" t="s">
        <v>11</v>
      </c>
      <c r="C390">
        <v>103965.6719</v>
      </c>
      <c r="D390">
        <v>107098.5469</v>
      </c>
      <c r="E390">
        <v>102772.125</v>
      </c>
      <c r="F390">
        <v>104819.4844</v>
      </c>
      <c r="G390">
        <f>_xlfn.MAXIFS(Crypto[Close],Crypto[Name],Crypto[[#This Row],[Name]],Crypto[Date],"&lt;="&amp;Crypto[[#This Row],[Date]])</f>
        <v>106146.2656</v>
      </c>
      <c r="H390" s="3">
        <f>(Crypto[[#This Row],[Close]]/Crypto[[#This Row],[Peak Close]])-1</f>
        <v>-1.2499556084241581E-2</v>
      </c>
      <c r="I390">
        <v>103960.1719</v>
      </c>
      <c r="J390" s="1">
        <v>45680</v>
      </c>
      <c r="K390" s="3">
        <v>8.2657856782554998E-3</v>
      </c>
      <c r="L390">
        <v>52388229265</v>
      </c>
      <c r="M390" s="2" t="s">
        <v>12</v>
      </c>
    </row>
    <row r="391" spans="1:13" x14ac:dyDescent="0.3">
      <c r="A391" s="1">
        <v>45682</v>
      </c>
      <c r="B391" s="2" t="s">
        <v>11</v>
      </c>
      <c r="C391">
        <v>104824.0313</v>
      </c>
      <c r="D391">
        <v>105243.78909999999</v>
      </c>
      <c r="E391">
        <v>104120.375</v>
      </c>
      <c r="F391">
        <v>104714.64840000001</v>
      </c>
      <c r="G391">
        <f>_xlfn.MAXIFS(Crypto[Close],Crypto[Name],Crypto[[#This Row],[Name]],Crypto[Date],"&lt;="&amp;Crypto[[#This Row],[Date]])</f>
        <v>106146.2656</v>
      </c>
      <c r="H391" s="3">
        <f>(Crypto[[#This Row],[Close]]/Crypto[[#This Row],[Peak Close]])-1</f>
        <v>-1.3487212121007452E-2</v>
      </c>
      <c r="I391">
        <v>104819.4844</v>
      </c>
      <c r="J391" s="1">
        <v>45681</v>
      </c>
      <c r="K391" s="3">
        <v>-1.00015756230905E-3</v>
      </c>
      <c r="L391">
        <v>23888996502</v>
      </c>
      <c r="M391" s="2" t="s">
        <v>12</v>
      </c>
    </row>
    <row r="392" spans="1:13" x14ac:dyDescent="0.3">
      <c r="A392" s="1">
        <v>45683</v>
      </c>
      <c r="B392" s="2" t="s">
        <v>11</v>
      </c>
      <c r="C392">
        <v>104713.21090000001</v>
      </c>
      <c r="D392">
        <v>105438.64840000001</v>
      </c>
      <c r="E392">
        <v>102507.71090000001</v>
      </c>
      <c r="F392">
        <v>102682.5</v>
      </c>
      <c r="G392">
        <f>_xlfn.MAXIFS(Crypto[Close],Crypto[Name],Crypto[[#This Row],[Name]],Crypto[Date],"&lt;="&amp;Crypto[[#This Row],[Date]])</f>
        <v>106146.2656</v>
      </c>
      <c r="H392" s="3">
        <f>(Crypto[[#This Row],[Close]]/Crypto[[#This Row],[Peak Close]])-1</f>
        <v>-3.2632006226698596E-2</v>
      </c>
      <c r="I392">
        <v>104714.64840000001</v>
      </c>
      <c r="J392" s="1">
        <v>45682</v>
      </c>
      <c r="K392" s="3">
        <v>-1.9406534148282601E-2</v>
      </c>
      <c r="L392">
        <v>22543395879</v>
      </c>
      <c r="M392" s="2" t="s">
        <v>12</v>
      </c>
    </row>
    <row r="393" spans="1:13" x14ac:dyDescent="0.3">
      <c r="A393" s="1">
        <v>45684</v>
      </c>
      <c r="B393" s="2" t="s">
        <v>11</v>
      </c>
      <c r="C393">
        <v>102680.30469999999</v>
      </c>
      <c r="D393">
        <v>103214.1094</v>
      </c>
      <c r="E393">
        <v>97795.9375</v>
      </c>
      <c r="F393">
        <v>102087.6875</v>
      </c>
      <c r="G393">
        <f>_xlfn.MAXIFS(Crypto[Close],Crypto[Name],Crypto[[#This Row],[Name]],Crypto[Date],"&lt;="&amp;Crypto[[#This Row],[Date]])</f>
        <v>106146.2656</v>
      </c>
      <c r="H393" s="3">
        <f>(Crypto[[#This Row],[Close]]/Crypto[[#This Row],[Peak Close]])-1</f>
        <v>-3.8235712552472489E-2</v>
      </c>
      <c r="I393">
        <v>102682.5</v>
      </c>
      <c r="J393" s="1">
        <v>45683</v>
      </c>
      <c r="K393" s="3">
        <v>-5.7927348866652004E-3</v>
      </c>
      <c r="L393">
        <v>89006608428</v>
      </c>
      <c r="M393" s="2" t="s">
        <v>12</v>
      </c>
    </row>
    <row r="394" spans="1:13" x14ac:dyDescent="0.3">
      <c r="A394" s="1">
        <v>45685</v>
      </c>
      <c r="B394" s="2" t="s">
        <v>11</v>
      </c>
      <c r="C394">
        <v>102095.41409999999</v>
      </c>
      <c r="D394">
        <v>103730.82030000001</v>
      </c>
      <c r="E394">
        <v>100238.1875</v>
      </c>
      <c r="F394">
        <v>101332.47659999999</v>
      </c>
      <c r="G394">
        <f>_xlfn.MAXIFS(Crypto[Close],Crypto[Name],Crypto[[#This Row],[Name]],Crypto[Date],"&lt;="&amp;Crypto[[#This Row],[Date]])</f>
        <v>106146.2656</v>
      </c>
      <c r="H394" s="3">
        <f>(Crypto[[#This Row],[Close]]/Crypto[[#This Row],[Peak Close]])-1</f>
        <v>-4.5350526208243758E-2</v>
      </c>
      <c r="I394">
        <v>102087.6875</v>
      </c>
      <c r="J394" s="1">
        <v>45684</v>
      </c>
      <c r="K394" s="3">
        <v>-7.3976687933107101E-3</v>
      </c>
      <c r="L394">
        <v>47180685494</v>
      </c>
      <c r="M394" s="2" t="s">
        <v>12</v>
      </c>
    </row>
    <row r="395" spans="1:13" x14ac:dyDescent="0.3">
      <c r="A395" s="1">
        <v>45686</v>
      </c>
      <c r="B395" s="2" t="s">
        <v>11</v>
      </c>
      <c r="C395">
        <v>101317.52340000001</v>
      </c>
      <c r="D395">
        <v>104750.80469999999</v>
      </c>
      <c r="E395">
        <v>101283.82030000001</v>
      </c>
      <c r="F395">
        <v>103703.21090000001</v>
      </c>
      <c r="G395">
        <f>_xlfn.MAXIFS(Crypto[Close],Crypto[Name],Crypto[[#This Row],[Name]],Crypto[Date],"&lt;="&amp;Crypto[[#This Row],[Date]])</f>
        <v>106146.2656</v>
      </c>
      <c r="H395" s="3">
        <f>(Crypto[[#This Row],[Close]]/Crypto[[#This Row],[Peak Close]])-1</f>
        <v>-2.3015926996493352E-2</v>
      </c>
      <c r="I395">
        <v>101332.47659999999</v>
      </c>
      <c r="J395" s="1">
        <v>45685</v>
      </c>
      <c r="K395" s="3">
        <v>2.33956020768964E-2</v>
      </c>
      <c r="L395">
        <v>47432049818</v>
      </c>
      <c r="M395" s="2" t="s">
        <v>12</v>
      </c>
    </row>
    <row r="396" spans="1:13" x14ac:dyDescent="0.3">
      <c r="A396" s="1">
        <v>45687</v>
      </c>
      <c r="B396" s="2" t="s">
        <v>11</v>
      </c>
      <c r="C396">
        <v>103709.33590000001</v>
      </c>
      <c r="D396">
        <v>106418.7656</v>
      </c>
      <c r="E396">
        <v>103321.64840000001</v>
      </c>
      <c r="F396">
        <v>104735.30469999999</v>
      </c>
      <c r="G396">
        <f>_xlfn.MAXIFS(Crypto[Close],Crypto[Name],Crypto[[#This Row],[Name]],Crypto[Date],"&lt;="&amp;Crypto[[#This Row],[Date]])</f>
        <v>106146.2656</v>
      </c>
      <c r="H396" s="3">
        <f>(Crypto[[#This Row],[Close]]/Crypto[[#This Row],[Peak Close]])-1</f>
        <v>-1.3292609890931506E-2</v>
      </c>
      <c r="I396">
        <v>103703.21090000001</v>
      </c>
      <c r="J396" s="1">
        <v>45686</v>
      </c>
      <c r="K396" s="3">
        <v>9.9523803654953894E-3</v>
      </c>
      <c r="L396">
        <v>41915744521</v>
      </c>
      <c r="M396" s="2" t="s">
        <v>12</v>
      </c>
    </row>
    <row r="397" spans="1:13" x14ac:dyDescent="0.3">
      <c r="A397" s="1">
        <v>45688</v>
      </c>
      <c r="B397" s="2" t="s">
        <v>11</v>
      </c>
      <c r="C397">
        <v>104737.5625</v>
      </c>
      <c r="D397">
        <v>106026.35159999999</v>
      </c>
      <c r="E397">
        <v>101543.88280000001</v>
      </c>
      <c r="F397">
        <v>102405.02340000001</v>
      </c>
      <c r="G397">
        <f>_xlfn.MAXIFS(Crypto[Close],Crypto[Name],Crypto[[#This Row],[Name]],Crypto[Date],"&lt;="&amp;Crypto[[#This Row],[Date]])</f>
        <v>106146.2656</v>
      </c>
      <c r="H397" s="3">
        <f>(Crypto[[#This Row],[Close]]/Crypto[[#This Row],[Peak Close]])-1</f>
        <v>-3.5246102901994036E-2</v>
      </c>
      <c r="I397">
        <v>104735.30469999999</v>
      </c>
      <c r="J397" s="1">
        <v>45687</v>
      </c>
      <c r="K397" s="3">
        <v>-2.2249243525616899E-2</v>
      </c>
      <c r="L397">
        <v>45732764360</v>
      </c>
      <c r="M397" s="2" t="s">
        <v>12</v>
      </c>
    </row>
    <row r="398" spans="1:13" x14ac:dyDescent="0.3">
      <c r="A398" s="1">
        <v>45689</v>
      </c>
      <c r="B398" s="2" t="s">
        <v>11</v>
      </c>
      <c r="C398">
        <v>102402.7969</v>
      </c>
      <c r="D398">
        <v>102755.72659999999</v>
      </c>
      <c r="E398">
        <v>100297.71090000001</v>
      </c>
      <c r="F398">
        <v>100655.9063</v>
      </c>
      <c r="G398">
        <f>_xlfn.MAXIFS(Crypto[Close],Crypto[Name],Crypto[[#This Row],[Name]],Crypto[Date],"&lt;="&amp;Crypto[[#This Row],[Date]])</f>
        <v>106146.2656</v>
      </c>
      <c r="H398" s="3">
        <f>(Crypto[[#This Row],[Close]]/Crypto[[#This Row],[Peak Close]])-1</f>
        <v>-5.1724469711348919E-2</v>
      </c>
      <c r="I398">
        <v>102405.02340000001</v>
      </c>
      <c r="J398" s="1">
        <v>45688</v>
      </c>
      <c r="K398" s="3">
        <v>-1.7080383773439001E-2</v>
      </c>
      <c r="L398">
        <v>27757944848</v>
      </c>
      <c r="M398" s="2" t="s">
        <v>12</v>
      </c>
    </row>
    <row r="399" spans="1:13" x14ac:dyDescent="0.3">
      <c r="A399" s="1">
        <v>45690</v>
      </c>
      <c r="B399" s="2" t="s">
        <v>11</v>
      </c>
      <c r="C399">
        <v>100661.53909999999</v>
      </c>
      <c r="D399">
        <v>101430.66409999999</v>
      </c>
      <c r="E399">
        <v>96216.078129999994</v>
      </c>
      <c r="F399">
        <v>97688.976559999996</v>
      </c>
      <c r="G399">
        <f>_xlfn.MAXIFS(Crypto[Close],Crypto[Name],Crypto[[#This Row],[Name]],Crypto[Date],"&lt;="&amp;Crypto[[#This Row],[Date]])</f>
        <v>106146.2656</v>
      </c>
      <c r="H399" s="3">
        <f>(Crypto[[#This Row],[Close]]/Crypto[[#This Row],[Peak Close]])-1</f>
        <v>-7.9675803874912798E-2</v>
      </c>
      <c r="I399">
        <v>100655.9063</v>
      </c>
      <c r="J399" s="1">
        <v>45689</v>
      </c>
      <c r="K399" s="3">
        <v>-2.9475962703641199E-2</v>
      </c>
      <c r="L399">
        <v>63091816853</v>
      </c>
      <c r="M399" s="2" t="s">
        <v>12</v>
      </c>
    </row>
    <row r="400" spans="1:13" x14ac:dyDescent="0.3">
      <c r="A400" s="1">
        <v>45691</v>
      </c>
      <c r="B400" s="2" t="s">
        <v>11</v>
      </c>
      <c r="C400">
        <v>97681.101559999996</v>
      </c>
      <c r="D400">
        <v>102514.1719</v>
      </c>
      <c r="E400">
        <v>91242.890629999994</v>
      </c>
      <c r="F400">
        <v>101405.4219</v>
      </c>
      <c r="G400">
        <f>_xlfn.MAXIFS(Crypto[Close],Crypto[Name],Crypto[[#This Row],[Name]],Crypto[Date],"&lt;="&amp;Crypto[[#This Row],[Date]])</f>
        <v>106146.2656</v>
      </c>
      <c r="H400" s="3">
        <f>(Crypto[[#This Row],[Close]]/Crypto[[#This Row],[Peak Close]])-1</f>
        <v>-4.4663311263962169E-2</v>
      </c>
      <c r="I400">
        <v>97688.976559999996</v>
      </c>
      <c r="J400" s="1">
        <v>45690</v>
      </c>
      <c r="K400" s="3">
        <v>3.8043651094219297E-2</v>
      </c>
      <c r="L400">
        <v>115000000000</v>
      </c>
      <c r="M400" s="2" t="s">
        <v>12</v>
      </c>
    </row>
    <row r="401" spans="1:13" x14ac:dyDescent="0.3">
      <c r="A401" s="1">
        <v>45692</v>
      </c>
      <c r="B401" s="2" t="s">
        <v>11</v>
      </c>
      <c r="C401">
        <v>101398.7188</v>
      </c>
      <c r="D401">
        <v>101745.61719999999</v>
      </c>
      <c r="E401">
        <v>96208.109379999994</v>
      </c>
      <c r="F401">
        <v>97871.820309999996</v>
      </c>
      <c r="G401">
        <f>_xlfn.MAXIFS(Crypto[Close],Crypto[Name],Crypto[[#This Row],[Name]],Crypto[Date],"&lt;="&amp;Crypto[[#This Row],[Date]])</f>
        <v>106146.2656</v>
      </c>
      <c r="H401" s="3">
        <f>(Crypto[[#This Row],[Close]]/Crypto[[#This Row],[Peak Close]])-1</f>
        <v>-7.795323974167212E-2</v>
      </c>
      <c r="I401">
        <v>101405.4219</v>
      </c>
      <c r="J401" s="1">
        <v>45691</v>
      </c>
      <c r="K401" s="3">
        <v>-3.4846278668261302E-2</v>
      </c>
      <c r="L401">
        <v>73002130211</v>
      </c>
      <c r="M401" s="2" t="s">
        <v>12</v>
      </c>
    </row>
    <row r="402" spans="1:13" x14ac:dyDescent="0.3">
      <c r="A402" s="1">
        <v>45693</v>
      </c>
      <c r="B402" s="2" t="s">
        <v>11</v>
      </c>
      <c r="C402">
        <v>97878.007809999996</v>
      </c>
      <c r="D402">
        <v>99113.210940000004</v>
      </c>
      <c r="E402">
        <v>96174.828129999994</v>
      </c>
      <c r="F402">
        <v>96615.445309999996</v>
      </c>
      <c r="G402">
        <f>_xlfn.MAXIFS(Crypto[Close],Crypto[Name],Crypto[[#This Row],[Name]],Crypto[Date],"&lt;="&amp;Crypto[[#This Row],[Date]])</f>
        <v>106146.2656</v>
      </c>
      <c r="H402" s="3">
        <f>(Crypto[[#This Row],[Close]]/Crypto[[#This Row],[Peak Close]])-1</f>
        <v>-8.97895016478093E-2</v>
      </c>
      <c r="I402">
        <v>97871.820309999996</v>
      </c>
      <c r="J402" s="1">
        <v>45692</v>
      </c>
      <c r="K402" s="3">
        <v>-1.2836943218390601E-2</v>
      </c>
      <c r="L402">
        <v>49125911241</v>
      </c>
      <c r="M402" s="2" t="s">
        <v>12</v>
      </c>
    </row>
    <row r="403" spans="1:13" x14ac:dyDescent="0.3">
      <c r="A403" s="1">
        <v>45694</v>
      </c>
      <c r="B403" s="2" t="s">
        <v>11</v>
      </c>
      <c r="C403">
        <v>96610.640629999994</v>
      </c>
      <c r="D403">
        <v>99168.609379999994</v>
      </c>
      <c r="E403">
        <v>95707.351559999996</v>
      </c>
      <c r="F403">
        <v>96593.296879999994</v>
      </c>
      <c r="G403">
        <f>_xlfn.MAXIFS(Crypto[Close],Crypto[Name],Crypto[[#This Row],[Name]],Crypto[Date],"&lt;="&amp;Crypto[[#This Row],[Date]])</f>
        <v>106146.2656</v>
      </c>
      <c r="H403" s="3">
        <f>(Crypto[[#This Row],[Close]]/Crypto[[#This Row],[Peak Close]])-1</f>
        <v>-8.9998161178832858E-2</v>
      </c>
      <c r="I403">
        <v>96615.445309999996</v>
      </c>
      <c r="J403" s="1">
        <v>45693</v>
      </c>
      <c r="K403" s="3">
        <v>-2.2924316012761401E-4</v>
      </c>
      <c r="L403">
        <v>45302471947</v>
      </c>
      <c r="M403" s="2" t="s">
        <v>12</v>
      </c>
    </row>
    <row r="404" spans="1:13" x14ac:dyDescent="0.3">
      <c r="A404" s="1">
        <v>45695</v>
      </c>
      <c r="B404" s="2" t="s">
        <v>11</v>
      </c>
      <c r="C404">
        <v>96581.320309999996</v>
      </c>
      <c r="D404">
        <v>100154.1406</v>
      </c>
      <c r="E404">
        <v>95653.882809999996</v>
      </c>
      <c r="F404">
        <v>96529.085940000004</v>
      </c>
      <c r="G404">
        <f>_xlfn.MAXIFS(Crypto[Close],Crypto[Name],Crypto[[#This Row],[Name]],Crypto[Date],"&lt;="&amp;Crypto[[#This Row],[Date]])</f>
        <v>106146.2656</v>
      </c>
      <c r="H404" s="3">
        <f>(Crypto[[#This Row],[Close]]/Crypto[[#This Row],[Peak Close]])-1</f>
        <v>-9.0603090044083401E-2</v>
      </c>
      <c r="I404">
        <v>96593.296879999994</v>
      </c>
      <c r="J404" s="1">
        <v>45694</v>
      </c>
      <c r="K404" s="3">
        <v>-6.6475565152062895E-4</v>
      </c>
      <c r="L404">
        <v>55741290456</v>
      </c>
      <c r="M404" s="2" t="s">
        <v>12</v>
      </c>
    </row>
    <row r="405" spans="1:13" x14ac:dyDescent="0.3">
      <c r="A405" s="1">
        <v>45696</v>
      </c>
      <c r="B405" s="2" t="s">
        <v>11</v>
      </c>
      <c r="C405">
        <v>96533.257809999996</v>
      </c>
      <c r="D405">
        <v>96877.804690000004</v>
      </c>
      <c r="E405">
        <v>95702.492190000004</v>
      </c>
      <c r="F405">
        <v>96482.453129999994</v>
      </c>
      <c r="G405">
        <f>_xlfn.MAXIFS(Crypto[Close],Crypto[Name],Crypto[[#This Row],[Name]],Crypto[Date],"&lt;="&amp;Crypto[[#This Row],[Date]])</f>
        <v>106146.2656</v>
      </c>
      <c r="H405" s="3">
        <f>(Crypto[[#This Row],[Close]]/Crypto[[#This Row],[Peak Close]])-1</f>
        <v>-9.1042416003752513E-2</v>
      </c>
      <c r="I405">
        <v>96529.085940000004</v>
      </c>
      <c r="J405" s="1">
        <v>45695</v>
      </c>
      <c r="K405" s="3">
        <v>-4.8309594508121398E-4</v>
      </c>
      <c r="L405">
        <v>22447526395</v>
      </c>
      <c r="M405" s="2" t="s">
        <v>12</v>
      </c>
    </row>
    <row r="406" spans="1:13" x14ac:dyDescent="0.3">
      <c r="A406" s="1">
        <v>45697</v>
      </c>
      <c r="B406" s="2" t="s">
        <v>11</v>
      </c>
      <c r="C406">
        <v>96481.3125</v>
      </c>
      <c r="D406">
        <v>97325.28125</v>
      </c>
      <c r="E406">
        <v>94745.257809999996</v>
      </c>
      <c r="F406">
        <v>96500.09375</v>
      </c>
      <c r="G406">
        <f>_xlfn.MAXIFS(Crypto[Close],Crypto[Name],Crypto[[#This Row],[Name]],Crypto[Date],"&lt;="&amp;Crypto[[#This Row],[Date]])</f>
        <v>106146.2656</v>
      </c>
      <c r="H406" s="3">
        <f>(Crypto[[#This Row],[Close]]/Crypto[[#This Row],[Peak Close]])-1</f>
        <v>-9.0876224382216986E-2</v>
      </c>
      <c r="I406">
        <v>96482.453129999994</v>
      </c>
      <c r="J406" s="1">
        <v>45696</v>
      </c>
      <c r="K406" s="3">
        <v>1.8283759821318701E-4</v>
      </c>
      <c r="L406">
        <v>27732901800</v>
      </c>
      <c r="M406" s="2" t="s">
        <v>12</v>
      </c>
    </row>
    <row r="407" spans="1:13" x14ac:dyDescent="0.3">
      <c r="A407" s="1">
        <v>45698</v>
      </c>
      <c r="B407" s="2" t="s">
        <v>11</v>
      </c>
      <c r="C407">
        <v>96499.460940000004</v>
      </c>
      <c r="D407">
        <v>98333.21875</v>
      </c>
      <c r="E407">
        <v>95320.84375</v>
      </c>
      <c r="F407">
        <v>97437.554690000004</v>
      </c>
      <c r="G407">
        <f>_xlfn.MAXIFS(Crypto[Close],Crypto[Name],Crypto[[#This Row],[Name]],Crypto[Date],"&lt;="&amp;Crypto[[#This Row],[Date]])</f>
        <v>106146.2656</v>
      </c>
      <c r="H407" s="3">
        <f>(Crypto[[#This Row],[Close]]/Crypto[[#This Row],[Peak Close]])-1</f>
        <v>-8.2044439912919542E-2</v>
      </c>
      <c r="I407">
        <v>96500.09375</v>
      </c>
      <c r="J407" s="1">
        <v>45697</v>
      </c>
      <c r="K407" s="3">
        <v>9.7146117021259804E-3</v>
      </c>
      <c r="L407">
        <v>40078962391</v>
      </c>
      <c r="M407" s="2" t="s">
        <v>12</v>
      </c>
    </row>
    <row r="408" spans="1:13" x14ac:dyDescent="0.3">
      <c r="A408" s="1">
        <v>45699</v>
      </c>
      <c r="B408" s="2" t="s">
        <v>11</v>
      </c>
      <c r="C408">
        <v>97438.132809999996</v>
      </c>
      <c r="D408">
        <v>98492.898440000004</v>
      </c>
      <c r="E408">
        <v>94875.039059999996</v>
      </c>
      <c r="F408">
        <v>95747.429690000004</v>
      </c>
      <c r="G408">
        <f>_xlfn.MAXIFS(Crypto[Close],Crypto[Name],Crypto[[#This Row],[Name]],Crypto[Date],"&lt;="&amp;Crypto[[#This Row],[Date]])</f>
        <v>106146.2656</v>
      </c>
      <c r="H408" s="3">
        <f>(Crypto[[#This Row],[Close]]/Crypto[[#This Row],[Peak Close]])-1</f>
        <v>-9.7967044353560295E-2</v>
      </c>
      <c r="I408">
        <v>97437.554690000004</v>
      </c>
      <c r="J408" s="1">
        <v>45698</v>
      </c>
      <c r="K408" s="3">
        <v>-1.7345724709298901E-2</v>
      </c>
      <c r="L408">
        <v>37488783272</v>
      </c>
      <c r="M408" s="2" t="s">
        <v>12</v>
      </c>
    </row>
    <row r="409" spans="1:13" x14ac:dyDescent="0.3">
      <c r="A409" s="1">
        <v>45700</v>
      </c>
      <c r="B409" s="2" t="s">
        <v>11</v>
      </c>
      <c r="C409">
        <v>95745.695309999996</v>
      </c>
      <c r="D409">
        <v>98151.023440000004</v>
      </c>
      <c r="E409">
        <v>94101.203129999994</v>
      </c>
      <c r="F409">
        <v>97885.859379999994</v>
      </c>
      <c r="G409">
        <f>_xlfn.MAXIFS(Crypto[Close],Crypto[Name],Crypto[[#This Row],[Name]],Crypto[Date],"&lt;="&amp;Crypto[[#This Row],[Date]])</f>
        <v>106146.2656</v>
      </c>
      <c r="H409" s="3">
        <f>(Crypto[[#This Row],[Close]]/Crypto[[#This Row],[Peak Close]])-1</f>
        <v>-7.7820978188044787E-2</v>
      </c>
      <c r="I409">
        <v>95747.429690000004</v>
      </c>
      <c r="J409" s="1">
        <v>45699</v>
      </c>
      <c r="K409" s="3">
        <v>2.2334068882303701E-2</v>
      </c>
      <c r="L409">
        <v>49340445530</v>
      </c>
      <c r="M409" s="2" t="s">
        <v>12</v>
      </c>
    </row>
    <row r="410" spans="1:13" x14ac:dyDescent="0.3">
      <c r="A410" s="1">
        <v>45701</v>
      </c>
      <c r="B410" s="2" t="s">
        <v>11</v>
      </c>
      <c r="C410">
        <v>97888.75</v>
      </c>
      <c r="D410">
        <v>98111.085940000004</v>
      </c>
      <c r="E410">
        <v>95269.710940000004</v>
      </c>
      <c r="F410">
        <v>96623.867190000004</v>
      </c>
      <c r="G410">
        <f>_xlfn.MAXIFS(Crypto[Close],Crypto[Name],Crypto[[#This Row],[Name]],Crypto[Date],"&lt;="&amp;Crypto[[#This Row],[Date]])</f>
        <v>106146.2656</v>
      </c>
      <c r="H410" s="3">
        <f>(Crypto[[#This Row],[Close]]/Crypto[[#This Row],[Peak Close]])-1</f>
        <v>-8.9710159431176439E-2</v>
      </c>
      <c r="I410">
        <v>97885.859379999994</v>
      </c>
      <c r="J410" s="1">
        <v>45700</v>
      </c>
      <c r="K410" s="3">
        <v>-1.2892487209014E-2</v>
      </c>
      <c r="L410">
        <v>37147280860</v>
      </c>
      <c r="M410" s="2" t="s">
        <v>12</v>
      </c>
    </row>
    <row r="411" spans="1:13" x14ac:dyDescent="0.3">
      <c r="A411" s="1">
        <v>45702</v>
      </c>
      <c r="B411" s="2" t="s">
        <v>11</v>
      </c>
      <c r="C411">
        <v>96623.367190000004</v>
      </c>
      <c r="D411">
        <v>98819.46875</v>
      </c>
      <c r="E411">
        <v>96342.804690000004</v>
      </c>
      <c r="F411">
        <v>97508.96875</v>
      </c>
      <c r="G411">
        <f>_xlfn.MAXIFS(Crypto[Close],Crypto[Name],Crypto[[#This Row],[Name]],Crypto[Date],"&lt;="&amp;Crypto[[#This Row],[Date]])</f>
        <v>106146.2656</v>
      </c>
      <c r="H411" s="3">
        <f>(Crypto[[#This Row],[Close]]/Crypto[[#This Row],[Peak Close]])-1</f>
        <v>-8.1371650723433442E-2</v>
      </c>
      <c r="I411">
        <v>96623.867190000004</v>
      </c>
      <c r="J411" s="1">
        <v>45701</v>
      </c>
      <c r="K411" s="3">
        <v>9.1602787772874193E-3</v>
      </c>
      <c r="L411">
        <v>32697987277</v>
      </c>
      <c r="M411" s="2" t="s">
        <v>12</v>
      </c>
    </row>
    <row r="412" spans="1:13" x14ac:dyDescent="0.3">
      <c r="A412" s="1">
        <v>45703</v>
      </c>
      <c r="B412" s="2" t="s">
        <v>11</v>
      </c>
      <c r="C412">
        <v>97508.382809999996</v>
      </c>
      <c r="D412">
        <v>97975.039059999996</v>
      </c>
      <c r="E412">
        <v>97240.195309999996</v>
      </c>
      <c r="F412">
        <v>97580.351559999996</v>
      </c>
      <c r="G412">
        <f>_xlfn.MAXIFS(Crypto[Close],Crypto[Name],Crypto[[#This Row],[Name]],Crypto[Date],"&lt;="&amp;Crypto[[#This Row],[Date]])</f>
        <v>106146.2656</v>
      </c>
      <c r="H412" s="3">
        <f>(Crypto[[#This Row],[Close]]/Crypto[[#This Row],[Peak Close]])-1</f>
        <v>-8.0699155939029099E-2</v>
      </c>
      <c r="I412">
        <v>97508.96875</v>
      </c>
      <c r="J412" s="1">
        <v>45702</v>
      </c>
      <c r="K412" s="3">
        <v>7.3206404410871705E-4</v>
      </c>
      <c r="L412">
        <v>17047266288</v>
      </c>
      <c r="M412" s="2" t="s">
        <v>12</v>
      </c>
    </row>
    <row r="413" spans="1:13" x14ac:dyDescent="0.3">
      <c r="A413" s="1">
        <v>45704</v>
      </c>
      <c r="B413" s="2" t="s">
        <v>11</v>
      </c>
      <c r="C413">
        <v>97580.492190000004</v>
      </c>
      <c r="D413">
        <v>97725.59375</v>
      </c>
      <c r="E413">
        <v>96060.976559999996</v>
      </c>
      <c r="F413">
        <v>96175.03125</v>
      </c>
      <c r="G413">
        <f>_xlfn.MAXIFS(Crypto[Close],Crypto[Name],Crypto[[#This Row],[Name]],Crypto[Date],"&lt;="&amp;Crypto[[#This Row],[Date]])</f>
        <v>106146.2656</v>
      </c>
      <c r="H413" s="3">
        <f>(Crypto[[#This Row],[Close]]/Crypto[[#This Row],[Peak Close]])-1</f>
        <v>-9.3938626042440854E-2</v>
      </c>
      <c r="I413">
        <v>97580.351559999996</v>
      </c>
      <c r="J413" s="1">
        <v>45703</v>
      </c>
      <c r="K413" s="3">
        <v>-1.44016729549893E-2</v>
      </c>
      <c r="L413">
        <v>16536755396</v>
      </c>
      <c r="M413" s="2" t="s">
        <v>12</v>
      </c>
    </row>
    <row r="414" spans="1:13" x14ac:dyDescent="0.3">
      <c r="A414" s="1">
        <v>45705</v>
      </c>
      <c r="B414" s="2" t="s">
        <v>11</v>
      </c>
      <c r="C414">
        <v>96179.007809999996</v>
      </c>
      <c r="D414">
        <v>97032.234379999994</v>
      </c>
      <c r="E414">
        <v>95243.546879999994</v>
      </c>
      <c r="F414">
        <v>95773.382809999996</v>
      </c>
      <c r="G414">
        <f>_xlfn.MAXIFS(Crypto[Close],Crypto[Name],Crypto[[#This Row],[Name]],Crypto[Date],"&lt;="&amp;Crypto[[#This Row],[Date]])</f>
        <v>106146.2656</v>
      </c>
      <c r="H414" s="3">
        <f>(Crypto[[#This Row],[Close]]/Crypto[[#This Row],[Peak Close]])-1</f>
        <v>-9.772254098028299E-2</v>
      </c>
      <c r="I414">
        <v>96175.03125</v>
      </c>
      <c r="J414" s="1">
        <v>45704</v>
      </c>
      <c r="K414" s="3">
        <v>-4.17622364952446E-3</v>
      </c>
      <c r="L414">
        <v>27336550690</v>
      </c>
      <c r="M414" s="2" t="s">
        <v>12</v>
      </c>
    </row>
    <row r="415" spans="1:13" x14ac:dyDescent="0.3">
      <c r="A415" s="1">
        <v>45706</v>
      </c>
      <c r="B415" s="2" t="s">
        <v>11</v>
      </c>
      <c r="C415">
        <v>95773.8125</v>
      </c>
      <c r="D415">
        <v>96695.375</v>
      </c>
      <c r="E415">
        <v>93388.835940000004</v>
      </c>
      <c r="F415">
        <v>95539.546879999994</v>
      </c>
      <c r="G415">
        <f>_xlfn.MAXIFS(Crypto[Close],Crypto[Name],Crypto[[#This Row],[Name]],Crypto[Date],"&lt;="&amp;Crypto[[#This Row],[Date]])</f>
        <v>106146.2656</v>
      </c>
      <c r="H415" s="3">
        <f>(Crypto[[#This Row],[Close]]/Crypto[[#This Row],[Peak Close]])-1</f>
        <v>-9.9925500534990164E-2</v>
      </c>
      <c r="I415">
        <v>95773.382809999996</v>
      </c>
      <c r="J415" s="1">
        <v>45705</v>
      </c>
      <c r="K415" s="3">
        <v>-2.4415544605320698E-3</v>
      </c>
      <c r="L415">
        <v>37325720482</v>
      </c>
      <c r="M415" s="2" t="s">
        <v>12</v>
      </c>
    </row>
    <row r="416" spans="1:13" x14ac:dyDescent="0.3">
      <c r="A416" s="1">
        <v>45707</v>
      </c>
      <c r="B416" s="2" t="s">
        <v>11</v>
      </c>
      <c r="C416">
        <v>95532.53125</v>
      </c>
      <c r="D416">
        <v>96855.59375</v>
      </c>
      <c r="E416">
        <v>95011.96875</v>
      </c>
      <c r="F416">
        <v>96635.609379999994</v>
      </c>
      <c r="G416">
        <f>_xlfn.MAXIFS(Crypto[Close],Crypto[Name],Crypto[[#This Row],[Name]],Crypto[Date],"&lt;="&amp;Crypto[[#This Row],[Date]])</f>
        <v>106146.2656</v>
      </c>
      <c r="H416" s="3">
        <f>(Crypto[[#This Row],[Close]]/Crypto[[#This Row],[Peak Close]])-1</f>
        <v>-8.9599536698161564E-2</v>
      </c>
      <c r="I416">
        <v>95539.546879999994</v>
      </c>
      <c r="J416" s="1">
        <v>45706</v>
      </c>
      <c r="K416" s="3">
        <v>1.14723435037501E-2</v>
      </c>
      <c r="L416">
        <v>28990872862</v>
      </c>
      <c r="M416" s="2" t="s">
        <v>12</v>
      </c>
    </row>
    <row r="417" spans="1:13" x14ac:dyDescent="0.3">
      <c r="A417" s="1">
        <v>45708</v>
      </c>
      <c r="B417" s="2" t="s">
        <v>11</v>
      </c>
      <c r="C417">
        <v>96632.679690000004</v>
      </c>
      <c r="D417">
        <v>98767.195309999996</v>
      </c>
      <c r="E417">
        <v>96442.671879999994</v>
      </c>
      <c r="F417">
        <v>98333.9375</v>
      </c>
      <c r="G417">
        <f>_xlfn.MAXIFS(Crypto[Close],Crypto[Name],Crypto[[#This Row],[Name]],Crypto[Date],"&lt;="&amp;Crypto[[#This Row],[Date]])</f>
        <v>106146.2656</v>
      </c>
      <c r="H417" s="3">
        <f>(Crypto[[#This Row],[Close]]/Crypto[[#This Row],[Peak Close]])-1</f>
        <v>-7.3599650970669672E-2</v>
      </c>
      <c r="I417">
        <v>96635.609379999994</v>
      </c>
      <c r="J417" s="1">
        <v>45707</v>
      </c>
      <c r="K417" s="3">
        <v>1.7574557980192099E-2</v>
      </c>
      <c r="L417">
        <v>31668022771</v>
      </c>
      <c r="M417" s="2" t="s">
        <v>12</v>
      </c>
    </row>
    <row r="418" spans="1:13" x14ac:dyDescent="0.3">
      <c r="A418" s="1">
        <v>45709</v>
      </c>
      <c r="B418" s="2" t="s">
        <v>11</v>
      </c>
      <c r="C418">
        <v>98340.671879999994</v>
      </c>
      <c r="D418">
        <v>99497.96875</v>
      </c>
      <c r="E418">
        <v>94852.960940000004</v>
      </c>
      <c r="F418">
        <v>96125.546879999994</v>
      </c>
      <c r="G418">
        <f>_xlfn.MAXIFS(Crypto[Close],Crypto[Name],Crypto[[#This Row],[Name]],Crypto[Date],"&lt;="&amp;Crypto[[#This Row],[Date]])</f>
        <v>106146.2656</v>
      </c>
      <c r="H418" s="3">
        <f>(Crypto[[#This Row],[Close]]/Crypto[[#This Row],[Peak Close]])-1</f>
        <v>-9.4404816442265949E-2</v>
      </c>
      <c r="I418">
        <v>98333.9375</v>
      </c>
      <c r="J418" s="1">
        <v>45708</v>
      </c>
      <c r="K418" s="3">
        <v>-2.2458071711000099E-2</v>
      </c>
      <c r="L418">
        <v>49608706470</v>
      </c>
      <c r="M418" s="2" t="s">
        <v>12</v>
      </c>
    </row>
    <row r="419" spans="1:13" x14ac:dyDescent="0.3">
      <c r="A419" s="1">
        <v>45710</v>
      </c>
      <c r="B419" s="2" t="s">
        <v>11</v>
      </c>
      <c r="C419">
        <v>96134.203129999994</v>
      </c>
      <c r="D419">
        <v>96950.15625</v>
      </c>
      <c r="E419">
        <v>95765.34375</v>
      </c>
      <c r="F419">
        <v>96577.757809999996</v>
      </c>
      <c r="G419">
        <f>_xlfn.MAXIFS(Crypto[Close],Crypto[Name],Crypto[[#This Row],[Name]],Crypto[Date],"&lt;="&amp;Crypto[[#This Row],[Date]])</f>
        <v>106146.2656</v>
      </c>
      <c r="H419" s="3">
        <f>(Crypto[[#This Row],[Close]]/Crypto[[#This Row],[Peak Close]])-1</f>
        <v>-9.0144554176383562E-2</v>
      </c>
      <c r="I419">
        <v>96125.546879999994</v>
      </c>
      <c r="J419" s="1">
        <v>45709</v>
      </c>
      <c r="K419" s="3">
        <v>4.7043782290729303E-3</v>
      </c>
      <c r="L419">
        <v>18353824477</v>
      </c>
      <c r="M419" s="2" t="s">
        <v>12</v>
      </c>
    </row>
    <row r="420" spans="1:13" x14ac:dyDescent="0.3">
      <c r="A420" s="1">
        <v>45711</v>
      </c>
      <c r="B420" s="2" t="s">
        <v>11</v>
      </c>
      <c r="C420">
        <v>96577.804690000004</v>
      </c>
      <c r="D420">
        <v>96671.875</v>
      </c>
      <c r="E420">
        <v>95270.453129999994</v>
      </c>
      <c r="F420">
        <v>96273.921879999994</v>
      </c>
      <c r="G420">
        <f>_xlfn.MAXIFS(Crypto[Close],Crypto[Name],Crypto[[#This Row],[Name]],Crypto[Date],"&lt;="&amp;Crypto[[#This Row],[Date]])</f>
        <v>106146.2656</v>
      </c>
      <c r="H420" s="3">
        <f>(Crypto[[#This Row],[Close]]/Crypto[[#This Row],[Peak Close]])-1</f>
        <v>-9.3006981114180709E-2</v>
      </c>
      <c r="I420">
        <v>96577.757809999996</v>
      </c>
      <c r="J420" s="1">
        <v>45710</v>
      </c>
      <c r="K420" s="3">
        <v>-3.1460238556971398E-3</v>
      </c>
      <c r="L420">
        <v>16999478976</v>
      </c>
      <c r="M420" s="2" t="s">
        <v>12</v>
      </c>
    </row>
    <row r="421" spans="1:13" x14ac:dyDescent="0.3">
      <c r="A421" s="1">
        <v>45712</v>
      </c>
      <c r="B421" s="2" t="s">
        <v>11</v>
      </c>
      <c r="C421">
        <v>96277.960940000004</v>
      </c>
      <c r="D421">
        <v>96503.453129999994</v>
      </c>
      <c r="E421">
        <v>91371.742190000004</v>
      </c>
      <c r="F421">
        <v>91418.171879999994</v>
      </c>
      <c r="G421">
        <f>_xlfn.MAXIFS(Crypto[Close],Crypto[Name],Crypto[[#This Row],[Name]],Crypto[Date],"&lt;="&amp;Crypto[[#This Row],[Date]])</f>
        <v>106146.2656</v>
      </c>
      <c r="H421" s="3">
        <f>(Crypto[[#This Row],[Close]]/Crypto[[#This Row],[Peak Close]])-1</f>
        <v>-0.13875282033473635</v>
      </c>
      <c r="I421">
        <v>96273.921879999994</v>
      </c>
      <c r="J421" s="1">
        <v>45711</v>
      </c>
      <c r="K421" s="3">
        <v>-5.0436815133099298E-2</v>
      </c>
      <c r="L421">
        <v>44046480529</v>
      </c>
      <c r="M421" s="2" t="s">
        <v>12</v>
      </c>
    </row>
    <row r="422" spans="1:13" x14ac:dyDescent="0.3">
      <c r="A422" s="1">
        <v>45713</v>
      </c>
      <c r="B422" s="2" t="s">
        <v>11</v>
      </c>
      <c r="C422">
        <v>91437.117190000004</v>
      </c>
      <c r="D422">
        <v>92511.078129999994</v>
      </c>
      <c r="E422">
        <v>86008.234379999994</v>
      </c>
      <c r="F422">
        <v>88736.171879999994</v>
      </c>
      <c r="G422">
        <f>_xlfn.MAXIFS(Crypto[Close],Crypto[Name],Crypto[[#This Row],[Name]],Crypto[Date],"&lt;="&amp;Crypto[[#This Row],[Date]])</f>
        <v>106146.2656</v>
      </c>
      <c r="H422" s="3">
        <f>(Crypto[[#This Row],[Close]]/Crypto[[#This Row],[Peak Close]])-1</f>
        <v>-0.164019842069696</v>
      </c>
      <c r="I422">
        <v>91418.171879999994</v>
      </c>
      <c r="J422" s="1">
        <v>45712</v>
      </c>
      <c r="K422" s="3">
        <v>-2.9337712019887299E-2</v>
      </c>
      <c r="L422">
        <v>92139104128</v>
      </c>
      <c r="M422" s="2" t="s">
        <v>12</v>
      </c>
    </row>
    <row r="423" spans="1:13" x14ac:dyDescent="0.3">
      <c r="A423" s="1">
        <v>45714</v>
      </c>
      <c r="B423" s="2" t="s">
        <v>11</v>
      </c>
      <c r="C423">
        <v>88638.890629999994</v>
      </c>
      <c r="D423">
        <v>89286.25</v>
      </c>
      <c r="E423">
        <v>82131.898440000004</v>
      </c>
      <c r="F423">
        <v>84347.023440000004</v>
      </c>
      <c r="G423">
        <f>_xlfn.MAXIFS(Crypto[Close],Crypto[Name],Crypto[[#This Row],[Name]],Crypto[Date],"&lt;="&amp;Crypto[[#This Row],[Date]])</f>
        <v>106146.2656</v>
      </c>
      <c r="H423" s="3">
        <f>(Crypto[[#This Row],[Close]]/Crypto[[#This Row],[Peak Close]])-1</f>
        <v>-0.20536984543712478</v>
      </c>
      <c r="I423">
        <v>88736.171879999994</v>
      </c>
      <c r="J423" s="1">
        <v>45713</v>
      </c>
      <c r="K423" s="3">
        <v>-4.94629004949136E-2</v>
      </c>
      <c r="L423">
        <v>64597492134</v>
      </c>
      <c r="M423" s="2" t="s">
        <v>12</v>
      </c>
    </row>
    <row r="424" spans="1:13" x14ac:dyDescent="0.3">
      <c r="A424" s="1">
        <v>45715</v>
      </c>
      <c r="B424" s="2" t="s">
        <v>11</v>
      </c>
      <c r="C424">
        <v>84076.859379999994</v>
      </c>
      <c r="D424">
        <v>87000.78125</v>
      </c>
      <c r="E424">
        <v>83144.960940000004</v>
      </c>
      <c r="F424">
        <v>84704.226559999996</v>
      </c>
      <c r="G424">
        <f>_xlfn.MAXIFS(Crypto[Close],Crypto[Name],Crypto[[#This Row],[Name]],Crypto[Date],"&lt;="&amp;Crypto[[#This Row],[Date]])</f>
        <v>106146.2656</v>
      </c>
      <c r="H424" s="3">
        <f>(Crypto[[#This Row],[Close]]/Crypto[[#This Row],[Peak Close]])-1</f>
        <v>-0.2020046481974398</v>
      </c>
      <c r="I424">
        <v>84347.023440000004</v>
      </c>
      <c r="J424" s="1">
        <v>45714</v>
      </c>
      <c r="K424" s="3">
        <v>4.23492264969002E-3</v>
      </c>
      <c r="L424">
        <v>52659591954</v>
      </c>
      <c r="M424" s="2" t="s">
        <v>12</v>
      </c>
    </row>
    <row r="425" spans="1:13" x14ac:dyDescent="0.3">
      <c r="A425" s="1">
        <v>45716</v>
      </c>
      <c r="B425" s="2" t="s">
        <v>11</v>
      </c>
      <c r="C425">
        <v>84705.625</v>
      </c>
      <c r="D425">
        <v>85036.320309999996</v>
      </c>
      <c r="E425">
        <v>78248.914059999996</v>
      </c>
      <c r="F425">
        <v>84373.007809999996</v>
      </c>
      <c r="G425">
        <f>_xlfn.MAXIFS(Crypto[Close],Crypto[Name],Crypto[[#This Row],[Name]],Crypto[Date],"&lt;="&amp;Crypto[[#This Row],[Date]])</f>
        <v>106146.2656</v>
      </c>
      <c r="H425" s="3">
        <f>(Crypto[[#This Row],[Close]]/Crypto[[#This Row],[Peak Close]])-1</f>
        <v>-0.20512504765876571</v>
      </c>
      <c r="I425">
        <v>84704.226559999996</v>
      </c>
      <c r="J425" s="1">
        <v>45715</v>
      </c>
      <c r="K425" s="3">
        <v>-3.91029779092997E-3</v>
      </c>
      <c r="L425">
        <v>83610570576</v>
      </c>
      <c r="M425" s="2" t="s">
        <v>12</v>
      </c>
    </row>
    <row r="426" spans="1:13" x14ac:dyDescent="0.3">
      <c r="A426" s="1">
        <v>45717</v>
      </c>
      <c r="B426" s="2" t="s">
        <v>11</v>
      </c>
      <c r="C426">
        <v>84373.867190000004</v>
      </c>
      <c r="D426">
        <v>86522.304690000004</v>
      </c>
      <c r="E426">
        <v>83794.234379999994</v>
      </c>
      <c r="F426">
        <v>86031.914059999996</v>
      </c>
      <c r="G426">
        <f>_xlfn.MAXIFS(Crypto[Close],Crypto[Name],Crypto[[#This Row],[Name]],Crypto[Date],"&lt;="&amp;Crypto[[#This Row],[Date]])</f>
        <v>106146.2656</v>
      </c>
      <c r="H426" s="3">
        <f>(Crypto[[#This Row],[Close]]/Crypto[[#This Row],[Peak Close]])-1</f>
        <v>-0.18949655389477971</v>
      </c>
      <c r="I426">
        <v>84373.007809999996</v>
      </c>
      <c r="J426" s="1">
        <v>45716</v>
      </c>
      <c r="K426" s="3">
        <v>1.9661575343333699E-2</v>
      </c>
      <c r="L426">
        <v>29190628396</v>
      </c>
      <c r="M426" s="2" t="s">
        <v>12</v>
      </c>
    </row>
    <row r="427" spans="1:13" x14ac:dyDescent="0.3">
      <c r="A427" s="1">
        <v>45718</v>
      </c>
      <c r="B427" s="2" t="s">
        <v>11</v>
      </c>
      <c r="C427">
        <v>86036.257809999996</v>
      </c>
      <c r="D427">
        <v>95043.4375</v>
      </c>
      <c r="E427">
        <v>85040.210940000004</v>
      </c>
      <c r="F427">
        <v>94248.351559999996</v>
      </c>
      <c r="G427">
        <f>_xlfn.MAXIFS(Crypto[Close],Crypto[Name],Crypto[[#This Row],[Name]],Crypto[Date],"&lt;="&amp;Crypto[[#This Row],[Date]])</f>
        <v>106146.2656</v>
      </c>
      <c r="H427" s="3">
        <f>(Crypto[[#This Row],[Close]]/Crypto[[#This Row],[Peak Close]])-1</f>
        <v>-0.11208980337410945</v>
      </c>
      <c r="I427">
        <v>86031.914059999996</v>
      </c>
      <c r="J427" s="1">
        <v>45717</v>
      </c>
      <c r="K427" s="3">
        <v>9.5504529798903795E-2</v>
      </c>
      <c r="L427">
        <v>58398341092</v>
      </c>
      <c r="M427" s="2" t="s">
        <v>12</v>
      </c>
    </row>
    <row r="428" spans="1:13" x14ac:dyDescent="0.3">
      <c r="A428" s="1">
        <v>45719</v>
      </c>
      <c r="B428" s="2" t="s">
        <v>11</v>
      </c>
      <c r="C428">
        <v>94248.421879999994</v>
      </c>
      <c r="D428">
        <v>94429.75</v>
      </c>
      <c r="E428">
        <v>85081.304690000004</v>
      </c>
      <c r="F428">
        <v>86065.671879999994</v>
      </c>
      <c r="G428">
        <f>_xlfn.MAXIFS(Crypto[Close],Crypto[Name],Crypto[[#This Row],[Name]],Crypto[Date],"&lt;="&amp;Crypto[[#This Row],[Date]])</f>
        <v>106146.2656</v>
      </c>
      <c r="H428" s="3">
        <f>(Crypto[[#This Row],[Close]]/Crypto[[#This Row],[Peak Close]])-1</f>
        <v>-0.18917852273457658</v>
      </c>
      <c r="I428">
        <v>94248.351559999996</v>
      </c>
      <c r="J428" s="1">
        <v>45718</v>
      </c>
      <c r="K428" s="3">
        <v>-8.6820401042142101E-2</v>
      </c>
      <c r="L428">
        <v>70072228536</v>
      </c>
      <c r="M428" s="2" t="s">
        <v>12</v>
      </c>
    </row>
    <row r="429" spans="1:13" x14ac:dyDescent="0.3">
      <c r="A429" s="1">
        <v>45720</v>
      </c>
      <c r="B429" s="2" t="s">
        <v>11</v>
      </c>
      <c r="C429">
        <v>86064.070309999996</v>
      </c>
      <c r="D429">
        <v>88911.273440000004</v>
      </c>
      <c r="E429">
        <v>81529.242190000004</v>
      </c>
      <c r="F429">
        <v>87222.195309999996</v>
      </c>
      <c r="G429">
        <f>_xlfn.MAXIFS(Crypto[Close],Crypto[Name],Crypto[[#This Row],[Name]],Crypto[Date],"&lt;="&amp;Crypto[[#This Row],[Date]])</f>
        <v>106146.2656</v>
      </c>
      <c r="H429" s="3">
        <f>(Crypto[[#This Row],[Close]]/Crypto[[#This Row],[Peak Close]])-1</f>
        <v>-0.17828295873651534</v>
      </c>
      <c r="I429">
        <v>86065.671879999994</v>
      </c>
      <c r="J429" s="1">
        <v>45719</v>
      </c>
      <c r="K429" s="3">
        <v>1.3437685487571901E-2</v>
      </c>
      <c r="L429">
        <v>68095241474</v>
      </c>
      <c r="M429" s="2" t="s">
        <v>12</v>
      </c>
    </row>
    <row r="430" spans="1:13" x14ac:dyDescent="0.3">
      <c r="A430" s="1">
        <v>45721</v>
      </c>
      <c r="B430" s="2" t="s">
        <v>11</v>
      </c>
      <c r="C430">
        <v>87222.953129999994</v>
      </c>
      <c r="D430">
        <v>90998.242190000004</v>
      </c>
      <c r="E430">
        <v>86379.773440000004</v>
      </c>
      <c r="F430">
        <v>90623.5625</v>
      </c>
      <c r="G430">
        <f>_xlfn.MAXIFS(Crypto[Close],Crypto[Name],Crypto[[#This Row],[Name]],Crypto[Date],"&lt;="&amp;Crypto[[#This Row],[Date]])</f>
        <v>106146.2656</v>
      </c>
      <c r="H430" s="3">
        <f>(Crypto[[#This Row],[Close]]/Crypto[[#This Row],[Peak Close]])-1</f>
        <v>-0.14623880559769786</v>
      </c>
      <c r="I430">
        <v>87222.195309999996</v>
      </c>
      <c r="J430" s="1">
        <v>45720</v>
      </c>
      <c r="K430" s="3">
        <v>3.8996578541861601E-2</v>
      </c>
      <c r="L430">
        <v>50498988027</v>
      </c>
      <c r="M430" s="2" t="s">
        <v>12</v>
      </c>
    </row>
    <row r="431" spans="1:13" x14ac:dyDescent="0.3">
      <c r="A431" s="1">
        <v>45722</v>
      </c>
      <c r="B431" s="2" t="s">
        <v>11</v>
      </c>
      <c r="C431">
        <v>90622.359379999994</v>
      </c>
      <c r="D431">
        <v>92804.9375</v>
      </c>
      <c r="E431">
        <v>87852.140629999994</v>
      </c>
      <c r="F431">
        <v>89961.726559999996</v>
      </c>
      <c r="G431">
        <f>_xlfn.MAXIFS(Crypto[Close],Crypto[Name],Crypto[[#This Row],[Name]],Crypto[Date],"&lt;="&amp;Crypto[[#This Row],[Date]])</f>
        <v>106146.2656</v>
      </c>
      <c r="H431" s="3">
        <f>(Crypto[[#This Row],[Close]]/Crypto[[#This Row],[Peak Close]])-1</f>
        <v>-0.15247393724607872</v>
      </c>
      <c r="I431">
        <v>90623.5625</v>
      </c>
      <c r="J431" s="1">
        <v>45721</v>
      </c>
      <c r="K431" s="3">
        <v>-7.3031331117666496E-3</v>
      </c>
      <c r="L431">
        <v>47749810486</v>
      </c>
      <c r="M431" s="2" t="s">
        <v>12</v>
      </c>
    </row>
    <row r="432" spans="1:13" x14ac:dyDescent="0.3">
      <c r="A432" s="1">
        <v>45723</v>
      </c>
      <c r="B432" s="2" t="s">
        <v>11</v>
      </c>
      <c r="C432">
        <v>89963.28125</v>
      </c>
      <c r="D432">
        <v>91191.046879999994</v>
      </c>
      <c r="E432">
        <v>84717.679690000004</v>
      </c>
      <c r="F432">
        <v>86742.671879999994</v>
      </c>
      <c r="G432">
        <f>_xlfn.MAXIFS(Crypto[Close],Crypto[Name],Crypto[[#This Row],[Name]],Crypto[Date],"&lt;="&amp;Crypto[[#This Row],[Date]])</f>
        <v>106146.2656</v>
      </c>
      <c r="H432" s="3">
        <f>(Crypto[[#This Row],[Close]]/Crypto[[#This Row],[Peak Close]])-1</f>
        <v>-0.18280053104383542</v>
      </c>
      <c r="I432">
        <v>89961.726559999996</v>
      </c>
      <c r="J432" s="1">
        <v>45722</v>
      </c>
      <c r="K432" s="3">
        <v>-3.57824911002909E-2</v>
      </c>
      <c r="L432">
        <v>65945677657</v>
      </c>
      <c r="M432" s="2" t="s">
        <v>12</v>
      </c>
    </row>
    <row r="433" spans="1:13" x14ac:dyDescent="0.3">
      <c r="A433" s="1">
        <v>45724</v>
      </c>
      <c r="B433" s="2" t="s">
        <v>11</v>
      </c>
      <c r="C433">
        <v>86742.65625</v>
      </c>
      <c r="D433">
        <v>86847.265629999994</v>
      </c>
      <c r="E433">
        <v>85247.484379999994</v>
      </c>
      <c r="F433">
        <v>86154.59375</v>
      </c>
      <c r="G433">
        <f>_xlfn.MAXIFS(Crypto[Close],Crypto[Name],Crypto[[#This Row],[Name]],Crypto[Date],"&lt;="&amp;Crypto[[#This Row],[Date]])</f>
        <v>106146.2656</v>
      </c>
      <c r="H433" s="3">
        <f>(Crypto[[#This Row],[Close]]/Crypto[[#This Row],[Peak Close]])-1</f>
        <v>-0.1883407931215999</v>
      </c>
      <c r="I433">
        <v>86742.671879999994</v>
      </c>
      <c r="J433" s="1">
        <v>45723</v>
      </c>
      <c r="K433" s="3">
        <v>-6.7795713142609097E-3</v>
      </c>
      <c r="L433">
        <v>18206118081</v>
      </c>
      <c r="M433" s="2" t="s">
        <v>12</v>
      </c>
    </row>
    <row r="434" spans="1:13" x14ac:dyDescent="0.3">
      <c r="A434" s="1">
        <v>45725</v>
      </c>
      <c r="B434" s="2" t="s">
        <v>11</v>
      </c>
      <c r="C434">
        <v>86154.304690000004</v>
      </c>
      <c r="D434">
        <v>86471.132809999996</v>
      </c>
      <c r="E434">
        <v>80052.484379999994</v>
      </c>
      <c r="F434">
        <v>80601.039059999996</v>
      </c>
      <c r="G434">
        <f>_xlfn.MAXIFS(Crypto[Close],Crypto[Name],Crypto[[#This Row],[Name]],Crypto[Date],"&lt;="&amp;Crypto[[#This Row],[Date]])</f>
        <v>106146.2656</v>
      </c>
      <c r="H434" s="3">
        <f>(Crypto[[#This Row],[Close]]/Crypto[[#This Row],[Peak Close]])-1</f>
        <v>-0.24066062423961532</v>
      </c>
      <c r="I434">
        <v>86154.59375</v>
      </c>
      <c r="J434" s="1">
        <v>45724</v>
      </c>
      <c r="K434" s="3">
        <v>-6.4460343300034501E-2</v>
      </c>
      <c r="L434">
        <v>30899345977</v>
      </c>
      <c r="M434" s="2" t="s">
        <v>12</v>
      </c>
    </row>
    <row r="435" spans="1:13" x14ac:dyDescent="0.3">
      <c r="A435" s="1">
        <v>45726</v>
      </c>
      <c r="B435" s="2" t="s">
        <v>11</v>
      </c>
      <c r="C435">
        <v>80597.148440000004</v>
      </c>
      <c r="D435">
        <v>83955.929690000004</v>
      </c>
      <c r="E435">
        <v>77420.59375</v>
      </c>
      <c r="F435">
        <v>78532</v>
      </c>
      <c r="G435">
        <f>_xlfn.MAXIFS(Crypto[Close],Crypto[Name],Crypto[[#This Row],[Name]],Crypto[Date],"&lt;="&amp;Crypto[[#This Row],[Date]])</f>
        <v>106146.2656</v>
      </c>
      <c r="H435" s="3">
        <f>(Crypto[[#This Row],[Close]]/Crypto[[#This Row],[Peak Close]])-1</f>
        <v>-0.26015296387403009</v>
      </c>
      <c r="I435">
        <v>80601.039059999996</v>
      </c>
      <c r="J435" s="1">
        <v>45725</v>
      </c>
      <c r="K435" s="3">
        <v>-2.5670128873398101E-2</v>
      </c>
      <c r="L435">
        <v>54061099422</v>
      </c>
      <c r="M435" s="2" t="s">
        <v>12</v>
      </c>
    </row>
    <row r="436" spans="1:13" x14ac:dyDescent="0.3">
      <c r="A436" s="1">
        <v>45727</v>
      </c>
      <c r="B436" s="2" t="s">
        <v>11</v>
      </c>
      <c r="C436">
        <v>78523.875</v>
      </c>
      <c r="D436">
        <v>83577.757809999996</v>
      </c>
      <c r="E436">
        <v>76624.25</v>
      </c>
      <c r="F436">
        <v>82862.210940000004</v>
      </c>
      <c r="G436">
        <f>_xlfn.MAXIFS(Crypto[Close],Crypto[Name],Crypto[[#This Row],[Name]],Crypto[Date],"&lt;="&amp;Crypto[[#This Row],[Date]])</f>
        <v>106146.2656</v>
      </c>
      <c r="H436" s="3">
        <f>(Crypto[[#This Row],[Close]]/Crypto[[#This Row],[Peak Close]])-1</f>
        <v>-0.21935820849075627</v>
      </c>
      <c r="I436">
        <v>78532</v>
      </c>
      <c r="J436" s="1">
        <v>45726</v>
      </c>
      <c r="K436" s="3">
        <v>5.5139445576325601E-2</v>
      </c>
      <c r="L436">
        <v>54702837196</v>
      </c>
      <c r="M436" s="2" t="s">
        <v>12</v>
      </c>
    </row>
    <row r="437" spans="1:13" x14ac:dyDescent="0.3">
      <c r="A437" s="1">
        <v>45728</v>
      </c>
      <c r="B437" s="2" t="s">
        <v>11</v>
      </c>
      <c r="C437">
        <v>82857.375</v>
      </c>
      <c r="D437">
        <v>84358.578129999994</v>
      </c>
      <c r="E437">
        <v>80635.25</v>
      </c>
      <c r="F437">
        <v>83722.359379999994</v>
      </c>
      <c r="G437">
        <f>_xlfn.MAXIFS(Crypto[Close],Crypto[Name],Crypto[[#This Row],[Name]],Crypto[Date],"&lt;="&amp;Crypto[[#This Row],[Date]])</f>
        <v>106146.2656</v>
      </c>
      <c r="H437" s="3">
        <f>(Crypto[[#This Row],[Close]]/Crypto[[#This Row],[Peak Close]])-1</f>
        <v>-0.21125478219367522</v>
      </c>
      <c r="I437">
        <v>82862.210940000004</v>
      </c>
      <c r="J437" s="1">
        <v>45727</v>
      </c>
      <c r="K437" s="3">
        <v>1.03804669250597E-2</v>
      </c>
      <c r="L437">
        <v>40353484454</v>
      </c>
      <c r="M437" s="2" t="s">
        <v>12</v>
      </c>
    </row>
    <row r="438" spans="1:13" x14ac:dyDescent="0.3">
      <c r="A438" s="1">
        <v>45729</v>
      </c>
      <c r="B438" s="2" t="s">
        <v>11</v>
      </c>
      <c r="C438">
        <v>83724.921879999994</v>
      </c>
      <c r="D438">
        <v>84301.695309999996</v>
      </c>
      <c r="E438">
        <v>79931.851559999996</v>
      </c>
      <c r="F438">
        <v>81066.703129999994</v>
      </c>
      <c r="G438">
        <f>_xlfn.MAXIFS(Crypto[Close],Crypto[Name],Crypto[[#This Row],[Name]],Crypto[Date],"&lt;="&amp;Crypto[[#This Row],[Date]])</f>
        <v>106146.2656</v>
      </c>
      <c r="H438" s="3">
        <f>(Crypto[[#This Row],[Close]]/Crypto[[#This Row],[Peak Close]])-1</f>
        <v>-0.23627362044473099</v>
      </c>
      <c r="I438">
        <v>83722.359379999994</v>
      </c>
      <c r="J438" s="1">
        <v>45728</v>
      </c>
      <c r="K438" s="3">
        <v>-3.17197970729238E-2</v>
      </c>
      <c r="L438">
        <v>31412940153</v>
      </c>
      <c r="M438" s="2" t="s">
        <v>12</v>
      </c>
    </row>
    <row r="439" spans="1:13" x14ac:dyDescent="0.3">
      <c r="A439" s="1">
        <v>45730</v>
      </c>
      <c r="B439" s="2" t="s">
        <v>11</v>
      </c>
      <c r="C439">
        <v>81066.992190000004</v>
      </c>
      <c r="D439">
        <v>85263.289059999996</v>
      </c>
      <c r="E439">
        <v>80797.5625</v>
      </c>
      <c r="F439">
        <v>83969.101559999996</v>
      </c>
      <c r="G439">
        <f>_xlfn.MAXIFS(Crypto[Close],Crypto[Name],Crypto[[#This Row],[Name]],Crypto[Date],"&lt;="&amp;Crypto[[#This Row],[Date]])</f>
        <v>106146.2656</v>
      </c>
      <c r="H439" s="3">
        <f>(Crypto[[#This Row],[Close]]/Crypto[[#This Row],[Peak Close]])-1</f>
        <v>-0.20893023334021088</v>
      </c>
      <c r="I439">
        <v>81066.703129999994</v>
      </c>
      <c r="J439" s="1">
        <v>45729</v>
      </c>
      <c r="K439" s="3">
        <v>3.5802596108363602E-2</v>
      </c>
      <c r="L439">
        <v>29588112414</v>
      </c>
      <c r="M439" s="2" t="s">
        <v>12</v>
      </c>
    </row>
    <row r="440" spans="1:13" x14ac:dyDescent="0.3">
      <c r="A440" s="1">
        <v>45731</v>
      </c>
      <c r="B440" s="2" t="s">
        <v>11</v>
      </c>
      <c r="C440">
        <v>83968.40625</v>
      </c>
      <c r="D440">
        <v>84672.671879999994</v>
      </c>
      <c r="E440">
        <v>83639.59375</v>
      </c>
      <c r="F440">
        <v>84343.109379999994</v>
      </c>
      <c r="G440">
        <f>_xlfn.MAXIFS(Crypto[Close],Crypto[Name],Crypto[[#This Row],[Name]],Crypto[Date],"&lt;="&amp;Crypto[[#This Row],[Date]])</f>
        <v>106146.2656</v>
      </c>
      <c r="H440" s="3">
        <f>(Crypto[[#This Row],[Close]]/Crypto[[#This Row],[Peak Close]])-1</f>
        <v>-0.20540671965005997</v>
      </c>
      <c r="I440">
        <v>83969.101559999996</v>
      </c>
      <c r="J440" s="1">
        <v>45730</v>
      </c>
      <c r="K440" s="3">
        <v>4.4541124419766702E-3</v>
      </c>
      <c r="L440">
        <v>13650491277</v>
      </c>
      <c r="M440" s="2" t="s">
        <v>12</v>
      </c>
    </row>
    <row r="441" spans="1:13" x14ac:dyDescent="0.3">
      <c r="A441" s="1">
        <v>45732</v>
      </c>
      <c r="B441" s="2" t="s">
        <v>11</v>
      </c>
      <c r="C441">
        <v>84333.320309999996</v>
      </c>
      <c r="D441">
        <v>85051.601559999996</v>
      </c>
      <c r="E441">
        <v>82017.90625</v>
      </c>
      <c r="F441">
        <v>82579.6875</v>
      </c>
      <c r="G441">
        <f>_xlfn.MAXIFS(Crypto[Close],Crypto[Name],Crypto[[#This Row],[Name]],Crypto[Date],"&lt;="&amp;Crypto[[#This Row],[Date]])</f>
        <v>106146.2656</v>
      </c>
      <c r="H441" s="3">
        <f>(Crypto[[#This Row],[Close]]/Crypto[[#This Row],[Peak Close]])-1</f>
        <v>-0.22201985125701873</v>
      </c>
      <c r="I441">
        <v>84343.109379999994</v>
      </c>
      <c r="J441" s="1">
        <v>45731</v>
      </c>
      <c r="K441" s="3">
        <v>-2.09077172155826E-2</v>
      </c>
      <c r="L441">
        <v>21330270174</v>
      </c>
      <c r="M441" s="2" t="s">
        <v>12</v>
      </c>
    </row>
    <row r="442" spans="1:13" x14ac:dyDescent="0.3">
      <c r="A442" s="1">
        <v>45733</v>
      </c>
      <c r="B442" s="2" t="s">
        <v>11</v>
      </c>
      <c r="C442">
        <v>82576.335940000004</v>
      </c>
      <c r="D442">
        <v>84725.328129999994</v>
      </c>
      <c r="E442">
        <v>82492.15625</v>
      </c>
      <c r="F442">
        <v>84075.6875</v>
      </c>
      <c r="G442">
        <f>_xlfn.MAXIFS(Crypto[Close],Crypto[Name],Crypto[[#This Row],[Name]],Crypto[Date],"&lt;="&amp;Crypto[[#This Row],[Date]])</f>
        <v>106146.2656</v>
      </c>
      <c r="H442" s="3">
        <f>(Crypto[[#This Row],[Close]]/Crypto[[#This Row],[Peak Close]])-1</f>
        <v>-0.20792609118412542</v>
      </c>
      <c r="I442">
        <v>82579.6875</v>
      </c>
      <c r="J442" s="1">
        <v>45732</v>
      </c>
      <c r="K442" s="3">
        <v>1.8115835083536699E-2</v>
      </c>
      <c r="L442">
        <v>25092785558</v>
      </c>
      <c r="M442" s="2" t="s">
        <v>12</v>
      </c>
    </row>
    <row r="443" spans="1:13" x14ac:dyDescent="0.3">
      <c r="A443" s="1">
        <v>45734</v>
      </c>
      <c r="B443" s="2" t="s">
        <v>11</v>
      </c>
      <c r="C443">
        <v>84075.71875</v>
      </c>
      <c r="D443">
        <v>84075.71875</v>
      </c>
      <c r="E443">
        <v>81179.992190000004</v>
      </c>
      <c r="F443">
        <v>82718.5</v>
      </c>
      <c r="G443">
        <f>_xlfn.MAXIFS(Crypto[Close],Crypto[Name],Crypto[[#This Row],[Name]],Crypto[Date],"&lt;="&amp;Crypto[[#This Row],[Date]])</f>
        <v>106146.2656</v>
      </c>
      <c r="H443" s="3">
        <f>(Crypto[[#This Row],[Close]]/Crypto[[#This Row],[Peak Close]])-1</f>
        <v>-0.2207121038839448</v>
      </c>
      <c r="I443">
        <v>84075.6875</v>
      </c>
      <c r="J443" s="1">
        <v>45733</v>
      </c>
      <c r="K443" s="3">
        <v>-1.6142449028442401E-2</v>
      </c>
      <c r="L443">
        <v>24095774594</v>
      </c>
      <c r="M443" s="2" t="s">
        <v>12</v>
      </c>
    </row>
    <row r="444" spans="1:13" x14ac:dyDescent="0.3">
      <c r="A444" s="1">
        <v>45735</v>
      </c>
      <c r="B444" s="2" t="s">
        <v>11</v>
      </c>
      <c r="C444">
        <v>82718.804690000004</v>
      </c>
      <c r="D444">
        <v>87021.1875</v>
      </c>
      <c r="E444">
        <v>82569.726559999996</v>
      </c>
      <c r="F444">
        <v>86854.226559999996</v>
      </c>
      <c r="G444">
        <f>_xlfn.MAXIFS(Crypto[Close],Crypto[Name],Crypto[[#This Row],[Name]],Crypto[Date],"&lt;="&amp;Crypto[[#This Row],[Date]])</f>
        <v>106146.2656</v>
      </c>
      <c r="H444" s="3">
        <f>(Crypto[[#This Row],[Close]]/Crypto[[#This Row],[Peak Close]])-1</f>
        <v>-0.18174957857396357</v>
      </c>
      <c r="I444">
        <v>82718.5</v>
      </c>
      <c r="J444" s="1">
        <v>45734</v>
      </c>
      <c r="K444" s="3">
        <v>4.9997601020327902E-2</v>
      </c>
      <c r="L444">
        <v>34931960257</v>
      </c>
      <c r="M444" s="2" t="s">
        <v>12</v>
      </c>
    </row>
    <row r="445" spans="1:13" x14ac:dyDescent="0.3">
      <c r="A445" s="1">
        <v>45736</v>
      </c>
      <c r="B445" s="2" t="s">
        <v>11</v>
      </c>
      <c r="C445">
        <v>86872.953129999994</v>
      </c>
      <c r="D445">
        <v>87443.265629999994</v>
      </c>
      <c r="E445">
        <v>83647.195309999996</v>
      </c>
      <c r="F445">
        <v>84167.195309999996</v>
      </c>
      <c r="G445">
        <f>_xlfn.MAXIFS(Crypto[Close],Crypto[Name],Crypto[[#This Row],[Name]],Crypto[Date],"&lt;="&amp;Crypto[[#This Row],[Date]])</f>
        <v>106146.2656</v>
      </c>
      <c r="H445" s="3">
        <f>(Crypto[[#This Row],[Close]]/Crypto[[#This Row],[Peak Close]])-1</f>
        <v>-0.20706399952708276</v>
      </c>
      <c r="I445">
        <v>86854.226559999996</v>
      </c>
      <c r="J445" s="1">
        <v>45735</v>
      </c>
      <c r="K445" s="3">
        <v>-3.0937253792062299E-2</v>
      </c>
      <c r="L445">
        <v>29028988961</v>
      </c>
      <c r="M445" s="2" t="s">
        <v>12</v>
      </c>
    </row>
    <row r="446" spans="1:13" x14ac:dyDescent="0.3">
      <c r="A446" s="1">
        <v>45737</v>
      </c>
      <c r="B446" s="2" t="s">
        <v>11</v>
      </c>
      <c r="C446">
        <v>84164.539059999996</v>
      </c>
      <c r="D446">
        <v>84782.273440000004</v>
      </c>
      <c r="E446">
        <v>83171.070309999996</v>
      </c>
      <c r="F446">
        <v>84043.242190000004</v>
      </c>
      <c r="G446">
        <f>_xlfn.MAXIFS(Crypto[Close],Crypto[Name],Crypto[[#This Row],[Name]],Crypto[Date],"&lt;="&amp;Crypto[[#This Row],[Date]])</f>
        <v>106146.2656</v>
      </c>
      <c r="H446" s="3">
        <f>(Crypto[[#This Row],[Close]]/Crypto[[#This Row],[Peak Close]])-1</f>
        <v>-0.20823175723668597</v>
      </c>
      <c r="I446">
        <v>84167.195309999996</v>
      </c>
      <c r="J446" s="1">
        <v>45736</v>
      </c>
      <c r="K446" s="3">
        <v>-1.4727010867292599E-3</v>
      </c>
      <c r="L446">
        <v>19030452299</v>
      </c>
      <c r="M446" s="2" t="s">
        <v>12</v>
      </c>
    </row>
    <row r="447" spans="1:13" x14ac:dyDescent="0.3">
      <c r="A447" s="1">
        <v>45738</v>
      </c>
      <c r="B447" s="2" t="s">
        <v>11</v>
      </c>
      <c r="C447">
        <v>84046.257809999996</v>
      </c>
      <c r="D447">
        <v>84513.875</v>
      </c>
      <c r="E447">
        <v>83674.78125</v>
      </c>
      <c r="F447">
        <v>83832.484379999994</v>
      </c>
      <c r="G447">
        <f>_xlfn.MAXIFS(Crypto[Close],Crypto[Name],Crypto[[#This Row],[Name]],Crypto[Date],"&lt;="&amp;Crypto[[#This Row],[Date]])</f>
        <v>106146.2656</v>
      </c>
      <c r="H447" s="3">
        <f>(Crypto[[#This Row],[Close]]/Crypto[[#This Row],[Peak Close]])-1</f>
        <v>-0.21021729868563555</v>
      </c>
      <c r="I447">
        <v>84043.242190000004</v>
      </c>
      <c r="J447" s="1">
        <v>45737</v>
      </c>
      <c r="K447" s="3">
        <v>-2.5077305980597598E-3</v>
      </c>
      <c r="L447">
        <v>9863214091</v>
      </c>
      <c r="M447" s="2" t="s">
        <v>12</v>
      </c>
    </row>
    <row r="448" spans="1:13" x14ac:dyDescent="0.3">
      <c r="A448" s="1">
        <v>45739</v>
      </c>
      <c r="B448" s="2" t="s">
        <v>11</v>
      </c>
      <c r="C448">
        <v>83831.898440000004</v>
      </c>
      <c r="D448">
        <v>86094.78125</v>
      </c>
      <c r="E448">
        <v>83794.914059999996</v>
      </c>
      <c r="F448">
        <v>86054.375</v>
      </c>
      <c r="G448">
        <f>_xlfn.MAXIFS(Crypto[Close],Crypto[Name],Crypto[[#This Row],[Name]],Crypto[Date],"&lt;="&amp;Crypto[[#This Row],[Date]])</f>
        <v>106146.2656</v>
      </c>
      <c r="H448" s="3">
        <f>(Crypto[[#This Row],[Close]]/Crypto[[#This Row],[Peak Close]])-1</f>
        <v>-0.18928495021872915</v>
      </c>
      <c r="I448">
        <v>83832.484379999994</v>
      </c>
      <c r="J448" s="1">
        <v>45738</v>
      </c>
      <c r="K448" s="3">
        <v>2.65039338441708E-2</v>
      </c>
      <c r="L448">
        <v>12594615537</v>
      </c>
      <c r="M448" s="2" t="s">
        <v>12</v>
      </c>
    </row>
    <row r="449" spans="1:13" x14ac:dyDescent="0.3">
      <c r="A449" s="1">
        <v>45740</v>
      </c>
      <c r="B449" s="2" t="s">
        <v>11</v>
      </c>
      <c r="C449">
        <v>86070.929690000004</v>
      </c>
      <c r="D449">
        <v>88758.726559999996</v>
      </c>
      <c r="E449">
        <v>85541.195309999996</v>
      </c>
      <c r="F449">
        <v>87498.914059999996</v>
      </c>
      <c r="G449">
        <f>_xlfn.MAXIFS(Crypto[Close],Crypto[Name],Crypto[[#This Row],[Name]],Crypto[Date],"&lt;="&amp;Crypto[[#This Row],[Date]])</f>
        <v>106146.2656</v>
      </c>
      <c r="H449" s="3">
        <f>(Crypto[[#This Row],[Close]]/Crypto[[#This Row],[Peak Close]])-1</f>
        <v>-0.17567600173773801</v>
      </c>
      <c r="I449">
        <v>86054.375</v>
      </c>
      <c r="J449" s="1">
        <v>45739</v>
      </c>
      <c r="K449" s="3">
        <v>1.6786352349894999E-2</v>
      </c>
      <c r="L449">
        <v>34582604933</v>
      </c>
      <c r="M449" s="2" t="s">
        <v>12</v>
      </c>
    </row>
    <row r="450" spans="1:13" x14ac:dyDescent="0.3">
      <c r="A450" s="1">
        <v>45741</v>
      </c>
      <c r="B450" s="2" t="s">
        <v>11</v>
      </c>
      <c r="C450">
        <v>87512.820309999996</v>
      </c>
      <c r="D450">
        <v>88542.398440000004</v>
      </c>
      <c r="E450">
        <v>86346.078129999994</v>
      </c>
      <c r="F450">
        <v>87471.703129999994</v>
      </c>
      <c r="G450">
        <f>_xlfn.MAXIFS(Crypto[Close],Crypto[Name],Crypto[[#This Row],[Name]],Crypto[Date],"&lt;="&amp;Crypto[[#This Row],[Date]])</f>
        <v>106146.2656</v>
      </c>
      <c r="H450" s="3">
        <f>(Crypto[[#This Row],[Close]]/Crypto[[#This Row],[Peak Close]])-1</f>
        <v>-0.17593235489200298</v>
      </c>
      <c r="I450">
        <v>87498.914059999996</v>
      </c>
      <c r="J450" s="1">
        <v>45740</v>
      </c>
      <c r="K450" s="3">
        <v>-3.1098591670911401E-4</v>
      </c>
      <c r="L450">
        <v>30005840049</v>
      </c>
      <c r="M450" s="2" t="s">
        <v>12</v>
      </c>
    </row>
    <row r="451" spans="1:13" x14ac:dyDescent="0.3">
      <c r="A451" s="1">
        <v>45742</v>
      </c>
      <c r="B451" s="2" t="s">
        <v>11</v>
      </c>
      <c r="C451">
        <v>87460.234379999994</v>
      </c>
      <c r="D451">
        <v>88292.15625</v>
      </c>
      <c r="E451">
        <v>85861.453129999994</v>
      </c>
      <c r="F451">
        <v>86900.882809999996</v>
      </c>
      <c r="G451">
        <f>_xlfn.MAXIFS(Crypto[Close],Crypto[Name],Crypto[[#This Row],[Name]],Crypto[Date],"&lt;="&amp;Crypto[[#This Row],[Date]])</f>
        <v>106146.2656</v>
      </c>
      <c r="H451" s="3">
        <f>(Crypto[[#This Row],[Close]]/Crypto[[#This Row],[Peak Close]])-1</f>
        <v>-0.18131003178693084</v>
      </c>
      <c r="I451">
        <v>87471.703129999994</v>
      </c>
      <c r="J451" s="1">
        <v>45741</v>
      </c>
      <c r="K451" s="3">
        <v>-6.5257711874164501E-3</v>
      </c>
      <c r="L451">
        <v>26704046038</v>
      </c>
      <c r="M451" s="2" t="s">
        <v>12</v>
      </c>
    </row>
    <row r="452" spans="1:13" x14ac:dyDescent="0.3">
      <c r="A452" s="1">
        <v>45743</v>
      </c>
      <c r="B452" s="2" t="s">
        <v>11</v>
      </c>
      <c r="C452">
        <v>86896.257809999996</v>
      </c>
      <c r="D452">
        <v>87786.726559999996</v>
      </c>
      <c r="E452">
        <v>85837.9375</v>
      </c>
      <c r="F452">
        <v>87177.101559999996</v>
      </c>
      <c r="G452">
        <f>_xlfn.MAXIFS(Crypto[Close],Crypto[Name],Crypto[[#This Row],[Name]],Crypto[Date],"&lt;="&amp;Crypto[[#This Row],[Date]])</f>
        <v>106146.2656</v>
      </c>
      <c r="H452" s="3">
        <f>(Crypto[[#This Row],[Close]]/Crypto[[#This Row],[Peak Close]])-1</f>
        <v>-0.17870778526946129</v>
      </c>
      <c r="I452">
        <v>86900.882809999996</v>
      </c>
      <c r="J452" s="1">
        <v>45742</v>
      </c>
      <c r="K452" s="3">
        <v>3.17854941248324E-3</v>
      </c>
      <c r="L452">
        <v>24413471941</v>
      </c>
      <c r="M452" s="2" t="s">
        <v>12</v>
      </c>
    </row>
    <row r="453" spans="1:13" x14ac:dyDescent="0.3">
      <c r="A453" s="1">
        <v>45744</v>
      </c>
      <c r="B453" s="2" t="s">
        <v>11</v>
      </c>
      <c r="C453">
        <v>87185.234379999994</v>
      </c>
      <c r="D453">
        <v>87489.859379999994</v>
      </c>
      <c r="E453">
        <v>83557.640629999994</v>
      </c>
      <c r="F453">
        <v>84353.148440000004</v>
      </c>
      <c r="G453">
        <f>_xlfn.MAXIFS(Crypto[Close],Crypto[Name],Crypto[[#This Row],[Name]],Crypto[Date],"&lt;="&amp;Crypto[[#This Row],[Date]])</f>
        <v>106146.2656</v>
      </c>
      <c r="H453" s="3">
        <f>(Crypto[[#This Row],[Close]]/Crypto[[#This Row],[Peak Close]])-1</f>
        <v>-0.20531214204110437</v>
      </c>
      <c r="I453">
        <v>87177.101559999996</v>
      </c>
      <c r="J453" s="1">
        <v>45743</v>
      </c>
      <c r="K453" s="3">
        <v>-3.2393289860140603E-2</v>
      </c>
      <c r="L453">
        <v>34198619509</v>
      </c>
      <c r="M453" s="2" t="s">
        <v>12</v>
      </c>
    </row>
    <row r="454" spans="1:13" x14ac:dyDescent="0.3">
      <c r="A454" s="1">
        <v>45745</v>
      </c>
      <c r="B454" s="2" t="s">
        <v>11</v>
      </c>
      <c r="C454">
        <v>84352.070309999996</v>
      </c>
      <c r="D454">
        <v>84567.335940000004</v>
      </c>
      <c r="E454">
        <v>81634.140629999994</v>
      </c>
      <c r="F454">
        <v>82597.585940000004</v>
      </c>
      <c r="G454">
        <f>_xlfn.MAXIFS(Crypto[Close],Crypto[Name],Crypto[[#This Row],[Name]],Crypto[Date],"&lt;="&amp;Crypto[[#This Row],[Date]])</f>
        <v>106146.2656</v>
      </c>
      <c r="H454" s="3">
        <f>(Crypto[[#This Row],[Close]]/Crypto[[#This Row],[Peak Close]])-1</f>
        <v>-0.22185123072290158</v>
      </c>
      <c r="I454">
        <v>84353.148440000004</v>
      </c>
      <c r="J454" s="1">
        <v>45744</v>
      </c>
      <c r="K454" s="3">
        <v>-2.08120566033018E-2</v>
      </c>
      <c r="L454">
        <v>16969396135</v>
      </c>
      <c r="M454" s="2" t="s">
        <v>12</v>
      </c>
    </row>
    <row r="455" spans="1:13" x14ac:dyDescent="0.3">
      <c r="A455" s="1">
        <v>45746</v>
      </c>
      <c r="B455" s="2" t="s">
        <v>11</v>
      </c>
      <c r="C455">
        <v>82596.984379999994</v>
      </c>
      <c r="D455">
        <v>83505</v>
      </c>
      <c r="E455">
        <v>81573.25</v>
      </c>
      <c r="F455">
        <v>82334.523440000004</v>
      </c>
      <c r="G455">
        <f>_xlfn.MAXIFS(Crypto[Close],Crypto[Name],Crypto[[#This Row],[Name]],Crypto[Date],"&lt;="&amp;Crypto[[#This Row],[Date]])</f>
        <v>106146.2656</v>
      </c>
      <c r="H455" s="3">
        <f>(Crypto[[#This Row],[Close]]/Crypto[[#This Row],[Peak Close]])-1</f>
        <v>-0.22432953270096012</v>
      </c>
      <c r="I455">
        <v>82597.585940000004</v>
      </c>
      <c r="J455" s="1">
        <v>45745</v>
      </c>
      <c r="K455" s="3">
        <v>-3.1848691097472498E-3</v>
      </c>
      <c r="L455">
        <v>14763760943</v>
      </c>
      <c r="M455" s="2" t="s">
        <v>12</v>
      </c>
    </row>
    <row r="456" spans="1:13" x14ac:dyDescent="0.3">
      <c r="A456" s="1">
        <v>45747</v>
      </c>
      <c r="B456" s="2" t="s">
        <v>11</v>
      </c>
      <c r="C456">
        <v>82336.0625</v>
      </c>
      <c r="D456">
        <v>83870.125</v>
      </c>
      <c r="E456">
        <v>81293.890629999994</v>
      </c>
      <c r="F456">
        <v>82548.914059999996</v>
      </c>
      <c r="G456">
        <f>_xlfn.MAXIFS(Crypto[Close],Crypto[Name],Crypto[[#This Row],[Name]],Crypto[Date],"&lt;="&amp;Crypto[[#This Row],[Date]])</f>
        <v>106146.2656</v>
      </c>
      <c r="H456" s="3">
        <f>(Crypto[[#This Row],[Close]]/Crypto[[#This Row],[Peak Close]])-1</f>
        <v>-0.22230976668481117</v>
      </c>
      <c r="I456">
        <v>82334.523440000004</v>
      </c>
      <c r="J456" s="1">
        <v>45746</v>
      </c>
      <c r="K456" s="3">
        <v>2.6038970172241899E-3</v>
      </c>
      <c r="L456">
        <v>29004228247</v>
      </c>
      <c r="M456" s="2" t="s">
        <v>12</v>
      </c>
    </row>
    <row r="457" spans="1:13" x14ac:dyDescent="0.3">
      <c r="A457" s="1">
        <v>45748</v>
      </c>
      <c r="B457" s="2" t="s">
        <v>11</v>
      </c>
      <c r="C457">
        <v>82551.921879999994</v>
      </c>
      <c r="D457">
        <v>85487.367190000004</v>
      </c>
      <c r="E457">
        <v>82429.359379999994</v>
      </c>
      <c r="F457">
        <v>85169.171879999994</v>
      </c>
      <c r="G457">
        <f>_xlfn.MAXIFS(Crypto[Close],Crypto[Name],Crypto[[#This Row],[Name]],Crypto[Date],"&lt;="&amp;Crypto[[#This Row],[Date]])</f>
        <v>106146.2656</v>
      </c>
      <c r="H457" s="3">
        <f>(Crypto[[#This Row],[Close]]/Crypto[[#This Row],[Peak Close]])-1</f>
        <v>-0.19762441571943534</v>
      </c>
      <c r="I457">
        <v>82548.914059999996</v>
      </c>
      <c r="J457" s="1">
        <v>45747</v>
      </c>
      <c r="K457" s="3">
        <v>3.1741881160247398E-2</v>
      </c>
      <c r="L457">
        <v>28175650319</v>
      </c>
      <c r="M457" s="2" t="s">
        <v>12</v>
      </c>
    </row>
    <row r="458" spans="1:13" x14ac:dyDescent="0.3">
      <c r="A458" s="1">
        <v>45749</v>
      </c>
      <c r="B458" s="2" t="s">
        <v>11</v>
      </c>
      <c r="C458">
        <v>85180.609379999994</v>
      </c>
      <c r="D458">
        <v>88466.953129999994</v>
      </c>
      <c r="E458">
        <v>82343.539059999996</v>
      </c>
      <c r="F458">
        <v>82485.710940000004</v>
      </c>
      <c r="G458">
        <f>_xlfn.MAXIFS(Crypto[Close],Crypto[Name],Crypto[[#This Row],[Name]],Crypto[Date],"&lt;="&amp;Crypto[[#This Row],[Date]])</f>
        <v>106146.2656</v>
      </c>
      <c r="H458" s="3">
        <f>(Crypto[[#This Row],[Close]]/Crypto[[#This Row],[Peak Close]])-1</f>
        <v>-0.22290520091551858</v>
      </c>
      <c r="I458">
        <v>85169.171879999994</v>
      </c>
      <c r="J458" s="1">
        <v>45748</v>
      </c>
      <c r="K458" s="3">
        <v>-3.1507420828053599E-2</v>
      </c>
      <c r="L458">
        <v>47584398470</v>
      </c>
      <c r="M458" s="2" t="s">
        <v>12</v>
      </c>
    </row>
    <row r="459" spans="1:13" x14ac:dyDescent="0.3">
      <c r="A459" s="1">
        <v>45750</v>
      </c>
      <c r="B459" s="2" t="s">
        <v>11</v>
      </c>
      <c r="C459">
        <v>82487.476559999996</v>
      </c>
      <c r="D459">
        <v>83909.296879999994</v>
      </c>
      <c r="E459">
        <v>81282.101559999996</v>
      </c>
      <c r="F459">
        <v>83102.828129999994</v>
      </c>
      <c r="G459">
        <f>_xlfn.MAXIFS(Crypto[Close],Crypto[Name],Crypto[[#This Row],[Name]],Crypto[Date],"&lt;="&amp;Crypto[[#This Row],[Date]])</f>
        <v>106146.2656</v>
      </c>
      <c r="H459" s="3">
        <f>(Crypto[[#This Row],[Close]]/Crypto[[#This Row],[Peak Close]])-1</f>
        <v>-0.21709136293910281</v>
      </c>
      <c r="I459">
        <v>82485.710940000004</v>
      </c>
      <c r="J459" s="1">
        <v>45749</v>
      </c>
      <c r="K459" s="3">
        <v>7.4815041655988202E-3</v>
      </c>
      <c r="L459">
        <v>36852112080</v>
      </c>
      <c r="M459" s="2" t="s">
        <v>12</v>
      </c>
    </row>
    <row r="460" spans="1:13" x14ac:dyDescent="0.3">
      <c r="A460" s="1">
        <v>45751</v>
      </c>
      <c r="B460" s="2" t="s">
        <v>11</v>
      </c>
      <c r="C460">
        <v>83100.25</v>
      </c>
      <c r="D460">
        <v>84696.148440000004</v>
      </c>
      <c r="E460">
        <v>81670.75</v>
      </c>
      <c r="F460">
        <v>83843.804690000004</v>
      </c>
      <c r="G460">
        <f>_xlfn.MAXIFS(Crypto[Close],Crypto[Name],Crypto[[#This Row],[Name]],Crypto[Date],"&lt;="&amp;Crypto[[#This Row],[Date]])</f>
        <v>106146.2656</v>
      </c>
      <c r="H460" s="3">
        <f>(Crypto[[#This Row],[Close]]/Crypto[[#This Row],[Peak Close]])-1</f>
        <v>-0.21011065046832877</v>
      </c>
      <c r="I460">
        <v>83102.828129999994</v>
      </c>
      <c r="J460" s="1">
        <v>45750</v>
      </c>
      <c r="K460" s="3">
        <v>8.9163819893214799E-3</v>
      </c>
      <c r="L460">
        <v>45157640207</v>
      </c>
      <c r="M460" s="2" t="s">
        <v>12</v>
      </c>
    </row>
    <row r="461" spans="1:13" x14ac:dyDescent="0.3">
      <c r="A461" s="1">
        <v>45752</v>
      </c>
      <c r="B461" s="2" t="s">
        <v>11</v>
      </c>
      <c r="C461">
        <v>83844.703129999994</v>
      </c>
      <c r="D461">
        <v>84207.015629999994</v>
      </c>
      <c r="E461">
        <v>82377.734379999994</v>
      </c>
      <c r="F461">
        <v>83504.796879999994</v>
      </c>
      <c r="G461">
        <f>_xlfn.MAXIFS(Crypto[Close],Crypto[Name],Crypto[[#This Row],[Name]],Crypto[Date],"&lt;="&amp;Crypto[[#This Row],[Date]])</f>
        <v>106146.2656</v>
      </c>
      <c r="H461" s="3">
        <f>(Crypto[[#This Row],[Close]]/Crypto[[#This Row],[Peak Close]])-1</f>
        <v>-0.21330443037272528</v>
      </c>
      <c r="I461">
        <v>83843.804690000004</v>
      </c>
      <c r="J461" s="1">
        <v>45751</v>
      </c>
      <c r="K461" s="3">
        <v>-4.0433256965549296E-3</v>
      </c>
      <c r="L461">
        <v>14380803631</v>
      </c>
      <c r="M461" s="2" t="s">
        <v>12</v>
      </c>
    </row>
    <row r="462" spans="1:13" x14ac:dyDescent="0.3">
      <c r="A462" s="1">
        <v>45753</v>
      </c>
      <c r="B462" s="2" t="s">
        <v>11</v>
      </c>
      <c r="C462">
        <v>83504.507809999996</v>
      </c>
      <c r="D462">
        <v>83704.71875</v>
      </c>
      <c r="E462">
        <v>77097.742190000004</v>
      </c>
      <c r="F462">
        <v>78214.484379999994</v>
      </c>
      <c r="G462">
        <f>_xlfn.MAXIFS(Crypto[Close],Crypto[Name],Crypto[[#This Row],[Name]],Crypto[Date],"&lt;="&amp;Crypto[[#This Row],[Date]])</f>
        <v>106146.2656</v>
      </c>
      <c r="H462" s="3">
        <f>(Crypto[[#This Row],[Close]]/Crypto[[#This Row],[Peak Close]])-1</f>
        <v>-0.26314426665990975</v>
      </c>
      <c r="I462">
        <v>83504.796879999994</v>
      </c>
      <c r="J462" s="1">
        <v>45752</v>
      </c>
      <c r="K462" s="3">
        <v>-6.3353396423470196E-2</v>
      </c>
      <c r="L462">
        <v>36294853736</v>
      </c>
      <c r="M462" s="2" t="s">
        <v>12</v>
      </c>
    </row>
    <row r="463" spans="1:13" x14ac:dyDescent="0.3">
      <c r="A463" s="1">
        <v>45754</v>
      </c>
      <c r="B463" s="2" t="s">
        <v>11</v>
      </c>
      <c r="C463">
        <v>78221.335940000004</v>
      </c>
      <c r="D463">
        <v>81119.0625</v>
      </c>
      <c r="E463">
        <v>74436.679690000004</v>
      </c>
      <c r="F463">
        <v>79235.335940000004</v>
      </c>
      <c r="G463">
        <f>_xlfn.MAXIFS(Crypto[Close],Crypto[Name],Crypto[[#This Row],[Name]],Crypto[Date],"&lt;="&amp;Crypto[[#This Row],[Date]])</f>
        <v>106146.2656</v>
      </c>
      <c r="H463" s="3">
        <f>(Crypto[[#This Row],[Close]]/Crypto[[#This Row],[Peak Close]])-1</f>
        <v>-0.25352686227710297</v>
      </c>
      <c r="I463">
        <v>78214.484379999994</v>
      </c>
      <c r="J463" s="1">
        <v>45753</v>
      </c>
      <c r="K463" s="3">
        <v>1.30519502633332E-2</v>
      </c>
      <c r="L463">
        <v>91262424987</v>
      </c>
      <c r="M463" s="2" t="s">
        <v>12</v>
      </c>
    </row>
    <row r="464" spans="1:13" x14ac:dyDescent="0.3">
      <c r="A464" s="1">
        <v>45755</v>
      </c>
      <c r="B464" s="2" t="s">
        <v>11</v>
      </c>
      <c r="C464">
        <v>79218.476559999996</v>
      </c>
      <c r="D464">
        <v>80823.890629999994</v>
      </c>
      <c r="E464">
        <v>76198.023440000004</v>
      </c>
      <c r="F464">
        <v>76271.953129999994</v>
      </c>
      <c r="G464">
        <f>_xlfn.MAXIFS(Crypto[Close],Crypto[Name],Crypto[[#This Row],[Name]],Crypto[Date],"&lt;="&amp;Crypto[[#This Row],[Date]])</f>
        <v>106146.2656</v>
      </c>
      <c r="H464" s="3">
        <f>(Crypto[[#This Row],[Close]]/Crypto[[#This Row],[Peak Close]])-1</f>
        <v>-0.28144478094573688</v>
      </c>
      <c r="I464">
        <v>79235.335940000004</v>
      </c>
      <c r="J464" s="1">
        <v>45754</v>
      </c>
      <c r="K464" s="3">
        <v>-3.7399763310702598E-2</v>
      </c>
      <c r="L464">
        <v>48314590749</v>
      </c>
      <c r="M464" s="2" t="s">
        <v>12</v>
      </c>
    </row>
    <row r="465" spans="1:13" x14ac:dyDescent="0.3">
      <c r="A465" s="1">
        <v>45756</v>
      </c>
      <c r="B465" s="2" t="s">
        <v>11</v>
      </c>
      <c r="C465">
        <v>76273.5625</v>
      </c>
      <c r="D465">
        <v>83541</v>
      </c>
      <c r="E465">
        <v>74589.671879999994</v>
      </c>
      <c r="F465">
        <v>82573.953129999994</v>
      </c>
      <c r="G465">
        <f>_xlfn.MAXIFS(Crypto[Close],Crypto[Name],Crypto[[#This Row],[Name]],Crypto[Date],"&lt;="&amp;Crypto[[#This Row],[Date]])</f>
        <v>106146.2656</v>
      </c>
      <c r="H465" s="3">
        <f>(Crypto[[#This Row],[Close]]/Crypto[[#This Row],[Peak Close]])-1</f>
        <v>-0.22207387454241256</v>
      </c>
      <c r="I465">
        <v>76271.953129999994</v>
      </c>
      <c r="J465" s="1">
        <v>45755</v>
      </c>
      <c r="K465" s="3">
        <v>8.2625391659483294E-2</v>
      </c>
      <c r="L465">
        <v>84213627038</v>
      </c>
      <c r="M465" s="2" t="s">
        <v>12</v>
      </c>
    </row>
    <row r="466" spans="1:13" x14ac:dyDescent="0.3">
      <c r="A466" s="1">
        <v>45757</v>
      </c>
      <c r="B466" s="2" t="s">
        <v>11</v>
      </c>
      <c r="C466">
        <v>82565.976559999996</v>
      </c>
      <c r="D466">
        <v>82700.929690000004</v>
      </c>
      <c r="E466">
        <v>78456.132809999996</v>
      </c>
      <c r="F466">
        <v>79626.140629999994</v>
      </c>
      <c r="G466">
        <f>_xlfn.MAXIFS(Crypto[Close],Crypto[Name],Crypto[[#This Row],[Name]],Crypto[Date],"&lt;="&amp;Crypto[[#This Row],[Date]])</f>
        <v>106146.2656</v>
      </c>
      <c r="H466" s="3">
        <f>(Crypto[[#This Row],[Close]]/Crypto[[#This Row],[Peak Close]])-1</f>
        <v>-0.24984510590262354</v>
      </c>
      <c r="I466">
        <v>82573.953129999994</v>
      </c>
      <c r="J466" s="1">
        <v>45756</v>
      </c>
      <c r="K466" s="3">
        <v>-3.5699059912502003E-2</v>
      </c>
      <c r="L466">
        <v>44718000633</v>
      </c>
      <c r="M466" s="2" t="s">
        <v>12</v>
      </c>
    </row>
    <row r="467" spans="1:13" x14ac:dyDescent="0.3">
      <c r="A467" s="1">
        <v>45758</v>
      </c>
      <c r="B467" s="2" t="s">
        <v>11</v>
      </c>
      <c r="C467">
        <v>79625.046879999994</v>
      </c>
      <c r="D467">
        <v>84247.476559999996</v>
      </c>
      <c r="E467">
        <v>78936.320309999996</v>
      </c>
      <c r="F467">
        <v>83404.835940000004</v>
      </c>
      <c r="G467">
        <f>_xlfn.MAXIFS(Crypto[Close],Crypto[Name],Crypto[[#This Row],[Name]],Crypto[Date],"&lt;="&amp;Crypto[[#This Row],[Date]])</f>
        <v>106146.2656</v>
      </c>
      <c r="H467" s="3">
        <f>(Crypto[[#This Row],[Close]]/Crypto[[#This Row],[Peak Close]])-1</f>
        <v>-0.21424615865148244</v>
      </c>
      <c r="I467">
        <v>79626.140629999994</v>
      </c>
      <c r="J467" s="1">
        <v>45757</v>
      </c>
      <c r="K467" s="3">
        <v>4.7455462240202403E-2</v>
      </c>
      <c r="L467">
        <v>41656778779</v>
      </c>
      <c r="M467" s="2" t="s">
        <v>12</v>
      </c>
    </row>
    <row r="468" spans="1:13" x14ac:dyDescent="0.3">
      <c r="A468" s="1">
        <v>45759</v>
      </c>
      <c r="B468" s="2" t="s">
        <v>11</v>
      </c>
      <c r="C468">
        <v>83404.515629999994</v>
      </c>
      <c r="D468">
        <v>85856.1875</v>
      </c>
      <c r="E468">
        <v>82769.375</v>
      </c>
      <c r="F468">
        <v>85287.109379999994</v>
      </c>
      <c r="G468">
        <f>_xlfn.MAXIFS(Crypto[Close],Crypto[Name],Crypto[[#This Row],[Name]],Crypto[Date],"&lt;="&amp;Crypto[[#This Row],[Date]])</f>
        <v>106146.2656</v>
      </c>
      <c r="H468" s="3">
        <f>(Crypto[[#This Row],[Close]]/Crypto[[#This Row],[Peak Close]])-1</f>
        <v>-0.19651333094096157</v>
      </c>
      <c r="I468">
        <v>83404.835940000004</v>
      </c>
      <c r="J468" s="1">
        <v>45758</v>
      </c>
      <c r="K468" s="3">
        <v>2.2567917301031099E-2</v>
      </c>
      <c r="L468">
        <v>24258059104</v>
      </c>
      <c r="M468" s="2" t="s">
        <v>12</v>
      </c>
    </row>
    <row r="469" spans="1:13" x14ac:dyDescent="0.3">
      <c r="A469" s="1">
        <v>45760</v>
      </c>
      <c r="B469" s="2" t="s">
        <v>11</v>
      </c>
      <c r="C469">
        <v>85279.46875</v>
      </c>
      <c r="D469">
        <v>86015.1875</v>
      </c>
      <c r="E469">
        <v>83027.007809999996</v>
      </c>
      <c r="F469">
        <v>83684.976559999996</v>
      </c>
      <c r="G469">
        <f>_xlfn.MAXIFS(Crypto[Close],Crypto[Name],Crypto[[#This Row],[Name]],Crypto[Date],"&lt;="&amp;Crypto[[#This Row],[Date]])</f>
        <v>106146.2656</v>
      </c>
      <c r="H469" s="3">
        <f>(Crypto[[#This Row],[Close]]/Crypto[[#This Row],[Peak Close]])-1</f>
        <v>-0.21160696434335979</v>
      </c>
      <c r="I469">
        <v>85287.109379999994</v>
      </c>
      <c r="J469" s="1">
        <v>45759</v>
      </c>
      <c r="K469" s="3">
        <v>-1.8785169665695101E-2</v>
      </c>
      <c r="L469">
        <v>28796984817</v>
      </c>
      <c r="M469" s="2" t="s">
        <v>12</v>
      </c>
    </row>
    <row r="470" spans="1:13" x14ac:dyDescent="0.3">
      <c r="A470" s="1">
        <v>45761</v>
      </c>
      <c r="B470" s="2" t="s">
        <v>11</v>
      </c>
      <c r="C470">
        <v>83694.523440000004</v>
      </c>
      <c r="D470">
        <v>85785</v>
      </c>
      <c r="E470">
        <v>83690.640629999994</v>
      </c>
      <c r="F470">
        <v>84542.390629999994</v>
      </c>
      <c r="G470">
        <f>_xlfn.MAXIFS(Crypto[Close],Crypto[Name],Crypto[[#This Row],[Name]],Crypto[Date],"&lt;="&amp;Crypto[[#This Row],[Date]])</f>
        <v>106146.2656</v>
      </c>
      <c r="H470" s="3">
        <f>(Crypto[[#This Row],[Close]]/Crypto[[#This Row],[Peak Close]])-1</f>
        <v>-0.20352929844382583</v>
      </c>
      <c r="I470">
        <v>83684.976559999996</v>
      </c>
      <c r="J470" s="1">
        <v>45760</v>
      </c>
      <c r="K470" s="3">
        <v>1.0245734721396E-2</v>
      </c>
      <c r="L470">
        <v>34090769777</v>
      </c>
      <c r="M470" s="2" t="s">
        <v>12</v>
      </c>
    </row>
    <row r="471" spans="1:13" x14ac:dyDescent="0.3">
      <c r="A471" s="1">
        <v>45762</v>
      </c>
      <c r="B471" s="2" t="s">
        <v>11</v>
      </c>
      <c r="C471">
        <v>84539.695309999996</v>
      </c>
      <c r="D471">
        <v>86429.351559999996</v>
      </c>
      <c r="E471">
        <v>83598.820309999996</v>
      </c>
      <c r="F471">
        <v>83668.992190000004</v>
      </c>
      <c r="G471">
        <f>_xlfn.MAXIFS(Crypto[Close],Crypto[Name],Crypto[[#This Row],[Name]],Crypto[Date],"&lt;="&amp;Crypto[[#This Row],[Date]])</f>
        <v>106146.2656</v>
      </c>
      <c r="H471" s="3">
        <f>(Crypto[[#This Row],[Close]]/Crypto[[#This Row],[Peak Close]])-1</f>
        <v>-0.21175755249556316</v>
      </c>
      <c r="I471">
        <v>84542.390629999994</v>
      </c>
      <c r="J471" s="1">
        <v>45761</v>
      </c>
      <c r="K471" s="3">
        <v>-1.03308935729346E-2</v>
      </c>
      <c r="L471">
        <v>28040322885</v>
      </c>
      <c r="M471" s="2" t="s">
        <v>12</v>
      </c>
    </row>
    <row r="472" spans="1:13" x14ac:dyDescent="0.3">
      <c r="A472" s="1">
        <v>45763</v>
      </c>
      <c r="B472" s="2" t="s">
        <v>11</v>
      </c>
      <c r="C472">
        <v>83674.507809999996</v>
      </c>
      <c r="D472">
        <v>85428.28125</v>
      </c>
      <c r="E472">
        <v>83100.617190000004</v>
      </c>
      <c r="F472">
        <v>84033.867190000004</v>
      </c>
      <c r="G472">
        <f>_xlfn.MAXIFS(Crypto[Close],Crypto[Name],Crypto[[#This Row],[Name]],Crypto[Date],"&lt;="&amp;Crypto[[#This Row],[Date]])</f>
        <v>106146.2656</v>
      </c>
      <c r="H472" s="3">
        <f>(Crypto[[#This Row],[Close]]/Crypto[[#This Row],[Peak Close]])-1</f>
        <v>-0.20832007876120695</v>
      </c>
      <c r="I472">
        <v>83668.992190000004</v>
      </c>
      <c r="J472" s="1">
        <v>45762</v>
      </c>
      <c r="K472" s="3">
        <v>4.3609345642818603E-3</v>
      </c>
      <c r="L472">
        <v>29617804112</v>
      </c>
      <c r="M472" s="2" t="s">
        <v>12</v>
      </c>
    </row>
    <row r="473" spans="1:13" x14ac:dyDescent="0.3">
      <c r="A473" s="1">
        <v>45764</v>
      </c>
      <c r="B473" s="2" t="s">
        <v>11</v>
      </c>
      <c r="C473">
        <v>84030.671879999994</v>
      </c>
      <c r="D473">
        <v>85449.070309999996</v>
      </c>
      <c r="E473">
        <v>83749.75</v>
      </c>
      <c r="F473">
        <v>84895.75</v>
      </c>
      <c r="G473">
        <f>_xlfn.MAXIFS(Crypto[Close],Crypto[Name],Crypto[[#This Row],[Name]],Crypto[Date],"&lt;="&amp;Crypto[[#This Row],[Date]])</f>
        <v>106146.2656</v>
      </c>
      <c r="H473" s="3">
        <f>(Crypto[[#This Row],[Close]]/Crypto[[#This Row],[Peak Close]])-1</f>
        <v>-0.20020031302919428</v>
      </c>
      <c r="I473">
        <v>84033.867190000004</v>
      </c>
      <c r="J473" s="1">
        <v>45763</v>
      </c>
      <c r="K473" s="3">
        <v>1.02563744692516E-2</v>
      </c>
      <c r="L473">
        <v>21276866029</v>
      </c>
      <c r="M473" s="2" t="s">
        <v>12</v>
      </c>
    </row>
    <row r="474" spans="1:13" x14ac:dyDescent="0.3">
      <c r="A474" s="1">
        <v>45765</v>
      </c>
      <c r="B474" s="2" t="s">
        <v>11</v>
      </c>
      <c r="C474">
        <v>84900.1875</v>
      </c>
      <c r="D474">
        <v>85095.046879999994</v>
      </c>
      <c r="E474">
        <v>84298.882809999996</v>
      </c>
      <c r="F474">
        <v>84450.804690000004</v>
      </c>
      <c r="G474">
        <f>_xlfn.MAXIFS(Crypto[Close],Crypto[Name],Crypto[[#This Row],[Name]],Crypto[Date],"&lt;="&amp;Crypto[[#This Row],[Date]])</f>
        <v>106146.2656</v>
      </c>
      <c r="H474" s="3">
        <f>(Crypto[[#This Row],[Close]]/Crypto[[#This Row],[Peak Close]])-1</f>
        <v>-0.20439212616067759</v>
      </c>
      <c r="I474">
        <v>84895.75</v>
      </c>
      <c r="J474" s="1">
        <v>45764</v>
      </c>
      <c r="K474" s="3">
        <v>-5.2410787348011597E-3</v>
      </c>
      <c r="L474">
        <v>12728372364</v>
      </c>
      <c r="M474" s="2" t="s">
        <v>12</v>
      </c>
    </row>
    <row r="475" spans="1:13" x14ac:dyDescent="0.3">
      <c r="A475" s="1">
        <v>45766</v>
      </c>
      <c r="B475" s="2" t="s">
        <v>11</v>
      </c>
      <c r="C475">
        <v>84450.867190000004</v>
      </c>
      <c r="D475">
        <v>85597.703129999994</v>
      </c>
      <c r="E475">
        <v>84353.460940000004</v>
      </c>
      <c r="F475">
        <v>85063.414059999996</v>
      </c>
      <c r="G475">
        <f>_xlfn.MAXIFS(Crypto[Close],Crypto[Name],Crypto[[#This Row],[Name]],Crypto[Date],"&lt;="&amp;Crypto[[#This Row],[Date]])</f>
        <v>106146.2656</v>
      </c>
      <c r="H475" s="3">
        <f>(Crypto[[#This Row],[Close]]/Crypto[[#This Row],[Peak Close]])-1</f>
        <v>-0.1986207561879596</v>
      </c>
      <c r="I475">
        <v>84450.804690000004</v>
      </c>
      <c r="J475" s="1">
        <v>45765</v>
      </c>
      <c r="K475" s="3">
        <v>7.25403828002282E-3</v>
      </c>
      <c r="L475">
        <v>15259300427</v>
      </c>
      <c r="M475" s="2" t="s">
        <v>12</v>
      </c>
    </row>
    <row r="476" spans="1:13" x14ac:dyDescent="0.3">
      <c r="A476" s="1">
        <v>45767</v>
      </c>
      <c r="B476" s="2" t="s">
        <v>11</v>
      </c>
      <c r="C476">
        <v>85066.070309999996</v>
      </c>
      <c r="D476">
        <v>85306.382809999996</v>
      </c>
      <c r="E476">
        <v>83976.84375</v>
      </c>
      <c r="F476">
        <v>85174.304690000004</v>
      </c>
      <c r="G476">
        <f>_xlfn.MAXIFS(Crypto[Close],Crypto[Name],Crypto[[#This Row],[Name]],Crypto[Date],"&lt;="&amp;Crypto[[#This Row],[Date]])</f>
        <v>106146.2656</v>
      </c>
      <c r="H476" s="3">
        <f>(Crypto[[#This Row],[Close]]/Crypto[[#This Row],[Peak Close]])-1</f>
        <v>-0.19757605970831249</v>
      </c>
      <c r="I476">
        <v>85063.414059999996</v>
      </c>
      <c r="J476" s="1">
        <v>45766</v>
      </c>
      <c r="K476" s="3">
        <v>1.3036230819726E-3</v>
      </c>
      <c r="L476">
        <v>14664050812</v>
      </c>
      <c r="M476" s="2" t="s">
        <v>12</v>
      </c>
    </row>
    <row r="477" spans="1:13" x14ac:dyDescent="0.3">
      <c r="A477" s="1">
        <v>45768</v>
      </c>
      <c r="B477" s="2" t="s">
        <v>11</v>
      </c>
      <c r="C477">
        <v>85171.539059999996</v>
      </c>
      <c r="D477">
        <v>88460.09375</v>
      </c>
      <c r="E477">
        <v>85143.835940000004</v>
      </c>
      <c r="F477">
        <v>87518.90625</v>
      </c>
      <c r="G477">
        <f>_xlfn.MAXIFS(Crypto[Close],Crypto[Name],Crypto[[#This Row],[Name]],Crypto[Date],"&lt;="&amp;Crypto[[#This Row],[Date]])</f>
        <v>106146.2656</v>
      </c>
      <c r="H477" s="3">
        <f>(Crypto[[#This Row],[Close]]/Crypto[[#This Row],[Peak Close]])-1</f>
        <v>-0.17548765606314465</v>
      </c>
      <c r="I477">
        <v>85174.304690000004</v>
      </c>
      <c r="J477" s="1">
        <v>45767</v>
      </c>
      <c r="K477" s="3">
        <v>2.7527099499472199E-2</v>
      </c>
      <c r="L477">
        <v>41396190190</v>
      </c>
      <c r="M477" s="2" t="s">
        <v>12</v>
      </c>
    </row>
    <row r="478" spans="1:13" x14ac:dyDescent="0.3">
      <c r="A478" s="1">
        <v>45769</v>
      </c>
      <c r="B478" s="2" t="s">
        <v>11</v>
      </c>
      <c r="C478">
        <v>87521.875</v>
      </c>
      <c r="D478">
        <v>93817.382809999996</v>
      </c>
      <c r="E478">
        <v>87084.53125</v>
      </c>
      <c r="F478">
        <v>93441.890629999994</v>
      </c>
      <c r="G478">
        <f>_xlfn.MAXIFS(Crypto[Close],Crypto[Name],Crypto[[#This Row],[Name]],Crypto[Date],"&lt;="&amp;Crypto[[#This Row],[Date]])</f>
        <v>106146.2656</v>
      </c>
      <c r="H478" s="3">
        <f>(Crypto[[#This Row],[Close]]/Crypto[[#This Row],[Peak Close]])-1</f>
        <v>-0.11968744164655765</v>
      </c>
      <c r="I478">
        <v>87518.90625</v>
      </c>
      <c r="J478" s="1">
        <v>45768</v>
      </c>
      <c r="K478" s="3">
        <v>6.7676627071650494E-2</v>
      </c>
      <c r="L478">
        <v>55899038456</v>
      </c>
      <c r="M478" s="2" t="s">
        <v>12</v>
      </c>
    </row>
    <row r="479" spans="1:13" x14ac:dyDescent="0.3">
      <c r="A479" s="1">
        <v>45770</v>
      </c>
      <c r="B479" s="2" t="s">
        <v>11</v>
      </c>
      <c r="C479">
        <v>93427.585940000004</v>
      </c>
      <c r="D479">
        <v>94535.734379999994</v>
      </c>
      <c r="E479">
        <v>91962.960940000004</v>
      </c>
      <c r="F479">
        <v>93699.109379999994</v>
      </c>
      <c r="G479">
        <f>_xlfn.MAXIFS(Crypto[Close],Crypto[Name],Crypto[[#This Row],[Name]],Crypto[Date],"&lt;="&amp;Crypto[[#This Row],[Date]])</f>
        <v>106146.2656</v>
      </c>
      <c r="H479" s="3">
        <f>(Crypto[[#This Row],[Close]]/Crypto[[#This Row],[Peak Close]])-1</f>
        <v>-0.11726419341878391</v>
      </c>
      <c r="I479">
        <v>93441.890629999994</v>
      </c>
      <c r="J479" s="1">
        <v>45769</v>
      </c>
      <c r="K479" s="3">
        <v>2.7527134593038601E-3</v>
      </c>
      <c r="L479">
        <v>41719568821</v>
      </c>
      <c r="M479" s="2" t="s">
        <v>12</v>
      </c>
    </row>
    <row r="480" spans="1:13" x14ac:dyDescent="0.3">
      <c r="A480" s="1">
        <v>45771</v>
      </c>
      <c r="B480" s="2" t="s">
        <v>11</v>
      </c>
      <c r="C480">
        <v>93692.398440000004</v>
      </c>
      <c r="D480">
        <v>94016.195309999996</v>
      </c>
      <c r="E480">
        <v>91696.710940000004</v>
      </c>
      <c r="F480">
        <v>93943.796879999994</v>
      </c>
      <c r="G480">
        <f>_xlfn.MAXIFS(Crypto[Close],Crypto[Name],Crypto[[#This Row],[Name]],Crypto[Date],"&lt;="&amp;Crypto[[#This Row],[Date]])</f>
        <v>106146.2656</v>
      </c>
      <c r="H480" s="3">
        <f>(Crypto[[#This Row],[Close]]/Crypto[[#This Row],[Peak Close]])-1</f>
        <v>-0.11495900162878647</v>
      </c>
      <c r="I480">
        <v>93699.109379999994</v>
      </c>
      <c r="J480" s="1">
        <v>45770</v>
      </c>
      <c r="K480" s="3">
        <v>2.6114175643619101E-3</v>
      </c>
      <c r="L480">
        <v>31483175315</v>
      </c>
      <c r="M480" s="2" t="s">
        <v>12</v>
      </c>
    </row>
    <row r="481" spans="1:13" x14ac:dyDescent="0.3">
      <c r="A481" s="1">
        <v>45772</v>
      </c>
      <c r="B481" s="2" t="s">
        <v>11</v>
      </c>
      <c r="C481">
        <v>93954.25</v>
      </c>
      <c r="D481">
        <v>95768.390629999994</v>
      </c>
      <c r="E481">
        <v>92898.59375</v>
      </c>
      <c r="F481">
        <v>94720.5</v>
      </c>
      <c r="G481">
        <f>_xlfn.MAXIFS(Crypto[Close],Crypto[Name],Crypto[[#This Row],[Name]],Crypto[Date],"&lt;="&amp;Crypto[[#This Row],[Date]])</f>
        <v>106146.2656</v>
      </c>
      <c r="H481" s="3">
        <f>(Crypto[[#This Row],[Close]]/Crypto[[#This Row],[Peak Close]])-1</f>
        <v>-0.10764171057186955</v>
      </c>
      <c r="I481">
        <v>93943.796879999994</v>
      </c>
      <c r="J481" s="1">
        <v>45771</v>
      </c>
      <c r="K481" s="3">
        <v>8.2677424779002105E-3</v>
      </c>
      <c r="L481">
        <v>40915232364</v>
      </c>
      <c r="M481" s="2" t="s">
        <v>12</v>
      </c>
    </row>
    <row r="482" spans="1:13" x14ac:dyDescent="0.3">
      <c r="A482" s="1">
        <v>45773</v>
      </c>
      <c r="B482" s="2" t="s">
        <v>11</v>
      </c>
      <c r="C482">
        <v>94714.648440000004</v>
      </c>
      <c r="D482">
        <v>95251.359379999994</v>
      </c>
      <c r="E482">
        <v>93927.25</v>
      </c>
      <c r="F482">
        <v>94646.929690000004</v>
      </c>
      <c r="G482">
        <f>_xlfn.MAXIFS(Crypto[Close],Crypto[Name],Crypto[[#This Row],[Name]],Crypto[Date],"&lt;="&amp;Crypto[[#This Row],[Date]])</f>
        <v>106146.2656</v>
      </c>
      <c r="H482" s="3">
        <f>(Crypto[[#This Row],[Close]]/Crypto[[#This Row],[Peak Close]])-1</f>
        <v>-0.10833481371199549</v>
      </c>
      <c r="I482">
        <v>94720.5</v>
      </c>
      <c r="J482" s="1">
        <v>45772</v>
      </c>
      <c r="K482" s="3">
        <v>-7.7670947682915005E-4</v>
      </c>
      <c r="L482">
        <v>17612825123</v>
      </c>
      <c r="M482" s="2" t="s">
        <v>12</v>
      </c>
    </row>
    <row r="483" spans="1:13" x14ac:dyDescent="0.3">
      <c r="A483" s="1">
        <v>45774</v>
      </c>
      <c r="B483" s="2" t="s">
        <v>11</v>
      </c>
      <c r="C483">
        <v>94660.90625</v>
      </c>
      <c r="D483">
        <v>95301.203129999994</v>
      </c>
      <c r="E483">
        <v>93665.398440000004</v>
      </c>
      <c r="F483">
        <v>93754.84375</v>
      </c>
      <c r="G483">
        <f>_xlfn.MAXIFS(Crypto[Close],Crypto[Name],Crypto[[#This Row],[Name]],Crypto[Date],"&lt;="&amp;Crypto[[#This Row],[Date]])</f>
        <v>106146.2656</v>
      </c>
      <c r="H483" s="3">
        <f>(Crypto[[#This Row],[Close]]/Crypto[[#This Row],[Peak Close]])-1</f>
        <v>-0.1167391220026115</v>
      </c>
      <c r="I483">
        <v>94646.929690000004</v>
      </c>
      <c r="J483" s="1">
        <v>45773</v>
      </c>
      <c r="K483" s="3">
        <v>-9.4254081238755606E-3</v>
      </c>
      <c r="L483">
        <v>18090367764</v>
      </c>
      <c r="M483" s="2" t="s">
        <v>12</v>
      </c>
    </row>
    <row r="484" spans="1:13" x14ac:dyDescent="0.3">
      <c r="A484" s="1">
        <v>45775</v>
      </c>
      <c r="B484" s="2" t="s">
        <v>11</v>
      </c>
      <c r="C484">
        <v>93755.304690000004</v>
      </c>
      <c r="D484">
        <v>95598.492190000004</v>
      </c>
      <c r="E484">
        <v>92860.804690000004</v>
      </c>
      <c r="F484">
        <v>94978.75</v>
      </c>
      <c r="G484">
        <f>_xlfn.MAXIFS(Crypto[Close],Crypto[Name],Crypto[[#This Row],[Name]],Crypto[Date],"&lt;="&amp;Crypto[[#This Row],[Date]])</f>
        <v>106146.2656</v>
      </c>
      <c r="H484" s="3">
        <f>(Crypto[[#This Row],[Close]]/Crypto[[#This Row],[Peak Close]])-1</f>
        <v>-0.10520874697639859</v>
      </c>
      <c r="I484">
        <v>93754.84375</v>
      </c>
      <c r="J484" s="1">
        <v>45774</v>
      </c>
      <c r="K484" s="3">
        <v>1.3054325526514501E-2</v>
      </c>
      <c r="L484">
        <v>32363449569</v>
      </c>
      <c r="M484" s="2" t="s">
        <v>12</v>
      </c>
    </row>
    <row r="485" spans="1:13" x14ac:dyDescent="0.3">
      <c r="A485" s="1">
        <v>45776</v>
      </c>
      <c r="B485" s="2" t="s">
        <v>11</v>
      </c>
      <c r="C485">
        <v>94981.859379999994</v>
      </c>
      <c r="D485">
        <v>95485.414059999996</v>
      </c>
      <c r="E485">
        <v>93796.632809999996</v>
      </c>
      <c r="F485">
        <v>94284.789059999996</v>
      </c>
      <c r="G485">
        <f>_xlfn.MAXIFS(Crypto[Close],Crypto[Name],Crypto[[#This Row],[Name]],Crypto[Date],"&lt;="&amp;Crypto[[#This Row],[Date]])</f>
        <v>106146.2656</v>
      </c>
      <c r="H485" s="3">
        <f>(Crypto[[#This Row],[Close]]/Crypto[[#This Row],[Peak Close]])-1</f>
        <v>-0.11174652704880461</v>
      </c>
      <c r="I485">
        <v>94978.75</v>
      </c>
      <c r="J485" s="1">
        <v>45775</v>
      </c>
      <c r="K485" s="3">
        <v>-7.30648634562999E-3</v>
      </c>
      <c r="L485">
        <v>25806129921</v>
      </c>
      <c r="M485" s="2" t="s">
        <v>12</v>
      </c>
    </row>
    <row r="486" spans="1:13" x14ac:dyDescent="0.3">
      <c r="A486" s="1">
        <v>45777</v>
      </c>
      <c r="B486" s="2" t="s">
        <v>11</v>
      </c>
      <c r="C486">
        <v>94286.46875</v>
      </c>
      <c r="D486">
        <v>95249.320309999996</v>
      </c>
      <c r="E486">
        <v>92979.640629999994</v>
      </c>
      <c r="F486">
        <v>94207.3125</v>
      </c>
      <c r="G486">
        <f>_xlfn.MAXIFS(Crypto[Close],Crypto[Name],Crypto[[#This Row],[Name]],Crypto[Date],"&lt;="&amp;Crypto[[#This Row],[Date]])</f>
        <v>106146.2656</v>
      </c>
      <c r="H486" s="3">
        <f>(Crypto[[#This Row],[Close]]/Crypto[[#This Row],[Peak Close]])-1</f>
        <v>-0.1124764308241476</v>
      </c>
      <c r="I486">
        <v>94284.789059999996</v>
      </c>
      <c r="J486" s="1">
        <v>45776</v>
      </c>
      <c r="K486" s="3">
        <v>-8.2172915453723695E-4</v>
      </c>
      <c r="L486">
        <v>28344679831</v>
      </c>
      <c r="M486" s="2" t="s">
        <v>12</v>
      </c>
    </row>
    <row r="487" spans="1:13" x14ac:dyDescent="0.3">
      <c r="A487" s="1">
        <v>45778</v>
      </c>
      <c r="B487" s="2" t="s">
        <v>11</v>
      </c>
      <c r="C487">
        <v>94212.859379999994</v>
      </c>
      <c r="D487">
        <v>97437.960940000004</v>
      </c>
      <c r="E487">
        <v>94153.632809999996</v>
      </c>
      <c r="F487">
        <v>96492.335940000004</v>
      </c>
      <c r="G487">
        <f>_xlfn.MAXIFS(Crypto[Close],Crypto[Name],Crypto[[#This Row],[Name]],Crypto[Date],"&lt;="&amp;Crypto[[#This Row],[Date]])</f>
        <v>106146.2656</v>
      </c>
      <c r="H487" s="3">
        <f>(Crypto[[#This Row],[Close]]/Crypto[[#This Row],[Peak Close]])-1</f>
        <v>-9.0949310420205598E-2</v>
      </c>
      <c r="I487">
        <v>94207.3125</v>
      </c>
      <c r="J487" s="1">
        <v>45777</v>
      </c>
      <c r="K487" s="3">
        <v>2.42552661716149E-2</v>
      </c>
      <c r="L487">
        <v>32875889623</v>
      </c>
      <c r="M487" s="2" t="s">
        <v>12</v>
      </c>
    </row>
    <row r="488" spans="1:13" x14ac:dyDescent="0.3">
      <c r="A488" s="1">
        <v>45779</v>
      </c>
      <c r="B488" s="2" t="s">
        <v>11</v>
      </c>
      <c r="C488">
        <v>96494.96875</v>
      </c>
      <c r="D488">
        <v>97905.898440000004</v>
      </c>
      <c r="E488">
        <v>96375.945309999996</v>
      </c>
      <c r="F488">
        <v>96910.070309999996</v>
      </c>
      <c r="G488">
        <f>_xlfn.MAXIFS(Crypto[Close],Crypto[Name],Crypto[[#This Row],[Name]],Crypto[Date],"&lt;="&amp;Crypto[[#This Row],[Date]])</f>
        <v>106146.2656</v>
      </c>
      <c r="H488" s="3">
        <f>(Crypto[[#This Row],[Close]]/Crypto[[#This Row],[Peak Close]])-1</f>
        <v>-8.7013850537196902E-2</v>
      </c>
      <c r="I488">
        <v>96492.335940000004</v>
      </c>
      <c r="J488" s="1">
        <v>45778</v>
      </c>
      <c r="K488" s="3">
        <v>4.3291974013329199E-3</v>
      </c>
      <c r="L488">
        <v>26421924677</v>
      </c>
      <c r="M488" s="2" t="s">
        <v>12</v>
      </c>
    </row>
    <row r="489" spans="1:13" x14ac:dyDescent="0.3">
      <c r="A489" s="1">
        <v>45780</v>
      </c>
      <c r="B489" s="2" t="s">
        <v>11</v>
      </c>
      <c r="C489">
        <v>96904.632809999996</v>
      </c>
      <c r="D489">
        <v>96943.882809999996</v>
      </c>
      <c r="E489">
        <v>95821.289059999996</v>
      </c>
      <c r="F489">
        <v>95891.796879999994</v>
      </c>
      <c r="G489">
        <f>_xlfn.MAXIFS(Crypto[Close],Crypto[Name],Crypto[[#This Row],[Name]],Crypto[Date],"&lt;="&amp;Crypto[[#This Row],[Date]])</f>
        <v>106146.2656</v>
      </c>
      <c r="H489" s="3">
        <f>(Crypto[[#This Row],[Close]]/Crypto[[#This Row],[Peak Close]])-1</f>
        <v>-9.6606966453655518E-2</v>
      </c>
      <c r="I489">
        <v>96910.070309999996</v>
      </c>
      <c r="J489" s="1">
        <v>45779</v>
      </c>
      <c r="K489" s="3">
        <v>-1.05074057499154E-2</v>
      </c>
      <c r="L489">
        <v>15775154889</v>
      </c>
      <c r="M489" s="2" t="s">
        <v>12</v>
      </c>
    </row>
    <row r="490" spans="1:13" x14ac:dyDescent="0.3">
      <c r="A490" s="1">
        <v>45781</v>
      </c>
      <c r="B490" s="2" t="s">
        <v>11</v>
      </c>
      <c r="C490">
        <v>95877.1875</v>
      </c>
      <c r="D490">
        <v>96318.921879999994</v>
      </c>
      <c r="E490">
        <v>94173.429690000004</v>
      </c>
      <c r="F490">
        <v>94315.976559999996</v>
      </c>
      <c r="G490">
        <f>_xlfn.MAXIFS(Crypto[Close],Crypto[Name],Crypto[[#This Row],[Name]],Crypto[Date],"&lt;="&amp;Crypto[[#This Row],[Date]])</f>
        <v>106146.2656</v>
      </c>
      <c r="H490" s="3">
        <f>(Crypto[[#This Row],[Close]]/Crypto[[#This Row],[Peak Close]])-1</f>
        <v>-0.11145271077723151</v>
      </c>
      <c r="I490">
        <v>95891.796879999994</v>
      </c>
      <c r="J490" s="1">
        <v>45780</v>
      </c>
      <c r="K490" s="3">
        <v>-1.6433317252069E-2</v>
      </c>
      <c r="L490">
        <v>18198688416</v>
      </c>
      <c r="M490" s="2" t="s">
        <v>12</v>
      </c>
    </row>
    <row r="491" spans="1:13" x14ac:dyDescent="0.3">
      <c r="A491" s="1">
        <v>45782</v>
      </c>
      <c r="B491" s="2" t="s">
        <v>11</v>
      </c>
      <c r="C491">
        <v>94319.5625</v>
      </c>
      <c r="D491">
        <v>95193.1875</v>
      </c>
      <c r="E491">
        <v>93566.265629999994</v>
      </c>
      <c r="F491">
        <v>94748.054690000004</v>
      </c>
      <c r="G491">
        <f>_xlfn.MAXIFS(Crypto[Close],Crypto[Name],Crypto[[#This Row],[Name]],Crypto[Date],"&lt;="&amp;Crypto[[#This Row],[Date]])</f>
        <v>106146.2656</v>
      </c>
      <c r="H491" s="3">
        <f>(Crypto[[#This Row],[Close]]/Crypto[[#This Row],[Peak Close]])-1</f>
        <v>-0.10738211886749593</v>
      </c>
      <c r="I491">
        <v>94315.976559999996</v>
      </c>
      <c r="J491" s="1">
        <v>45781</v>
      </c>
      <c r="K491" s="3">
        <v>4.5811764428388101E-3</v>
      </c>
      <c r="L491">
        <v>25816260327</v>
      </c>
      <c r="M491" s="2" t="s">
        <v>12</v>
      </c>
    </row>
    <row r="492" spans="1:13" x14ac:dyDescent="0.3">
      <c r="A492" s="1">
        <v>45783</v>
      </c>
      <c r="B492" s="2" t="s">
        <v>11</v>
      </c>
      <c r="C492">
        <v>94748.382809999996</v>
      </c>
      <c r="D492">
        <v>96889.179690000004</v>
      </c>
      <c r="E492">
        <v>93399.859379999994</v>
      </c>
      <c r="F492">
        <v>96802.476559999996</v>
      </c>
      <c r="G492">
        <f>_xlfn.MAXIFS(Crypto[Close],Crypto[Name],Crypto[[#This Row],[Name]],Crypto[Date],"&lt;="&amp;Crypto[[#This Row],[Date]])</f>
        <v>106146.2656</v>
      </c>
      <c r="H492" s="3">
        <f>(Crypto[[#This Row],[Close]]/Crypto[[#This Row],[Peak Close]])-1</f>
        <v>-8.8027487233615864E-2</v>
      </c>
      <c r="I492">
        <v>94748.054690000004</v>
      </c>
      <c r="J492" s="1">
        <v>45782</v>
      </c>
      <c r="K492" s="3">
        <v>2.16829978907928E-2</v>
      </c>
      <c r="L492">
        <v>26551275827</v>
      </c>
      <c r="M492" s="2" t="s">
        <v>12</v>
      </c>
    </row>
    <row r="493" spans="1:13" x14ac:dyDescent="0.3">
      <c r="A493" s="1">
        <v>45784</v>
      </c>
      <c r="B493" s="2" t="s">
        <v>11</v>
      </c>
      <c r="C493">
        <v>96800.195309999996</v>
      </c>
      <c r="D493">
        <v>97625.804690000004</v>
      </c>
      <c r="E493">
        <v>95829.335940000004</v>
      </c>
      <c r="F493">
        <v>97032.320309999996</v>
      </c>
      <c r="G493">
        <f>_xlfn.MAXIFS(Crypto[Close],Crypto[Name],Crypto[[#This Row],[Name]],Crypto[Date],"&lt;="&amp;Crypto[[#This Row],[Date]])</f>
        <v>106146.2656</v>
      </c>
      <c r="H493" s="3">
        <f>(Crypto[[#This Row],[Close]]/Crypto[[#This Row],[Peak Close]])-1</f>
        <v>-8.5862137857443455E-2</v>
      </c>
      <c r="I493">
        <v>96802.476559999996</v>
      </c>
      <c r="J493" s="1">
        <v>45783</v>
      </c>
      <c r="K493" s="3">
        <v>2.3743581586731302E-3</v>
      </c>
      <c r="L493">
        <v>76983822462</v>
      </c>
      <c r="M493" s="2" t="s">
        <v>12</v>
      </c>
    </row>
    <row r="494" spans="1:13" x14ac:dyDescent="0.3">
      <c r="A494" s="1">
        <v>45785</v>
      </c>
      <c r="B494" s="2" t="s">
        <v>11</v>
      </c>
      <c r="C494">
        <v>97034.25</v>
      </c>
      <c r="D494">
        <v>103969.53909999999</v>
      </c>
      <c r="E494">
        <v>96913.875</v>
      </c>
      <c r="F494">
        <v>103241.46090000001</v>
      </c>
      <c r="G494">
        <f>_xlfn.MAXIFS(Crypto[Close],Crypto[Name],Crypto[[#This Row],[Name]],Crypto[Date],"&lt;="&amp;Crypto[[#This Row],[Date]])</f>
        <v>106146.2656</v>
      </c>
      <c r="H494" s="3">
        <f>(Crypto[[#This Row],[Close]]/Crypto[[#This Row],[Peak Close]])-1</f>
        <v>-2.7366056484232959E-2</v>
      </c>
      <c r="I494">
        <v>97032.320309999996</v>
      </c>
      <c r="J494" s="1">
        <v>45784</v>
      </c>
      <c r="K494" s="3">
        <v>6.3990437105522893E-2</v>
      </c>
      <c r="L494">
        <v>69895404397</v>
      </c>
      <c r="M494" s="2" t="s">
        <v>12</v>
      </c>
    </row>
    <row r="495" spans="1:13" x14ac:dyDescent="0.3">
      <c r="A495" s="1">
        <v>45786</v>
      </c>
      <c r="B495" s="2" t="s">
        <v>11</v>
      </c>
      <c r="C495">
        <v>103239.125</v>
      </c>
      <c r="D495">
        <v>104297.49219999999</v>
      </c>
      <c r="E495">
        <v>102343.0938</v>
      </c>
      <c r="F495">
        <v>102970.85159999999</v>
      </c>
      <c r="G495">
        <f>_xlfn.MAXIFS(Crypto[Close],Crypto[Name],Crypto[[#This Row],[Name]],Crypto[Date],"&lt;="&amp;Crypto[[#This Row],[Date]])</f>
        <v>106146.2656</v>
      </c>
      <c r="H495" s="3">
        <f>(Crypto[[#This Row],[Close]]/Crypto[[#This Row],[Peak Close]])-1</f>
        <v>-2.9915456582958688E-2</v>
      </c>
      <c r="I495">
        <v>103241.46090000001</v>
      </c>
      <c r="J495" s="1">
        <v>45785</v>
      </c>
      <c r="K495" s="3">
        <v>-2.6211300929006001E-3</v>
      </c>
      <c r="L495">
        <v>58198593958</v>
      </c>
      <c r="M495" s="2" t="s">
        <v>12</v>
      </c>
    </row>
    <row r="496" spans="1:13" x14ac:dyDescent="0.3">
      <c r="A496" s="1">
        <v>45787</v>
      </c>
      <c r="B496" s="2" t="s">
        <v>11</v>
      </c>
      <c r="C496">
        <v>102973.71090000001</v>
      </c>
      <c r="D496">
        <v>104961.7656</v>
      </c>
      <c r="E496">
        <v>102830.4844</v>
      </c>
      <c r="F496">
        <v>104696.3281</v>
      </c>
      <c r="G496">
        <f>_xlfn.MAXIFS(Crypto[Close],Crypto[Name],Crypto[[#This Row],[Name]],Crypto[Date],"&lt;="&amp;Crypto[[#This Row],[Date]])</f>
        <v>106146.2656</v>
      </c>
      <c r="H496" s="3">
        <f>(Crypto[[#This Row],[Close]]/Crypto[[#This Row],[Peak Close]])-1</f>
        <v>-1.3659806982413536E-2</v>
      </c>
      <c r="I496">
        <v>102970.85159999999</v>
      </c>
      <c r="J496" s="1">
        <v>45786</v>
      </c>
      <c r="K496" s="3">
        <v>1.6756941145857299E-2</v>
      </c>
      <c r="L496">
        <v>42276713994</v>
      </c>
      <c r="M496" s="2" t="s">
        <v>12</v>
      </c>
    </row>
    <row r="497" spans="1:13" x14ac:dyDescent="0.3">
      <c r="A497" s="1">
        <v>45788</v>
      </c>
      <c r="B497" s="2" t="s">
        <v>11</v>
      </c>
      <c r="C497">
        <v>104701.07030000001</v>
      </c>
      <c r="D497">
        <v>104937.99219999999</v>
      </c>
      <c r="E497">
        <v>103364.74219999999</v>
      </c>
      <c r="F497">
        <v>104106.3594</v>
      </c>
      <c r="G497">
        <f>_xlfn.MAXIFS(Crypto[Close],Crypto[Name],Crypto[[#This Row],[Name]],Crypto[Date],"&lt;="&amp;Crypto[[#This Row],[Date]])</f>
        <v>106146.2656</v>
      </c>
      <c r="H497" s="3">
        <f>(Crypto[[#This Row],[Close]]/Crypto[[#This Row],[Peak Close]])-1</f>
        <v>-1.9217880049470115E-2</v>
      </c>
      <c r="I497">
        <v>104696.3281</v>
      </c>
      <c r="J497" s="1">
        <v>45787</v>
      </c>
      <c r="K497" s="3">
        <v>-5.6350467175553002E-3</v>
      </c>
      <c r="L497">
        <v>46285517406</v>
      </c>
      <c r="M497" s="2" t="s">
        <v>12</v>
      </c>
    </row>
    <row r="498" spans="1:13" x14ac:dyDescent="0.3">
      <c r="A498" s="1">
        <v>45789</v>
      </c>
      <c r="B498" s="2" t="s">
        <v>11</v>
      </c>
      <c r="C498">
        <v>104106.96090000001</v>
      </c>
      <c r="D498">
        <v>105747.4531</v>
      </c>
      <c r="E498">
        <v>100814.4063</v>
      </c>
      <c r="F498">
        <v>102812.9531</v>
      </c>
      <c r="G498">
        <f>_xlfn.MAXIFS(Crypto[Close],Crypto[Name],Crypto[[#This Row],[Name]],Crypto[Date],"&lt;="&amp;Crypto[[#This Row],[Date]])</f>
        <v>106146.2656</v>
      </c>
      <c r="H498" s="3">
        <f>(Crypto[[#This Row],[Close]]/Crypto[[#This Row],[Peak Close]])-1</f>
        <v>-3.140301244851329E-2</v>
      </c>
      <c r="I498">
        <v>104106.3594</v>
      </c>
      <c r="J498" s="1">
        <v>45788</v>
      </c>
      <c r="K498" s="3">
        <v>-1.2423893290038601E-2</v>
      </c>
      <c r="L498">
        <v>63250475404</v>
      </c>
      <c r="M498" s="2" t="s">
        <v>12</v>
      </c>
    </row>
    <row r="499" spans="1:13" x14ac:dyDescent="0.3">
      <c r="A499" s="1">
        <v>45790</v>
      </c>
      <c r="B499" s="2" t="s">
        <v>11</v>
      </c>
      <c r="C499">
        <v>102812.49219999999</v>
      </c>
      <c r="D499">
        <v>104997.4219</v>
      </c>
      <c r="E499">
        <v>101515.0938</v>
      </c>
      <c r="F499">
        <v>104169.8125</v>
      </c>
      <c r="G499">
        <f>_xlfn.MAXIFS(Crypto[Close],Crypto[Name],Crypto[[#This Row],[Name]],Crypto[Date],"&lt;="&amp;Crypto[[#This Row],[Date]])</f>
        <v>106146.2656</v>
      </c>
      <c r="H499" s="3">
        <f>(Crypto[[#This Row],[Close]]/Crypto[[#This Row],[Peak Close]])-1</f>
        <v>-1.8620090766528041E-2</v>
      </c>
      <c r="I499">
        <v>102812.9531</v>
      </c>
      <c r="J499" s="1">
        <v>45789</v>
      </c>
      <c r="K499" s="3">
        <v>1.31973584950941E-2</v>
      </c>
      <c r="L499">
        <v>52608876410</v>
      </c>
      <c r="M499" s="2" t="s">
        <v>12</v>
      </c>
    </row>
    <row r="500" spans="1:13" x14ac:dyDescent="0.3">
      <c r="A500" s="1">
        <v>45791</v>
      </c>
      <c r="B500" s="2" t="s">
        <v>11</v>
      </c>
      <c r="C500">
        <v>104167.3281</v>
      </c>
      <c r="D500">
        <v>104303.5625</v>
      </c>
      <c r="E500">
        <v>102618.2969</v>
      </c>
      <c r="F500">
        <v>103539.41409999999</v>
      </c>
      <c r="G500">
        <f>_xlfn.MAXIFS(Crypto[Close],Crypto[Name],Crypto[[#This Row],[Name]],Crypto[Date],"&lt;="&amp;Crypto[[#This Row],[Date]])</f>
        <v>106146.2656</v>
      </c>
      <c r="H500" s="3">
        <f>(Crypto[[#This Row],[Close]]/Crypto[[#This Row],[Peak Close]])-1</f>
        <v>-2.4559050525843507E-2</v>
      </c>
      <c r="I500">
        <v>104169.8125</v>
      </c>
      <c r="J500" s="1">
        <v>45790</v>
      </c>
      <c r="K500" s="3">
        <v>-6.0516418804152598E-3</v>
      </c>
      <c r="L500">
        <v>45956071155</v>
      </c>
      <c r="M500" s="2" t="s">
        <v>12</v>
      </c>
    </row>
    <row r="501" spans="1:13" x14ac:dyDescent="0.3">
      <c r="A501" s="1">
        <v>45792</v>
      </c>
      <c r="B501" s="2" t="s">
        <v>11</v>
      </c>
      <c r="C501">
        <v>103538.8281</v>
      </c>
      <c r="D501">
        <v>104153.61719999999</v>
      </c>
      <c r="E501">
        <v>101440.8125</v>
      </c>
      <c r="F501">
        <v>103744.6406</v>
      </c>
      <c r="G501">
        <f>_xlfn.MAXIFS(Crypto[Close],Crypto[Name],Crypto[[#This Row],[Name]],Crypto[Date],"&lt;="&amp;Crypto[[#This Row],[Date]])</f>
        <v>106146.2656</v>
      </c>
      <c r="H501" s="3">
        <f>(Crypto[[#This Row],[Close]]/Crypto[[#This Row],[Peak Close]])-1</f>
        <v>-2.2625619341619108E-2</v>
      </c>
      <c r="I501">
        <v>103539.41409999999</v>
      </c>
      <c r="J501" s="1">
        <v>45791</v>
      </c>
      <c r="K501" s="3">
        <v>1.9821099219452199E-3</v>
      </c>
      <c r="L501">
        <v>50408241840</v>
      </c>
      <c r="M501" s="2" t="s">
        <v>12</v>
      </c>
    </row>
    <row r="502" spans="1:13" x14ac:dyDescent="0.3">
      <c r="A502" s="1">
        <v>45793</v>
      </c>
      <c r="B502" s="2" t="s">
        <v>11</v>
      </c>
      <c r="C502">
        <v>103735.6563</v>
      </c>
      <c r="D502">
        <v>104533.4844</v>
      </c>
      <c r="E502">
        <v>103137.47659999999</v>
      </c>
      <c r="F502">
        <v>103489.28909999999</v>
      </c>
      <c r="G502">
        <f>_xlfn.MAXIFS(Crypto[Close],Crypto[Name],Crypto[[#This Row],[Name]],Crypto[Date],"&lt;="&amp;Crypto[[#This Row],[Date]])</f>
        <v>106146.2656</v>
      </c>
      <c r="H502" s="3">
        <f>(Crypto[[#This Row],[Close]]/Crypto[[#This Row],[Peak Close]])-1</f>
        <v>-2.503127627694901E-2</v>
      </c>
      <c r="I502">
        <v>103744.6406</v>
      </c>
      <c r="J502" s="1">
        <v>45792</v>
      </c>
      <c r="K502" s="3">
        <v>-2.4613464225544199E-3</v>
      </c>
      <c r="L502">
        <v>44386499364</v>
      </c>
      <c r="M502" s="2" t="s">
        <v>12</v>
      </c>
    </row>
    <row r="503" spans="1:13" x14ac:dyDescent="0.3">
      <c r="A503" s="1">
        <v>45794</v>
      </c>
      <c r="B503" s="2" t="s">
        <v>11</v>
      </c>
      <c r="C503">
        <v>103489.28909999999</v>
      </c>
      <c r="D503">
        <v>103716.94530000001</v>
      </c>
      <c r="E503">
        <v>102659.17969999999</v>
      </c>
      <c r="F503">
        <v>103191.08590000001</v>
      </c>
      <c r="G503">
        <f>_xlfn.MAXIFS(Crypto[Close],Crypto[Name],Crypto[[#This Row],[Name]],Crypto[Date],"&lt;="&amp;Crypto[[#This Row],[Date]])</f>
        <v>106146.2656</v>
      </c>
      <c r="H503" s="3">
        <f>(Crypto[[#This Row],[Close]]/Crypto[[#This Row],[Peak Close]])-1</f>
        <v>-2.7840637475992303E-2</v>
      </c>
      <c r="I503">
        <v>103489.28909999999</v>
      </c>
      <c r="J503" s="1">
        <v>45793</v>
      </c>
      <c r="K503" s="3">
        <v>-2.8814885346428501E-3</v>
      </c>
      <c r="L503">
        <v>37898552742</v>
      </c>
      <c r="M503" s="2" t="s">
        <v>12</v>
      </c>
    </row>
    <row r="504" spans="1:13" x14ac:dyDescent="0.3">
      <c r="A504" s="1">
        <v>45795</v>
      </c>
      <c r="B504" s="2" t="s">
        <v>11</v>
      </c>
      <c r="C504">
        <v>103186.9531</v>
      </c>
      <c r="D504">
        <v>106597.1719</v>
      </c>
      <c r="E504">
        <v>103142.60159999999</v>
      </c>
      <c r="F504">
        <v>106446.00780000001</v>
      </c>
      <c r="G504">
        <f>_xlfn.MAXIFS(Crypto[Close],Crypto[Name],Crypto[[#This Row],[Name]],Crypto[Date],"&lt;="&amp;Crypto[[#This Row],[Date]])</f>
        <v>106446.00780000001</v>
      </c>
      <c r="H504" s="3">
        <f>(Crypto[[#This Row],[Close]]/Crypto[[#This Row],[Peak Close]])-1</f>
        <v>0</v>
      </c>
      <c r="I504">
        <v>103191.08590000001</v>
      </c>
      <c r="J504" s="1">
        <v>45794</v>
      </c>
      <c r="K504" s="3">
        <v>3.1542665450330402E-2</v>
      </c>
      <c r="L504">
        <v>49887082058</v>
      </c>
      <c r="M504" s="2" t="s">
        <v>12</v>
      </c>
    </row>
    <row r="505" spans="1:13" x14ac:dyDescent="0.3">
      <c r="A505" s="1">
        <v>45796</v>
      </c>
      <c r="B505" s="2" t="s">
        <v>11</v>
      </c>
      <c r="C505">
        <v>106430.5313</v>
      </c>
      <c r="D505">
        <v>107068.7188</v>
      </c>
      <c r="E505">
        <v>102112.6875</v>
      </c>
      <c r="F505">
        <v>105606.17969999999</v>
      </c>
      <c r="G505">
        <f>_xlfn.MAXIFS(Crypto[Close],Crypto[Name],Crypto[[#This Row],[Name]],Crypto[Date],"&lt;="&amp;Crypto[[#This Row],[Date]])</f>
        <v>106446.00780000001</v>
      </c>
      <c r="H505" s="3">
        <f>(Crypto[[#This Row],[Close]]/Crypto[[#This Row],[Peak Close]])-1</f>
        <v>-7.8897096975018011E-3</v>
      </c>
      <c r="I505">
        <v>106446.00780000001</v>
      </c>
      <c r="J505" s="1">
        <v>45795</v>
      </c>
      <c r="K505" s="3">
        <v>-7.8897096975018097E-3</v>
      </c>
      <c r="L505">
        <v>61761126647</v>
      </c>
      <c r="M505" s="2" t="s">
        <v>12</v>
      </c>
    </row>
    <row r="506" spans="1:13" x14ac:dyDescent="0.3">
      <c r="A506" s="1">
        <v>45797</v>
      </c>
      <c r="B506" s="2" t="s">
        <v>11</v>
      </c>
      <c r="C506">
        <v>105605.4063</v>
      </c>
      <c r="D506">
        <v>107307.11719999999</v>
      </c>
      <c r="E506">
        <v>104206.5156</v>
      </c>
      <c r="F506">
        <v>106791.08590000001</v>
      </c>
      <c r="G506">
        <f>_xlfn.MAXIFS(Crypto[Close],Crypto[Name],Crypto[[#This Row],[Name]],Crypto[Date],"&lt;="&amp;Crypto[[#This Row],[Date]])</f>
        <v>106791.08590000001</v>
      </c>
      <c r="H506" s="3">
        <f>(Crypto[[#This Row],[Close]]/Crypto[[#This Row],[Peak Close]])-1</f>
        <v>0</v>
      </c>
      <c r="I506">
        <v>105606.17969999999</v>
      </c>
      <c r="J506" s="1">
        <v>45796</v>
      </c>
      <c r="K506" s="3">
        <v>1.12200460556951E-2</v>
      </c>
      <c r="L506">
        <v>36515726122</v>
      </c>
      <c r="M506" s="2" t="s">
        <v>12</v>
      </c>
    </row>
    <row r="507" spans="1:13" x14ac:dyDescent="0.3">
      <c r="A507" s="1">
        <v>45798</v>
      </c>
      <c r="B507" s="2" t="s">
        <v>11</v>
      </c>
      <c r="C507">
        <v>106791.3125</v>
      </c>
      <c r="D507">
        <v>110724.46090000001</v>
      </c>
      <c r="E507">
        <v>106127.2344</v>
      </c>
      <c r="F507">
        <v>109678.0781</v>
      </c>
      <c r="G507">
        <f>_xlfn.MAXIFS(Crypto[Close],Crypto[Name],Crypto[[#This Row],[Name]],Crypto[Date],"&lt;="&amp;Crypto[[#This Row],[Date]])</f>
        <v>109678.0781</v>
      </c>
      <c r="H507" s="3">
        <f>(Crypto[[#This Row],[Close]]/Crypto[[#This Row],[Peak Close]])-1</f>
        <v>0</v>
      </c>
      <c r="I507">
        <v>106791.08590000001</v>
      </c>
      <c r="J507" s="1">
        <v>45797</v>
      </c>
      <c r="K507" s="3">
        <v>2.7034018576263901E-2</v>
      </c>
      <c r="L507">
        <v>78086364051</v>
      </c>
      <c r="M507" s="2" t="s">
        <v>12</v>
      </c>
    </row>
    <row r="508" spans="1:13" x14ac:dyDescent="0.3">
      <c r="A508" s="1">
        <v>45799</v>
      </c>
      <c r="B508" s="2" t="s">
        <v>11</v>
      </c>
      <c r="C508">
        <v>109673.49219999999</v>
      </c>
      <c r="D508">
        <v>111970.1719</v>
      </c>
      <c r="E508">
        <v>109285.07030000001</v>
      </c>
      <c r="F508">
        <v>111673.2813</v>
      </c>
      <c r="G508">
        <f>_xlfn.MAXIFS(Crypto[Close],Crypto[Name],Crypto[[#This Row],[Name]],Crypto[Date],"&lt;="&amp;Crypto[[#This Row],[Date]])</f>
        <v>111673.2813</v>
      </c>
      <c r="H508" s="3">
        <f>(Crypto[[#This Row],[Close]]/Crypto[[#This Row],[Peak Close]])-1</f>
        <v>0</v>
      </c>
      <c r="I508">
        <v>109678.0781</v>
      </c>
      <c r="J508" s="1">
        <v>45798</v>
      </c>
      <c r="K508" s="3">
        <v>1.81914493266454E-2</v>
      </c>
      <c r="L508">
        <v>70157575642</v>
      </c>
      <c r="M508" s="2" t="s">
        <v>12</v>
      </c>
    </row>
    <row r="509" spans="1:13" x14ac:dyDescent="0.3">
      <c r="A509" s="1">
        <v>45800</v>
      </c>
      <c r="B509" s="2" t="s">
        <v>11</v>
      </c>
      <c r="C509">
        <v>111679.3594</v>
      </c>
      <c r="D509">
        <v>111798.9063</v>
      </c>
      <c r="E509">
        <v>106841.30469999999</v>
      </c>
      <c r="F509">
        <v>107287.7969</v>
      </c>
      <c r="G509">
        <f>_xlfn.MAXIFS(Crypto[Close],Crypto[Name],Crypto[[#This Row],[Name]],Crypto[Date],"&lt;="&amp;Crypto[[#This Row],[Date]])</f>
        <v>111673.2813</v>
      </c>
      <c r="H509" s="3">
        <f>(Crypto[[#This Row],[Close]]/Crypto[[#This Row],[Peak Close]])-1</f>
        <v>-3.9270668408307952E-2</v>
      </c>
      <c r="I509">
        <v>111673.2813</v>
      </c>
      <c r="J509" s="1">
        <v>45799</v>
      </c>
      <c r="K509" s="3">
        <v>-3.9270668408308E-2</v>
      </c>
      <c r="L509">
        <v>67548133399</v>
      </c>
      <c r="M509" s="2" t="s">
        <v>12</v>
      </c>
    </row>
    <row r="510" spans="1:13" x14ac:dyDescent="0.3">
      <c r="A510" s="1">
        <v>45801</v>
      </c>
      <c r="B510" s="2" t="s">
        <v>11</v>
      </c>
      <c r="C510">
        <v>107278.50780000001</v>
      </c>
      <c r="D510">
        <v>109454.52340000001</v>
      </c>
      <c r="E510">
        <v>106895.28909999999</v>
      </c>
      <c r="F510">
        <v>107791.1563</v>
      </c>
      <c r="G510">
        <f>_xlfn.MAXIFS(Crypto[Close],Crypto[Name],Crypto[[#This Row],[Name]],Crypto[Date],"&lt;="&amp;Crypto[[#This Row],[Date]])</f>
        <v>111673.2813</v>
      </c>
      <c r="H510" s="3">
        <f>(Crypto[[#This Row],[Close]]/Crypto[[#This Row],[Peak Close]])-1</f>
        <v>-3.4763239288823522E-2</v>
      </c>
      <c r="I510">
        <v>107287.7969</v>
      </c>
      <c r="J510" s="1">
        <v>45800</v>
      </c>
      <c r="K510" s="3">
        <v>4.6916743054120904E-3</v>
      </c>
      <c r="L510">
        <v>45903627163</v>
      </c>
      <c r="M510" s="2" t="s">
        <v>12</v>
      </c>
    </row>
    <row r="511" spans="1:13" x14ac:dyDescent="0.3">
      <c r="A511" s="1">
        <v>45802</v>
      </c>
      <c r="B511" s="2" t="s">
        <v>11</v>
      </c>
      <c r="C511">
        <v>107802.27340000001</v>
      </c>
      <c r="D511">
        <v>109313.30469999999</v>
      </c>
      <c r="E511">
        <v>106683.375</v>
      </c>
      <c r="F511">
        <v>109035.3906</v>
      </c>
      <c r="G511">
        <f>_xlfn.MAXIFS(Crypto[Close],Crypto[Name],Crypto[[#This Row],[Name]],Crypto[Date],"&lt;="&amp;Crypto[[#This Row],[Date]])</f>
        <v>111673.2813</v>
      </c>
      <c r="H511" s="3">
        <f>(Crypto[[#This Row],[Close]]/Crypto[[#This Row],[Peak Close]])-1</f>
        <v>-2.3621502559001084E-2</v>
      </c>
      <c r="I511">
        <v>107791.1563</v>
      </c>
      <c r="J511" s="1">
        <v>45801</v>
      </c>
      <c r="K511" s="3">
        <v>1.1543009117901E-2</v>
      </c>
      <c r="L511">
        <v>47518041841</v>
      </c>
      <c r="M511" s="2" t="s">
        <v>12</v>
      </c>
    </row>
    <row r="512" spans="1:13" x14ac:dyDescent="0.3">
      <c r="A512" s="1">
        <v>45803</v>
      </c>
      <c r="B512" s="2" t="s">
        <v>11</v>
      </c>
      <c r="C512">
        <v>109023.7813</v>
      </c>
      <c r="D512">
        <v>110376.88280000001</v>
      </c>
      <c r="E512">
        <v>108735.6406</v>
      </c>
      <c r="F512">
        <v>109440.36719999999</v>
      </c>
      <c r="G512">
        <f>_xlfn.MAXIFS(Crypto[Close],Crypto[Name],Crypto[[#This Row],[Name]],Crypto[Date],"&lt;="&amp;Crypto[[#This Row],[Date]])</f>
        <v>111673.2813</v>
      </c>
      <c r="H512" s="3">
        <f>(Crypto[[#This Row],[Close]]/Crypto[[#This Row],[Peak Close]])-1</f>
        <v>-1.9995061253743285E-2</v>
      </c>
      <c r="I512">
        <v>109035.3906</v>
      </c>
      <c r="J512" s="1">
        <v>45802</v>
      </c>
      <c r="K512" s="3">
        <v>3.7141757164484801E-3</v>
      </c>
      <c r="L512">
        <v>45950461571</v>
      </c>
      <c r="M512" s="2" t="s">
        <v>12</v>
      </c>
    </row>
    <row r="513" spans="1:13" x14ac:dyDescent="0.3">
      <c r="A513" s="1">
        <v>45804</v>
      </c>
      <c r="B513" s="2" t="s">
        <v>11</v>
      </c>
      <c r="C513">
        <v>109440.4063</v>
      </c>
      <c r="D513">
        <v>110744.21090000001</v>
      </c>
      <c r="E513">
        <v>107609.55469999999</v>
      </c>
      <c r="F513">
        <v>108994.6406</v>
      </c>
      <c r="G513">
        <f>_xlfn.MAXIFS(Crypto[Close],Crypto[Name],Crypto[[#This Row],[Name]],Crypto[Date],"&lt;="&amp;Crypto[[#This Row],[Date]])</f>
        <v>111673.2813</v>
      </c>
      <c r="H513" s="3">
        <f>(Crypto[[#This Row],[Close]]/Crypto[[#This Row],[Peak Close]])-1</f>
        <v>-2.3986406316870768E-2</v>
      </c>
      <c r="I513">
        <v>109440.36719999999</v>
      </c>
      <c r="J513" s="1">
        <v>45803</v>
      </c>
      <c r="K513" s="3">
        <v>-4.0727805598955898E-3</v>
      </c>
      <c r="L513">
        <v>57450176272</v>
      </c>
      <c r="M513" s="2" t="s">
        <v>12</v>
      </c>
    </row>
    <row r="514" spans="1:13" x14ac:dyDescent="0.3">
      <c r="A514" s="1">
        <v>45805</v>
      </c>
      <c r="B514" s="2" t="s">
        <v>11</v>
      </c>
      <c r="C514">
        <v>108992.1719</v>
      </c>
      <c r="D514">
        <v>109298.28909999999</v>
      </c>
      <c r="E514">
        <v>106812.92969999999</v>
      </c>
      <c r="F514">
        <v>107802.3281</v>
      </c>
      <c r="G514">
        <f>_xlfn.MAXIFS(Crypto[Close],Crypto[Name],Crypto[[#This Row],[Name]],Crypto[Date],"&lt;="&amp;Crypto[[#This Row],[Date]])</f>
        <v>111673.2813</v>
      </c>
      <c r="H514" s="3">
        <f>(Crypto[[#This Row],[Close]]/Crypto[[#This Row],[Peak Close]])-1</f>
        <v>-3.4663199244598597E-2</v>
      </c>
      <c r="I514">
        <v>108994.6406</v>
      </c>
      <c r="J514" s="1">
        <v>45804</v>
      </c>
      <c r="K514" s="3">
        <v>-1.09391846556536E-2</v>
      </c>
      <c r="L514">
        <v>49155377493</v>
      </c>
      <c r="M514" s="2" t="s">
        <v>12</v>
      </c>
    </row>
    <row r="515" spans="1:13" x14ac:dyDescent="0.3">
      <c r="A515" s="1">
        <v>45806</v>
      </c>
      <c r="B515" s="2" t="s">
        <v>11</v>
      </c>
      <c r="C515">
        <v>107795.57030000001</v>
      </c>
      <c r="D515">
        <v>108910.0469</v>
      </c>
      <c r="E515">
        <v>105374.39840000001</v>
      </c>
      <c r="F515">
        <v>105641.75780000001</v>
      </c>
      <c r="G515">
        <f>_xlfn.MAXIFS(Crypto[Close],Crypto[Name],Crypto[[#This Row],[Name]],Crypto[Date],"&lt;="&amp;Crypto[[#This Row],[Date]])</f>
        <v>111673.2813</v>
      </c>
      <c r="H515" s="3">
        <f>(Crypto[[#This Row],[Close]]/Crypto[[#This Row],[Peak Close]])-1</f>
        <v>-5.4010443946720499E-2</v>
      </c>
      <c r="I515">
        <v>107802.3281</v>
      </c>
      <c r="J515" s="1">
        <v>45805</v>
      </c>
      <c r="K515" s="3">
        <v>-2.0041963268138299E-2</v>
      </c>
      <c r="L515">
        <v>56022752042</v>
      </c>
      <c r="M515" s="2" t="s">
        <v>12</v>
      </c>
    </row>
    <row r="516" spans="1:13" x14ac:dyDescent="0.3">
      <c r="A516" s="1">
        <v>45807</v>
      </c>
      <c r="B516" s="2" t="s">
        <v>11</v>
      </c>
      <c r="C516">
        <v>105646.21090000001</v>
      </c>
      <c r="D516">
        <v>106308.94530000001</v>
      </c>
      <c r="E516">
        <v>103685.78909999999</v>
      </c>
      <c r="F516">
        <v>103998.57030000001</v>
      </c>
      <c r="G516">
        <f>_xlfn.MAXIFS(Crypto[Close],Crypto[Name],Crypto[[#This Row],[Name]],Crypto[Date],"&lt;="&amp;Crypto[[#This Row],[Date]])</f>
        <v>111673.2813</v>
      </c>
      <c r="H516" s="3">
        <f>(Crypto[[#This Row],[Close]]/Crypto[[#This Row],[Peak Close]])-1</f>
        <v>-6.8724684281306181E-2</v>
      </c>
      <c r="I516">
        <v>105641.75780000001</v>
      </c>
      <c r="J516" s="1">
        <v>45806</v>
      </c>
      <c r="K516" s="3">
        <v>-1.55543369801823E-2</v>
      </c>
      <c r="L516">
        <v>57655287183</v>
      </c>
      <c r="M516" s="2" t="s">
        <v>12</v>
      </c>
    </row>
    <row r="517" spans="1:13" x14ac:dyDescent="0.3">
      <c r="A517" s="1">
        <v>45808</v>
      </c>
      <c r="B517" s="2" t="s">
        <v>11</v>
      </c>
      <c r="C517">
        <v>103994.7188</v>
      </c>
      <c r="D517">
        <v>104927.10159999999</v>
      </c>
      <c r="E517">
        <v>103136.11719999999</v>
      </c>
      <c r="F517">
        <v>104638.0938</v>
      </c>
      <c r="G517">
        <f>_xlfn.MAXIFS(Crypto[Close],Crypto[Name],Crypto[[#This Row],[Name]],Crypto[Date],"&lt;="&amp;Crypto[[#This Row],[Date]])</f>
        <v>111673.2813</v>
      </c>
      <c r="H517" s="3">
        <f>(Crypto[[#This Row],[Close]]/Crypto[[#This Row],[Peak Close]])-1</f>
        <v>-6.2997947388154674E-2</v>
      </c>
      <c r="I517">
        <v>103998.57030000001</v>
      </c>
      <c r="J517" s="1">
        <v>45807</v>
      </c>
      <c r="K517" s="3">
        <v>6.1493489588865602E-3</v>
      </c>
      <c r="L517">
        <v>38997843858</v>
      </c>
      <c r="M517" s="2" t="s">
        <v>12</v>
      </c>
    </row>
    <row r="518" spans="1:13" x14ac:dyDescent="0.3">
      <c r="A518" s="1">
        <v>45809</v>
      </c>
      <c r="B518" s="2" t="s">
        <v>11</v>
      </c>
      <c r="C518">
        <v>104637.2969</v>
      </c>
      <c r="D518">
        <v>105884.5469</v>
      </c>
      <c r="E518">
        <v>103826.9531</v>
      </c>
      <c r="F518">
        <v>105652.10159999999</v>
      </c>
      <c r="G518">
        <f>_xlfn.MAXIFS(Crypto[Close],Crypto[Name],Crypto[[#This Row],[Name]],Crypto[Date],"&lt;="&amp;Crypto[[#This Row],[Date]])</f>
        <v>111673.2813</v>
      </c>
      <c r="H518" s="3">
        <f>(Crypto[[#This Row],[Close]]/Crypto[[#This Row],[Peak Close]])-1</f>
        <v>-5.3917818388667715E-2</v>
      </c>
      <c r="I518">
        <v>104638.0938</v>
      </c>
      <c r="J518" s="1">
        <v>45808</v>
      </c>
      <c r="K518" s="3">
        <v>9.6906180452609892E-3</v>
      </c>
      <c r="L518">
        <v>37397056873</v>
      </c>
      <c r="M518" s="2" t="s">
        <v>12</v>
      </c>
    </row>
    <row r="519" spans="1:13" x14ac:dyDescent="0.3">
      <c r="A519" s="1">
        <v>45810</v>
      </c>
      <c r="B519" s="2" t="s">
        <v>11</v>
      </c>
      <c r="C519">
        <v>105649.8125</v>
      </c>
      <c r="D519">
        <v>105958.3125</v>
      </c>
      <c r="E519">
        <v>103727.5469</v>
      </c>
      <c r="F519">
        <v>105881.5313</v>
      </c>
      <c r="G519">
        <f>_xlfn.MAXIFS(Crypto[Close],Crypto[Name],Crypto[[#This Row],[Name]],Crypto[Date],"&lt;="&amp;Crypto[[#This Row],[Date]])</f>
        <v>111673.2813</v>
      </c>
      <c r="H519" s="3">
        <f>(Crypto[[#This Row],[Close]]/Crypto[[#This Row],[Peak Close]])-1</f>
        <v>-5.1863345758068946E-2</v>
      </c>
      <c r="I519">
        <v>105652.10159999999</v>
      </c>
      <c r="J519" s="1">
        <v>45809</v>
      </c>
      <c r="K519" s="3">
        <v>2.1715583175868202E-3</v>
      </c>
      <c r="L519">
        <v>45819706290</v>
      </c>
      <c r="M519" s="2" t="s">
        <v>12</v>
      </c>
    </row>
    <row r="520" spans="1:13" x14ac:dyDescent="0.3">
      <c r="A520" s="1">
        <v>45811</v>
      </c>
      <c r="B520" s="2" t="s">
        <v>11</v>
      </c>
      <c r="C520">
        <v>105888.47659999999</v>
      </c>
      <c r="D520">
        <v>106813.5781</v>
      </c>
      <c r="E520">
        <v>104920.8438</v>
      </c>
      <c r="F520">
        <v>105432.4688</v>
      </c>
      <c r="G520">
        <f>_xlfn.MAXIFS(Crypto[Close],Crypto[Name],Crypto[[#This Row],[Name]],Crypto[Date],"&lt;="&amp;Crypto[[#This Row],[Date]])</f>
        <v>111673.2813</v>
      </c>
      <c r="H520" s="3">
        <f>(Crypto[[#This Row],[Close]]/Crypto[[#This Row],[Peak Close]])-1</f>
        <v>-5.5884562783058422E-2</v>
      </c>
      <c r="I520">
        <v>105881.5313</v>
      </c>
      <c r="J520" s="1">
        <v>45810</v>
      </c>
      <c r="K520" s="3">
        <v>-4.2411787446447703E-3</v>
      </c>
      <c r="L520">
        <v>46196508367</v>
      </c>
      <c r="M520" s="2" t="s">
        <v>12</v>
      </c>
    </row>
    <row r="521" spans="1:13" x14ac:dyDescent="0.3">
      <c r="A521" s="1">
        <v>45812</v>
      </c>
      <c r="B521" s="2" t="s">
        <v>11</v>
      </c>
      <c r="C521">
        <v>105434.36719999999</v>
      </c>
      <c r="D521">
        <v>105997.69530000001</v>
      </c>
      <c r="E521">
        <v>104232.7031</v>
      </c>
      <c r="F521">
        <v>104731.9844</v>
      </c>
      <c r="G521">
        <f>_xlfn.MAXIFS(Crypto[Close],Crypto[Name],Crypto[[#This Row],[Name]],Crypto[Date],"&lt;="&amp;Crypto[[#This Row],[Date]])</f>
        <v>111673.2813</v>
      </c>
      <c r="H521" s="3">
        <f>(Crypto[[#This Row],[Close]]/Crypto[[#This Row],[Peak Close]])-1</f>
        <v>-6.2157185847820151E-2</v>
      </c>
      <c r="I521">
        <v>105432.4688</v>
      </c>
      <c r="J521" s="1">
        <v>45811</v>
      </c>
      <c r="K521" s="3">
        <v>-6.6439153704043897E-3</v>
      </c>
      <c r="L521">
        <v>44544857105</v>
      </c>
      <c r="M521" s="2" t="s">
        <v>12</v>
      </c>
    </row>
    <row r="522" spans="1:13" x14ac:dyDescent="0.3">
      <c r="A522" s="1">
        <v>45813</v>
      </c>
      <c r="B522" s="2" t="s">
        <v>11</v>
      </c>
      <c r="C522">
        <v>104750.7813</v>
      </c>
      <c r="D522">
        <v>105936.6875</v>
      </c>
      <c r="E522">
        <v>100436.88280000001</v>
      </c>
      <c r="F522">
        <v>101575.9531</v>
      </c>
      <c r="G522">
        <f>_xlfn.MAXIFS(Crypto[Close],Crypto[Name],Crypto[[#This Row],[Name]],Crypto[Date],"&lt;="&amp;Crypto[[#This Row],[Date]])</f>
        <v>111673.2813</v>
      </c>
      <c r="H522" s="3">
        <f>(Crypto[[#This Row],[Close]]/Crypto[[#This Row],[Peak Close]])-1</f>
        <v>-9.0418478641049904E-2</v>
      </c>
      <c r="I522">
        <v>104731.9844</v>
      </c>
      <c r="J522" s="1">
        <v>45812</v>
      </c>
      <c r="K522" s="3">
        <v>-3.0134359795439901E-2</v>
      </c>
      <c r="L522">
        <v>57479298400</v>
      </c>
      <c r="M522" s="2" t="s">
        <v>12</v>
      </c>
    </row>
    <row r="523" spans="1:13" x14ac:dyDescent="0.3">
      <c r="A523" s="1">
        <v>45814</v>
      </c>
      <c r="B523" s="2" t="s">
        <v>11</v>
      </c>
      <c r="C523">
        <v>101574.36719999999</v>
      </c>
      <c r="D523">
        <v>105376.77340000001</v>
      </c>
      <c r="E523">
        <v>101169.57030000001</v>
      </c>
      <c r="F523">
        <v>104390.3438</v>
      </c>
      <c r="G523">
        <f>_xlfn.MAXIFS(Crypto[Close],Crypto[Name],Crypto[[#This Row],[Name]],Crypto[Date],"&lt;="&amp;Crypto[[#This Row],[Date]])</f>
        <v>111673.2813</v>
      </c>
      <c r="H523" s="3">
        <f>(Crypto[[#This Row],[Close]]/Crypto[[#This Row],[Peak Close]])-1</f>
        <v>-6.5216472689067495E-2</v>
      </c>
      <c r="I523">
        <v>101575.9531</v>
      </c>
      <c r="J523" s="1">
        <v>45813</v>
      </c>
      <c r="K523" s="3">
        <v>2.7707253676756301E-2</v>
      </c>
      <c r="L523">
        <v>48856653697</v>
      </c>
      <c r="M523" s="2" t="s">
        <v>12</v>
      </c>
    </row>
    <row r="524" spans="1:13" x14ac:dyDescent="0.3">
      <c r="A524" s="1">
        <v>45815</v>
      </c>
      <c r="B524" s="2" t="s">
        <v>11</v>
      </c>
      <c r="C524">
        <v>104390.64840000001</v>
      </c>
      <c r="D524">
        <v>105972.75780000001</v>
      </c>
      <c r="E524">
        <v>103987.3125</v>
      </c>
      <c r="F524">
        <v>105615.625</v>
      </c>
      <c r="G524">
        <f>_xlfn.MAXIFS(Crypto[Close],Crypto[Name],Crypto[[#This Row],[Name]],Crypto[Date],"&lt;="&amp;Crypto[[#This Row],[Date]])</f>
        <v>111673.2813</v>
      </c>
      <c r="H524" s="3">
        <f>(Crypto[[#This Row],[Close]]/Crypto[[#This Row],[Peak Close]])-1</f>
        <v>-5.4244455159570992E-2</v>
      </c>
      <c r="I524">
        <v>104390.3438</v>
      </c>
      <c r="J524" s="1">
        <v>45814</v>
      </c>
      <c r="K524" s="3">
        <v>1.17374955900854E-2</v>
      </c>
      <c r="L524">
        <v>38365033776</v>
      </c>
      <c r="M524" s="2" t="s">
        <v>12</v>
      </c>
    </row>
    <row r="525" spans="1:13" x14ac:dyDescent="0.3">
      <c r="A525" s="1">
        <v>45816</v>
      </c>
      <c r="B525" s="2" t="s">
        <v>11</v>
      </c>
      <c r="C525">
        <v>105617.50780000001</v>
      </c>
      <c r="D525">
        <v>106497.0625</v>
      </c>
      <c r="E525">
        <v>105075.3281</v>
      </c>
      <c r="F525">
        <v>105793.64840000001</v>
      </c>
      <c r="G525">
        <f>_xlfn.MAXIFS(Crypto[Close],Crypto[Name],Crypto[[#This Row],[Name]],Crypto[Date],"&lt;="&amp;Crypto[[#This Row],[Date]])</f>
        <v>111673.2813</v>
      </c>
      <c r="H525" s="3">
        <f>(Crypto[[#This Row],[Close]]/Crypto[[#This Row],[Peak Close]])-1</f>
        <v>-5.265031018659605E-2</v>
      </c>
      <c r="I525">
        <v>105615.625</v>
      </c>
      <c r="J525" s="1">
        <v>45815</v>
      </c>
      <c r="K525" s="3">
        <v>1.68557824658999E-3</v>
      </c>
      <c r="L525">
        <v>36626232328</v>
      </c>
      <c r="M525" s="2" t="s">
        <v>12</v>
      </c>
    </row>
    <row r="526" spans="1:13" x14ac:dyDescent="0.3">
      <c r="A526" s="1">
        <v>45817</v>
      </c>
      <c r="B526" s="2" t="s">
        <v>11</v>
      </c>
      <c r="C526">
        <v>105793.02340000001</v>
      </c>
      <c r="D526">
        <v>110561.4219</v>
      </c>
      <c r="E526">
        <v>105400.2344</v>
      </c>
      <c r="F526">
        <v>110294.10159999999</v>
      </c>
      <c r="G526">
        <f>_xlfn.MAXIFS(Crypto[Close],Crypto[Name],Crypto[[#This Row],[Name]],Crypto[Date],"&lt;="&amp;Crypto[[#This Row],[Date]])</f>
        <v>111673.2813</v>
      </c>
      <c r="H526" s="3">
        <f>(Crypto[[#This Row],[Close]]/Crypto[[#This Row],[Peak Close]])-1</f>
        <v>-1.2350131418588539E-2</v>
      </c>
      <c r="I526">
        <v>105793.64840000001</v>
      </c>
      <c r="J526" s="1">
        <v>45816</v>
      </c>
      <c r="K526" s="3">
        <v>4.2539918681923299E-2</v>
      </c>
      <c r="L526">
        <v>55903193732</v>
      </c>
      <c r="M526" s="2" t="s">
        <v>12</v>
      </c>
    </row>
    <row r="527" spans="1:13" x14ac:dyDescent="0.3">
      <c r="A527" s="1">
        <v>45818</v>
      </c>
      <c r="B527" s="2" t="s">
        <v>11</v>
      </c>
      <c r="C527">
        <v>110295.6875</v>
      </c>
      <c r="D527">
        <v>110380.125</v>
      </c>
      <c r="E527">
        <v>108367.71090000001</v>
      </c>
      <c r="F527">
        <v>110257.2344</v>
      </c>
      <c r="G527">
        <f>_xlfn.MAXIFS(Crypto[Close],Crypto[Name],Crypto[[#This Row],[Name]],Crypto[Date],"&lt;="&amp;Crypto[[#This Row],[Date]])</f>
        <v>111673.2813</v>
      </c>
      <c r="H527" s="3">
        <f>(Crypto[[#This Row],[Close]]/Crypto[[#This Row],[Peak Close]])-1</f>
        <v>-1.2680265892751175E-2</v>
      </c>
      <c r="I527">
        <v>110294.10159999999</v>
      </c>
      <c r="J527" s="1">
        <v>45817</v>
      </c>
      <c r="K527" s="3">
        <v>-3.3426266196626202E-4</v>
      </c>
      <c r="L527">
        <v>54700101509</v>
      </c>
      <c r="M527" s="2" t="s">
        <v>12</v>
      </c>
    </row>
    <row r="528" spans="1:13" x14ac:dyDescent="0.3">
      <c r="A528" s="1">
        <v>45819</v>
      </c>
      <c r="B528" s="2" t="s">
        <v>11</v>
      </c>
      <c r="C528">
        <v>110261.7969</v>
      </c>
      <c r="D528">
        <v>110384.2188</v>
      </c>
      <c r="E528">
        <v>108086.3281</v>
      </c>
      <c r="F528">
        <v>108686.625</v>
      </c>
      <c r="G528">
        <f>_xlfn.MAXIFS(Crypto[Close],Crypto[Name],Crypto[[#This Row],[Name]],Crypto[Date],"&lt;="&amp;Crypto[[#This Row],[Date]])</f>
        <v>111673.2813</v>
      </c>
      <c r="H528" s="3">
        <f>(Crypto[[#This Row],[Close]]/Crypto[[#This Row],[Peak Close]])-1</f>
        <v>-2.6744591591041589E-2</v>
      </c>
      <c r="I528">
        <v>110257.2344</v>
      </c>
      <c r="J528" s="1">
        <v>45818</v>
      </c>
      <c r="K528" s="3">
        <v>-1.4244955521939001E-2</v>
      </c>
      <c r="L528">
        <v>50842662052</v>
      </c>
      <c r="M528" s="2" t="s">
        <v>12</v>
      </c>
    </row>
    <row r="529" spans="1:13" x14ac:dyDescent="0.3">
      <c r="A529" s="1">
        <v>45820</v>
      </c>
      <c r="B529" s="2" t="s">
        <v>11</v>
      </c>
      <c r="C529">
        <v>108685.91409999999</v>
      </c>
      <c r="D529">
        <v>108780.69530000001</v>
      </c>
      <c r="E529">
        <v>105785.6875</v>
      </c>
      <c r="F529">
        <v>105929.05469999999</v>
      </c>
      <c r="G529">
        <f>_xlfn.MAXIFS(Crypto[Close],Crypto[Name],Crypto[[#This Row],[Name]],Crypto[Date],"&lt;="&amp;Crypto[[#This Row],[Date]])</f>
        <v>111673.2813</v>
      </c>
      <c r="H529" s="3">
        <f>(Crypto[[#This Row],[Close]]/Crypto[[#This Row],[Peak Close]])-1</f>
        <v>-5.1437788279621421E-2</v>
      </c>
      <c r="I529">
        <v>108686.625</v>
      </c>
      <c r="J529" s="1">
        <v>45819</v>
      </c>
      <c r="K529" s="3">
        <v>-2.53717538841601E-2</v>
      </c>
      <c r="L529">
        <v>54843867968</v>
      </c>
      <c r="M529" s="2" t="s">
        <v>12</v>
      </c>
    </row>
    <row r="530" spans="1:13" x14ac:dyDescent="0.3">
      <c r="A530" s="1">
        <v>45821</v>
      </c>
      <c r="B530" s="2" t="s">
        <v>11</v>
      </c>
      <c r="C530">
        <v>105924.5938</v>
      </c>
      <c r="D530">
        <v>106182.5469</v>
      </c>
      <c r="E530">
        <v>102822.02340000001</v>
      </c>
      <c r="F530">
        <v>106090.9688</v>
      </c>
      <c r="G530">
        <f>_xlfn.MAXIFS(Crypto[Close],Crypto[Name],Crypto[[#This Row],[Name]],Crypto[Date],"&lt;="&amp;Crypto[[#This Row],[Date]])</f>
        <v>111673.2813</v>
      </c>
      <c r="H530" s="3">
        <f>(Crypto[[#This Row],[Close]]/Crypto[[#This Row],[Peak Close]])-1</f>
        <v>-4.998789714975449E-2</v>
      </c>
      <c r="I530">
        <v>105929.05469999999</v>
      </c>
      <c r="J530" s="1">
        <v>45820</v>
      </c>
      <c r="K530" s="3">
        <v>1.5285145370036899E-3</v>
      </c>
      <c r="L530">
        <v>69550440846</v>
      </c>
      <c r="M530" s="2" t="s">
        <v>12</v>
      </c>
    </row>
    <row r="531" spans="1:13" x14ac:dyDescent="0.3">
      <c r="A531" s="1">
        <v>45822</v>
      </c>
      <c r="B531" s="2" t="s">
        <v>11</v>
      </c>
      <c r="C531">
        <v>106108.08590000001</v>
      </c>
      <c r="D531">
        <v>106203.75780000001</v>
      </c>
      <c r="E531">
        <v>104379.36719999999</v>
      </c>
      <c r="F531">
        <v>105472.4063</v>
      </c>
      <c r="G531">
        <f>_xlfn.MAXIFS(Crypto[Close],Crypto[Name],Crypto[[#This Row],[Name]],Crypto[Date],"&lt;="&amp;Crypto[[#This Row],[Date]])</f>
        <v>111673.2813</v>
      </c>
      <c r="H531" s="3">
        <f>(Crypto[[#This Row],[Close]]/Crypto[[#This Row],[Peak Close]])-1</f>
        <v>-5.5526934713612697E-2</v>
      </c>
      <c r="I531">
        <v>106090.9688</v>
      </c>
      <c r="J531" s="1">
        <v>45821</v>
      </c>
      <c r="K531" s="3">
        <v>-5.8304915771492096E-3</v>
      </c>
      <c r="L531">
        <v>38007870453</v>
      </c>
      <c r="M531" s="2" t="s">
        <v>12</v>
      </c>
    </row>
    <row r="532" spans="1:13" x14ac:dyDescent="0.3">
      <c r="A532" s="1">
        <v>45823</v>
      </c>
      <c r="B532" s="2" t="s">
        <v>11</v>
      </c>
      <c r="C532">
        <v>105464.8438</v>
      </c>
      <c r="D532">
        <v>106157.10159999999</v>
      </c>
      <c r="E532">
        <v>104519.88280000001</v>
      </c>
      <c r="F532">
        <v>105552.02340000001</v>
      </c>
      <c r="G532">
        <f>_xlfn.MAXIFS(Crypto[Close],Crypto[Name],Crypto[[#This Row],[Name]],Crypto[Date],"&lt;="&amp;Crypto[[#This Row],[Date]])</f>
        <v>111673.2813</v>
      </c>
      <c r="H532" s="3">
        <f>(Crypto[[#This Row],[Close]]/Crypto[[#This Row],[Peak Close]])-1</f>
        <v>-5.4813987990160351E-2</v>
      </c>
      <c r="I532">
        <v>105472.4063</v>
      </c>
      <c r="J532" s="1">
        <v>45822</v>
      </c>
      <c r="K532" s="3">
        <v>7.5486189035589601E-4</v>
      </c>
      <c r="L532">
        <v>36744307742</v>
      </c>
      <c r="M532" s="2" t="s">
        <v>12</v>
      </c>
    </row>
    <row r="533" spans="1:13" x14ac:dyDescent="0.3">
      <c r="A533" s="1">
        <v>45824</v>
      </c>
      <c r="B533" s="2" t="s">
        <v>11</v>
      </c>
      <c r="C533">
        <v>105555.5938</v>
      </c>
      <c r="D533">
        <v>108915.375</v>
      </c>
      <c r="E533">
        <v>104997.625</v>
      </c>
      <c r="F533">
        <v>106796.75780000001</v>
      </c>
      <c r="G533">
        <f>_xlfn.MAXIFS(Crypto[Close],Crypto[Name],Crypto[[#This Row],[Name]],Crypto[Date],"&lt;="&amp;Crypto[[#This Row],[Date]])</f>
        <v>111673.2813</v>
      </c>
      <c r="H533" s="3">
        <f>(Crypto[[#This Row],[Close]]/Crypto[[#This Row],[Peak Close]])-1</f>
        <v>-4.3667773018146283E-2</v>
      </c>
      <c r="I533">
        <v>105552.02340000001</v>
      </c>
      <c r="J533" s="1">
        <v>45823</v>
      </c>
      <c r="K533" s="3">
        <v>1.17926152422768E-2</v>
      </c>
      <c r="L533">
        <v>50366626945</v>
      </c>
      <c r="M533" s="2" t="s">
        <v>12</v>
      </c>
    </row>
    <row r="534" spans="1:13" x14ac:dyDescent="0.3">
      <c r="A534" s="1">
        <v>45825</v>
      </c>
      <c r="B534" s="2" t="s">
        <v>11</v>
      </c>
      <c r="C534">
        <v>106794.11719999999</v>
      </c>
      <c r="D534">
        <v>107750.19530000001</v>
      </c>
      <c r="E534">
        <v>103396.5313</v>
      </c>
      <c r="F534">
        <v>104601.11719999999</v>
      </c>
      <c r="G534">
        <f>_xlfn.MAXIFS(Crypto[Close],Crypto[Name],Crypto[[#This Row],[Name]],Crypto[Date],"&lt;="&amp;Crypto[[#This Row],[Date]])</f>
        <v>111673.2813</v>
      </c>
      <c r="H534" s="3">
        <f>(Crypto[[#This Row],[Close]]/Crypto[[#This Row],[Peak Close]])-1</f>
        <v>-6.3329061505780326E-2</v>
      </c>
      <c r="I534">
        <v>106796.75780000001</v>
      </c>
      <c r="J534" s="1">
        <v>45824</v>
      </c>
      <c r="K534" s="3">
        <v>-2.0559056709491399E-2</v>
      </c>
      <c r="L534">
        <v>55964092176</v>
      </c>
      <c r="M534" s="2" t="s">
        <v>12</v>
      </c>
    </row>
    <row r="535" spans="1:13" x14ac:dyDescent="0.3">
      <c r="A535" s="1">
        <v>45826</v>
      </c>
      <c r="B535" s="2" t="s">
        <v>11</v>
      </c>
      <c r="C535">
        <v>104602.07030000001</v>
      </c>
      <c r="D535">
        <v>105581.85159999999</v>
      </c>
      <c r="E535">
        <v>103602.2656</v>
      </c>
      <c r="F535">
        <v>104883.3281</v>
      </c>
      <c r="G535">
        <f>_xlfn.MAXIFS(Crypto[Close],Crypto[Name],Crypto[[#This Row],[Name]],Crypto[Date],"&lt;="&amp;Crypto[[#This Row],[Date]])</f>
        <v>111673.2813</v>
      </c>
      <c r="H535" s="3">
        <f>(Crypto[[#This Row],[Close]]/Crypto[[#This Row],[Peak Close]])-1</f>
        <v>-6.0801949409540645E-2</v>
      </c>
      <c r="I535">
        <v>104601.11719999999</v>
      </c>
      <c r="J535" s="1">
        <v>45825</v>
      </c>
      <c r="K535" s="3">
        <v>2.69797213982343E-3</v>
      </c>
      <c r="L535">
        <v>47318089133</v>
      </c>
      <c r="M535" s="2" t="s">
        <v>12</v>
      </c>
    </row>
    <row r="536" spans="1:13" x14ac:dyDescent="0.3">
      <c r="A536" s="1">
        <v>45827</v>
      </c>
      <c r="B536" s="2" t="s">
        <v>11</v>
      </c>
      <c r="C536">
        <v>104886.77340000001</v>
      </c>
      <c r="D536">
        <v>105250.8906</v>
      </c>
      <c r="E536">
        <v>103940.77340000001</v>
      </c>
      <c r="F536">
        <v>104684.28909999999</v>
      </c>
      <c r="G536">
        <f>_xlfn.MAXIFS(Crypto[Close],Crypto[Name],Crypto[[#This Row],[Name]],Crypto[Date],"&lt;="&amp;Crypto[[#This Row],[Date]])</f>
        <v>111673.2813</v>
      </c>
      <c r="H536" s="3">
        <f>(Crypto[[#This Row],[Close]]/Crypto[[#This Row],[Peak Close]])-1</f>
        <v>-6.2584282638071032E-2</v>
      </c>
      <c r="I536">
        <v>104883.3281</v>
      </c>
      <c r="J536" s="1">
        <v>45826</v>
      </c>
      <c r="K536" s="3">
        <v>-1.89771819416554E-3</v>
      </c>
      <c r="L536">
        <v>37333806920</v>
      </c>
      <c r="M536" s="2" t="s">
        <v>12</v>
      </c>
    </row>
    <row r="537" spans="1:13" x14ac:dyDescent="0.3">
      <c r="A537" s="1">
        <v>45828</v>
      </c>
      <c r="B537" s="2" t="s">
        <v>11</v>
      </c>
      <c r="C537">
        <v>104681.0313</v>
      </c>
      <c r="D537">
        <v>106539.38280000001</v>
      </c>
      <c r="E537">
        <v>102372.21090000001</v>
      </c>
      <c r="F537">
        <v>103309.60159999999</v>
      </c>
      <c r="G537">
        <f>_xlfn.MAXIFS(Crypto[Close],Crypto[Name],Crypto[[#This Row],[Name]],Crypto[Date],"&lt;="&amp;Crypto[[#This Row],[Date]])</f>
        <v>111673.2813</v>
      </c>
      <c r="H537" s="3">
        <f>(Crypto[[#This Row],[Close]]/Crypto[[#This Row],[Peak Close]])-1</f>
        <v>-7.4894187782767352E-2</v>
      </c>
      <c r="I537">
        <v>104684.28909999999</v>
      </c>
      <c r="J537" s="1">
        <v>45827</v>
      </c>
      <c r="K537" s="3">
        <v>-1.31317460510892E-2</v>
      </c>
      <c r="L537">
        <v>50951862476</v>
      </c>
      <c r="M537" s="2" t="s">
        <v>12</v>
      </c>
    </row>
    <row r="538" spans="1:13" x14ac:dyDescent="0.3">
      <c r="A538" s="1">
        <v>45829</v>
      </c>
      <c r="B538" s="2" t="s">
        <v>11</v>
      </c>
      <c r="C538">
        <v>103315.0781</v>
      </c>
      <c r="D538">
        <v>104015.7813</v>
      </c>
      <c r="E538">
        <v>100973.0625</v>
      </c>
      <c r="F538">
        <v>102257.4063</v>
      </c>
      <c r="G538">
        <f>_xlfn.MAXIFS(Crypto[Close],Crypto[Name],Crypto[[#This Row],[Name]],Crypto[Date],"&lt;="&amp;Crypto[[#This Row],[Date]])</f>
        <v>111673.2813</v>
      </c>
      <c r="H538" s="3">
        <f>(Crypto[[#This Row],[Close]]/Crypto[[#This Row],[Peak Close]])-1</f>
        <v>-8.4316274138171998E-2</v>
      </c>
      <c r="I538">
        <v>103309.60159999999</v>
      </c>
      <c r="J538" s="1">
        <v>45828</v>
      </c>
      <c r="K538" s="3">
        <v>-1.0184874239220701E-2</v>
      </c>
      <c r="L538">
        <v>38360555118</v>
      </c>
      <c r="M538" s="2" t="s">
        <v>12</v>
      </c>
    </row>
    <row r="539" spans="1:13" x14ac:dyDescent="0.3">
      <c r="A539" s="1">
        <v>45830</v>
      </c>
      <c r="B539" s="2" t="s">
        <v>11</v>
      </c>
      <c r="C539">
        <v>102212.0313</v>
      </c>
      <c r="D539">
        <v>103351.63280000001</v>
      </c>
      <c r="E539">
        <v>98286.203129999994</v>
      </c>
      <c r="F539">
        <v>100987.1406</v>
      </c>
      <c r="G539">
        <f>_xlfn.MAXIFS(Crypto[Close],Crypto[Name],Crypto[[#This Row],[Name]],Crypto[Date],"&lt;="&amp;Crypto[[#This Row],[Date]])</f>
        <v>111673.2813</v>
      </c>
      <c r="H539" s="3">
        <f>(Crypto[[#This Row],[Close]]/Crypto[[#This Row],[Peak Close]])-1</f>
        <v>-9.5691114074929584E-2</v>
      </c>
      <c r="I539">
        <v>102257.4063</v>
      </c>
      <c r="J539" s="1">
        <v>45829</v>
      </c>
      <c r="K539" s="3">
        <v>-1.2422236647322501E-2</v>
      </c>
      <c r="L539">
        <v>65536997201</v>
      </c>
      <c r="M539" s="2" t="s">
        <v>12</v>
      </c>
    </row>
    <row r="540" spans="1:13" x14ac:dyDescent="0.3">
      <c r="A540" s="1">
        <v>45831</v>
      </c>
      <c r="B540" s="2" t="s">
        <v>11</v>
      </c>
      <c r="C540">
        <v>100987.47659999999</v>
      </c>
      <c r="D540">
        <v>106116.8594</v>
      </c>
      <c r="E540">
        <v>99705.75</v>
      </c>
      <c r="F540">
        <v>105577.77340000001</v>
      </c>
      <c r="G540">
        <f>_xlfn.MAXIFS(Crypto[Close],Crypto[Name],Crypto[[#This Row],[Name]],Crypto[Date],"&lt;="&amp;Crypto[[#This Row],[Date]])</f>
        <v>111673.2813</v>
      </c>
      <c r="H540" s="3">
        <f>(Crypto[[#This Row],[Close]]/Crypto[[#This Row],[Peak Close]])-1</f>
        <v>-5.4583404633960497E-2</v>
      </c>
      <c r="I540">
        <v>100987.1406</v>
      </c>
      <c r="J540" s="1">
        <v>45830</v>
      </c>
      <c r="K540" s="3">
        <v>4.5457597598322401E-2</v>
      </c>
      <c r="L540">
        <v>65237759656</v>
      </c>
      <c r="M540" s="2" t="s">
        <v>12</v>
      </c>
    </row>
    <row r="541" spans="1:13" x14ac:dyDescent="0.3">
      <c r="A541" s="1">
        <v>45832</v>
      </c>
      <c r="B541" s="2" t="s">
        <v>11</v>
      </c>
      <c r="C541">
        <v>105571.5156</v>
      </c>
      <c r="D541">
        <v>106316.8281</v>
      </c>
      <c r="E541">
        <v>104740.24219999999</v>
      </c>
      <c r="F541">
        <v>106045.63280000001</v>
      </c>
      <c r="G541">
        <f>_xlfn.MAXIFS(Crypto[Close],Crypto[Name],Crypto[[#This Row],[Name]],Crypto[Date],"&lt;="&amp;Crypto[[#This Row],[Date]])</f>
        <v>111673.2813</v>
      </c>
      <c r="H541" s="3">
        <f>(Crypto[[#This Row],[Close]]/Crypto[[#This Row],[Peak Close]])-1</f>
        <v>-5.0393867131761194E-2</v>
      </c>
      <c r="I541">
        <v>105577.77340000001</v>
      </c>
      <c r="J541" s="1">
        <v>45831</v>
      </c>
      <c r="K541" s="3">
        <v>4.4314194639001698E-3</v>
      </c>
      <c r="L541">
        <v>48822986421</v>
      </c>
      <c r="M541" s="2" t="s">
        <v>12</v>
      </c>
    </row>
    <row r="542" spans="1:13" x14ac:dyDescent="0.3">
      <c r="A542" s="1">
        <v>45833</v>
      </c>
      <c r="B542" s="2" t="s">
        <v>11</v>
      </c>
      <c r="C542">
        <v>106047.4063</v>
      </c>
      <c r="D542">
        <v>108168.39840000001</v>
      </c>
      <c r="E542">
        <v>105881.3906</v>
      </c>
      <c r="F542">
        <v>107361.25780000001</v>
      </c>
      <c r="G542">
        <f>_xlfn.MAXIFS(Crypto[Close],Crypto[Name],Crypto[[#This Row],[Name]],Crypto[Date],"&lt;="&amp;Crypto[[#This Row],[Date]])</f>
        <v>111673.2813</v>
      </c>
      <c r="H542" s="3">
        <f>(Crypto[[#This Row],[Close]]/Crypto[[#This Row],[Peak Close]])-1</f>
        <v>-3.8612848568639668E-2</v>
      </c>
      <c r="I542">
        <v>106045.63280000001</v>
      </c>
      <c r="J542" s="1">
        <v>45832</v>
      </c>
      <c r="K542" s="3">
        <v>1.24062157513006E-2</v>
      </c>
      <c r="L542">
        <v>51624120283</v>
      </c>
      <c r="M542" s="2" t="s">
        <v>12</v>
      </c>
    </row>
    <row r="543" spans="1:13" x14ac:dyDescent="0.3">
      <c r="A543" s="1">
        <v>45834</v>
      </c>
      <c r="B543" s="2" t="s">
        <v>11</v>
      </c>
      <c r="C543">
        <v>107375.07030000001</v>
      </c>
      <c r="D543">
        <v>108305.5469</v>
      </c>
      <c r="E543">
        <v>106666.35159999999</v>
      </c>
      <c r="F543">
        <v>106960</v>
      </c>
      <c r="G543">
        <f>_xlfn.MAXIFS(Crypto[Close],Crypto[Name],Crypto[[#This Row],[Name]],Crypto[Date],"&lt;="&amp;Crypto[[#This Row],[Date]])</f>
        <v>111673.2813</v>
      </c>
      <c r="H543" s="3">
        <f>(Crypto[[#This Row],[Close]]/Crypto[[#This Row],[Peak Close]])-1</f>
        <v>-4.220598915991558E-2</v>
      </c>
      <c r="I543">
        <v>107361.25780000001</v>
      </c>
      <c r="J543" s="1">
        <v>45833</v>
      </c>
      <c r="K543" s="3">
        <v>-3.7374543501296998E-3</v>
      </c>
      <c r="L543">
        <v>43891990613</v>
      </c>
      <c r="M543" s="2" t="s">
        <v>12</v>
      </c>
    </row>
    <row r="544" spans="1:13" x14ac:dyDescent="0.3">
      <c r="A544" s="1">
        <v>45835</v>
      </c>
      <c r="B544" s="2" t="s">
        <v>11</v>
      </c>
      <c r="C544">
        <v>106954.9219</v>
      </c>
      <c r="D544">
        <v>107772.4688</v>
      </c>
      <c r="E544">
        <v>106449.99219999999</v>
      </c>
      <c r="F544">
        <v>107088.42969999999</v>
      </c>
      <c r="G544">
        <f>_xlfn.MAXIFS(Crypto[Close],Crypto[Name],Crypto[[#This Row],[Name]],Crypto[Date],"&lt;="&amp;Crypto[[#This Row],[Date]])</f>
        <v>111673.2813</v>
      </c>
      <c r="H544" s="3">
        <f>(Crypto[[#This Row],[Close]]/Crypto[[#This Row],[Peak Close]])-1</f>
        <v>-4.1055940567226834E-2</v>
      </c>
      <c r="I544">
        <v>106960</v>
      </c>
      <c r="J544" s="1">
        <v>45834</v>
      </c>
      <c r="K544" s="3">
        <v>1.20072643979051E-3</v>
      </c>
      <c r="L544">
        <v>45353692675</v>
      </c>
      <c r="M544" s="2" t="s">
        <v>12</v>
      </c>
    </row>
    <row r="545" spans="1:13" x14ac:dyDescent="0.3">
      <c r="A545" s="1">
        <v>45836</v>
      </c>
      <c r="B545" s="2" t="s">
        <v>11</v>
      </c>
      <c r="C545">
        <v>107090.5469</v>
      </c>
      <c r="D545">
        <v>107567.88280000001</v>
      </c>
      <c r="E545">
        <v>106883.97659999999</v>
      </c>
      <c r="F545">
        <v>107327.7031</v>
      </c>
      <c r="G545">
        <f>_xlfn.MAXIFS(Crypto[Close],Crypto[Name],Crypto[[#This Row],[Name]],Crypto[Date],"&lt;="&amp;Crypto[[#This Row],[Date]])</f>
        <v>111673.2813</v>
      </c>
      <c r="H545" s="3">
        <f>(Crypto[[#This Row],[Close]]/Crypto[[#This Row],[Peak Close]])-1</f>
        <v>-3.8913320620767022E-2</v>
      </c>
      <c r="I545">
        <v>107088.42969999999</v>
      </c>
      <c r="J545" s="1">
        <v>45835</v>
      </c>
      <c r="K545" s="3">
        <v>2.2343534280062898E-3</v>
      </c>
      <c r="L545">
        <v>30037708335</v>
      </c>
      <c r="M545" s="2" t="s">
        <v>12</v>
      </c>
    </row>
    <row r="546" spans="1:13" x14ac:dyDescent="0.3">
      <c r="A546" s="1">
        <v>45837</v>
      </c>
      <c r="B546" s="2" t="s">
        <v>11</v>
      </c>
      <c r="C546">
        <v>107327.82030000001</v>
      </c>
      <c r="D546">
        <v>108526.30469999999</v>
      </c>
      <c r="E546">
        <v>107230.1094</v>
      </c>
      <c r="F546">
        <v>108385.57030000001</v>
      </c>
      <c r="G546">
        <f>_xlfn.MAXIFS(Crypto[Close],Crypto[Name],Crypto[[#This Row],[Name]],Crypto[Date],"&lt;="&amp;Crypto[[#This Row],[Date]])</f>
        <v>111673.2813</v>
      </c>
      <c r="H546" s="3">
        <f>(Crypto[[#This Row],[Close]]/Crypto[[#This Row],[Peak Close]])-1</f>
        <v>-2.9440444139613553E-2</v>
      </c>
      <c r="I546">
        <v>107327.7031</v>
      </c>
      <c r="J546" s="1">
        <v>45836</v>
      </c>
      <c r="K546" s="3">
        <v>9.8564226145263292E-3</v>
      </c>
      <c r="L546">
        <v>35534874438</v>
      </c>
      <c r="M546" s="2" t="s">
        <v>12</v>
      </c>
    </row>
    <row r="547" spans="1:13" x14ac:dyDescent="0.3">
      <c r="A547" s="1">
        <v>45838</v>
      </c>
      <c r="B547" s="2" t="s">
        <v>11</v>
      </c>
      <c r="C547">
        <v>108383.4375</v>
      </c>
      <c r="D547">
        <v>108798.78909999999</v>
      </c>
      <c r="E547">
        <v>106759.64840000001</v>
      </c>
      <c r="F547">
        <v>107135.33590000001</v>
      </c>
      <c r="G547">
        <f>_xlfn.MAXIFS(Crypto[Close],Crypto[Name],Crypto[[#This Row],[Name]],Crypto[Date],"&lt;="&amp;Crypto[[#This Row],[Date]])</f>
        <v>111673.2813</v>
      </c>
      <c r="H547" s="3">
        <f>(Crypto[[#This Row],[Close]]/Crypto[[#This Row],[Peak Close]])-1</f>
        <v>-4.0635909925573199E-2</v>
      </c>
      <c r="I547">
        <v>108385.57030000001</v>
      </c>
      <c r="J547" s="1">
        <v>45837</v>
      </c>
      <c r="K547" s="3">
        <v>-1.15350631688285E-2</v>
      </c>
      <c r="L547">
        <v>42064804590</v>
      </c>
      <c r="M547" s="2" t="s">
        <v>12</v>
      </c>
    </row>
    <row r="548" spans="1:13" x14ac:dyDescent="0.3">
      <c r="A548" s="1">
        <v>45839</v>
      </c>
      <c r="B548" s="2" t="s">
        <v>11</v>
      </c>
      <c r="C548">
        <v>107144.38280000001</v>
      </c>
      <c r="D548">
        <v>107550.67969999999</v>
      </c>
      <c r="E548">
        <v>105270.22659999999</v>
      </c>
      <c r="F548">
        <v>105698.2813</v>
      </c>
      <c r="G548">
        <f>_xlfn.MAXIFS(Crypto[Close],Crypto[Name],Crypto[[#This Row],[Name]],Crypto[Date],"&lt;="&amp;Crypto[[#This Row],[Date]])</f>
        <v>111673.2813</v>
      </c>
      <c r="H548" s="3">
        <f>(Crypto[[#This Row],[Close]]/Crypto[[#This Row],[Peak Close]])-1</f>
        <v>-5.3504293331801622E-2</v>
      </c>
      <c r="I548">
        <v>107135.33590000001</v>
      </c>
      <c r="J548" s="1">
        <v>45838</v>
      </c>
      <c r="K548" s="3">
        <v>-1.34134512010244E-2</v>
      </c>
      <c r="L548">
        <v>44110692247</v>
      </c>
      <c r="M548" s="2" t="s">
        <v>12</v>
      </c>
    </row>
    <row r="549" spans="1:13" x14ac:dyDescent="0.3">
      <c r="A549" s="1">
        <v>45840</v>
      </c>
      <c r="B549" s="2" t="s">
        <v>11</v>
      </c>
      <c r="C549">
        <v>105703.10159999999</v>
      </c>
      <c r="D549">
        <v>109763.6563</v>
      </c>
      <c r="E549">
        <v>105157.39840000001</v>
      </c>
      <c r="F549">
        <v>108859.32030000001</v>
      </c>
      <c r="G549">
        <f>_xlfn.MAXIFS(Crypto[Close],Crypto[Name],Crypto[[#This Row],[Name]],Crypto[Date],"&lt;="&amp;Crypto[[#This Row],[Date]])</f>
        <v>111673.2813</v>
      </c>
      <c r="H549" s="3">
        <f>(Crypto[[#This Row],[Close]]/Crypto[[#This Row],[Peak Close]])-1</f>
        <v>-2.5198158120209202E-2</v>
      </c>
      <c r="I549">
        <v>105698.2813</v>
      </c>
      <c r="J549" s="1">
        <v>45839</v>
      </c>
      <c r="K549" s="3">
        <v>2.9906247870087201E-2</v>
      </c>
      <c r="L549">
        <v>56248657737</v>
      </c>
      <c r="M549" s="2" t="s">
        <v>12</v>
      </c>
    </row>
    <row r="550" spans="1:13" x14ac:dyDescent="0.3">
      <c r="A550" s="1">
        <v>45841</v>
      </c>
      <c r="B550" s="2" t="s">
        <v>11</v>
      </c>
      <c r="C550">
        <v>108845.0156</v>
      </c>
      <c r="D550">
        <v>110541.46090000001</v>
      </c>
      <c r="E550">
        <v>108605.7969</v>
      </c>
      <c r="F550">
        <v>109647.97659999999</v>
      </c>
      <c r="G550">
        <f>_xlfn.MAXIFS(Crypto[Close],Crypto[Name],Crypto[[#This Row],[Name]],Crypto[Date],"&lt;="&amp;Crypto[[#This Row],[Date]])</f>
        <v>111673.2813</v>
      </c>
      <c r="H550" s="3">
        <f>(Crypto[[#This Row],[Close]]/Crypto[[#This Row],[Peak Close]])-1</f>
        <v>-1.8135982720514976E-2</v>
      </c>
      <c r="I550">
        <v>108859.32030000001</v>
      </c>
      <c r="J550" s="1">
        <v>45840</v>
      </c>
      <c r="K550" s="3">
        <v>7.2447292324310797E-3</v>
      </c>
      <c r="L550">
        <v>50494742270</v>
      </c>
      <c r="M550" s="2" t="s">
        <v>12</v>
      </c>
    </row>
    <row r="551" spans="1:13" x14ac:dyDescent="0.3">
      <c r="A551" s="1">
        <v>45842</v>
      </c>
      <c r="B551" s="2" t="s">
        <v>11</v>
      </c>
      <c r="C551">
        <v>109635.6563</v>
      </c>
      <c r="D551">
        <v>109751.9844</v>
      </c>
      <c r="E551">
        <v>107296.38280000001</v>
      </c>
      <c r="F551">
        <v>108034.33590000001</v>
      </c>
      <c r="G551">
        <f>_xlfn.MAXIFS(Crypto[Close],Crypto[Name],Crypto[[#This Row],[Name]],Crypto[Date],"&lt;="&amp;Crypto[[#This Row],[Date]])</f>
        <v>111673.2813</v>
      </c>
      <c r="H551" s="3">
        <f>(Crypto[[#This Row],[Close]]/Crypto[[#This Row],[Peak Close]])-1</f>
        <v>-3.2585640518830172E-2</v>
      </c>
      <c r="I551">
        <v>109647.97659999999</v>
      </c>
      <c r="J551" s="1">
        <v>45841</v>
      </c>
      <c r="K551" s="3">
        <v>-1.47165570221748E-2</v>
      </c>
      <c r="L551">
        <v>42616442656</v>
      </c>
      <c r="M551" s="2" t="s">
        <v>12</v>
      </c>
    </row>
    <row r="552" spans="1:13" x14ac:dyDescent="0.3">
      <c r="A552" s="1">
        <v>45843</v>
      </c>
      <c r="B552" s="2" t="s">
        <v>11</v>
      </c>
      <c r="C552">
        <v>108015.83590000001</v>
      </c>
      <c r="D552">
        <v>108381.3438</v>
      </c>
      <c r="E552">
        <v>107842.27340000001</v>
      </c>
      <c r="F552">
        <v>108231.17969999999</v>
      </c>
      <c r="G552">
        <f>_xlfn.MAXIFS(Crypto[Close],Crypto[Name],Crypto[[#This Row],[Name]],Crypto[Date],"&lt;="&amp;Crypto[[#This Row],[Date]])</f>
        <v>111673.2813</v>
      </c>
      <c r="H552" s="3">
        <f>(Crypto[[#This Row],[Close]]/Crypto[[#This Row],[Peak Close]])-1</f>
        <v>-3.0822964633349659E-2</v>
      </c>
      <c r="I552">
        <v>108034.33590000001</v>
      </c>
      <c r="J552" s="1">
        <v>45842</v>
      </c>
      <c r="K552" s="3">
        <v>1.8220485030073499E-3</v>
      </c>
      <c r="L552">
        <v>30615537520</v>
      </c>
      <c r="M552" s="2" t="s">
        <v>12</v>
      </c>
    </row>
    <row r="553" spans="1:13" x14ac:dyDescent="0.3">
      <c r="A553" s="1">
        <v>45844</v>
      </c>
      <c r="B553" s="2" t="s">
        <v>11</v>
      </c>
      <c r="C553">
        <v>108231.1875</v>
      </c>
      <c r="D553">
        <v>109731.625</v>
      </c>
      <c r="E553">
        <v>107847.0156</v>
      </c>
      <c r="F553">
        <v>109232.07030000001</v>
      </c>
      <c r="G553">
        <f>_xlfn.MAXIFS(Crypto[Close],Crypto[Name],Crypto[[#This Row],[Name]],Crypto[Date],"&lt;="&amp;Crypto[[#This Row],[Date]])</f>
        <v>111673.2813</v>
      </c>
      <c r="H553" s="3">
        <f>(Crypto[[#This Row],[Close]]/Crypto[[#This Row],[Peak Close]])-1</f>
        <v>-2.1860296138714763E-2</v>
      </c>
      <c r="I553">
        <v>108231.17969999999</v>
      </c>
      <c r="J553" s="1">
        <v>45843</v>
      </c>
      <c r="K553" s="3">
        <v>9.2477103434918401E-3</v>
      </c>
      <c r="L553">
        <v>36746020463</v>
      </c>
      <c r="M553" s="2" t="s">
        <v>12</v>
      </c>
    </row>
    <row r="554" spans="1:13" x14ac:dyDescent="0.3">
      <c r="A554" s="1">
        <v>45845</v>
      </c>
      <c r="B554" s="2" t="s">
        <v>11</v>
      </c>
      <c r="C554">
        <v>109235.3281</v>
      </c>
      <c r="D554">
        <v>109710.25</v>
      </c>
      <c r="E554">
        <v>107527.05469999999</v>
      </c>
      <c r="F554">
        <v>108299.85159999999</v>
      </c>
      <c r="G554">
        <f>_xlfn.MAXIFS(Crypto[Close],Crypto[Name],Crypto[[#This Row],[Name]],Crypto[Date],"&lt;="&amp;Crypto[[#This Row],[Date]])</f>
        <v>111673.2813</v>
      </c>
      <c r="H554" s="3">
        <f>(Crypto[[#This Row],[Close]]/Crypto[[#This Row],[Peak Close]])-1</f>
        <v>-3.0208028820587818E-2</v>
      </c>
      <c r="I554">
        <v>109232.07030000001</v>
      </c>
      <c r="J554" s="1">
        <v>45844</v>
      </c>
      <c r="K554" s="3">
        <v>-8.5342948956265603E-3</v>
      </c>
      <c r="L554">
        <v>45415696597</v>
      </c>
      <c r="M554" s="2" t="s">
        <v>12</v>
      </c>
    </row>
    <row r="555" spans="1:13" x14ac:dyDescent="0.3">
      <c r="A555" s="1">
        <v>45846</v>
      </c>
      <c r="B555" s="2" t="s">
        <v>11</v>
      </c>
      <c r="C555">
        <v>108298.22659999999</v>
      </c>
      <c r="D555">
        <v>109198.9688</v>
      </c>
      <c r="E555">
        <v>107499.55469999999</v>
      </c>
      <c r="F555">
        <v>108950.27340000001</v>
      </c>
      <c r="G555">
        <f>_xlfn.MAXIFS(Crypto[Close],Crypto[Name],Crypto[[#This Row],[Name]],Crypto[Date],"&lt;="&amp;Crypto[[#This Row],[Date]])</f>
        <v>111673.2813</v>
      </c>
      <c r="H555" s="3">
        <f>(Crypto[[#This Row],[Close]]/Crypto[[#This Row],[Peak Close]])-1</f>
        <v>-2.4383700991868262E-2</v>
      </c>
      <c r="I555">
        <v>108299.85159999999</v>
      </c>
      <c r="J555" s="1">
        <v>45845</v>
      </c>
      <c r="K555" s="3">
        <v>6.0057496883957999E-3</v>
      </c>
      <c r="L555">
        <v>44282204127</v>
      </c>
      <c r="M555" s="2" t="s">
        <v>12</v>
      </c>
    </row>
    <row r="556" spans="1:13" x14ac:dyDescent="0.3">
      <c r="A556" s="1">
        <v>45847</v>
      </c>
      <c r="B556" s="2" t="s">
        <v>11</v>
      </c>
      <c r="C556">
        <v>108950.27340000001</v>
      </c>
      <c r="D556">
        <v>111925.375</v>
      </c>
      <c r="E556">
        <v>108357.67969999999</v>
      </c>
      <c r="F556">
        <v>111326.55469999999</v>
      </c>
      <c r="G556">
        <f>_xlfn.MAXIFS(Crypto[Close],Crypto[Name],Crypto[[#This Row],[Name]],Crypto[Date],"&lt;="&amp;Crypto[[#This Row],[Date]])</f>
        <v>111673.2813</v>
      </c>
      <c r="H556" s="3">
        <f>(Crypto[[#This Row],[Close]]/Crypto[[#This Row],[Peak Close]])-1</f>
        <v>-3.1048304121068515E-3</v>
      </c>
      <c r="I556">
        <v>108950.27340000001</v>
      </c>
      <c r="J556" s="1">
        <v>45846</v>
      </c>
      <c r="K556" s="3">
        <v>2.1810696071185701E-2</v>
      </c>
      <c r="L556">
        <v>57927418065</v>
      </c>
      <c r="M556" s="2" t="s">
        <v>12</v>
      </c>
    </row>
    <row r="557" spans="1:13" x14ac:dyDescent="0.3">
      <c r="A557" s="1">
        <v>45848</v>
      </c>
      <c r="B557" s="2" t="s">
        <v>11</v>
      </c>
      <c r="C557">
        <v>111329.19530000001</v>
      </c>
      <c r="D557">
        <v>116608.7813</v>
      </c>
      <c r="E557">
        <v>110660.75</v>
      </c>
      <c r="F557">
        <v>115987.2031</v>
      </c>
      <c r="G557">
        <f>_xlfn.MAXIFS(Crypto[Close],Crypto[Name],Crypto[[#This Row],[Name]],Crypto[Date],"&lt;="&amp;Crypto[[#This Row],[Date]])</f>
        <v>115987.2031</v>
      </c>
      <c r="H557" s="3">
        <f>(Crypto[[#This Row],[Close]]/Crypto[[#This Row],[Peak Close]])-1</f>
        <v>0</v>
      </c>
      <c r="I557">
        <v>111326.55469999999</v>
      </c>
      <c r="J557" s="1">
        <v>45847</v>
      </c>
      <c r="K557" s="3">
        <v>4.1864660345947102E-2</v>
      </c>
      <c r="L557">
        <v>95911605728</v>
      </c>
      <c r="M557" s="2" t="s">
        <v>12</v>
      </c>
    </row>
    <row r="558" spans="1:13" x14ac:dyDescent="0.3">
      <c r="A558" s="1">
        <v>45849</v>
      </c>
      <c r="B558" s="2" t="s">
        <v>11</v>
      </c>
      <c r="C558">
        <v>115986.2344</v>
      </c>
      <c r="D558">
        <v>118856.47659999999</v>
      </c>
      <c r="E558">
        <v>115245.6875</v>
      </c>
      <c r="F558">
        <v>117516.99219999999</v>
      </c>
      <c r="G558">
        <f>_xlfn.MAXIFS(Crypto[Close],Crypto[Name],Crypto[[#This Row],[Name]],Crypto[Date],"&lt;="&amp;Crypto[[#This Row],[Date]])</f>
        <v>117516.99219999999</v>
      </c>
      <c r="H558" s="3">
        <f>(Crypto[[#This Row],[Close]]/Crypto[[#This Row],[Peak Close]])-1</f>
        <v>0</v>
      </c>
      <c r="I558">
        <v>115987.2031</v>
      </c>
      <c r="J558" s="1">
        <v>45848</v>
      </c>
      <c r="K558" s="3">
        <v>1.31892920866543E-2</v>
      </c>
      <c r="L558">
        <v>86928361085</v>
      </c>
      <c r="M558" s="2" t="s">
        <v>12</v>
      </c>
    </row>
    <row r="559" spans="1:13" x14ac:dyDescent="0.3">
      <c r="A559" s="1">
        <v>45850</v>
      </c>
      <c r="B559" s="2" t="s">
        <v>11</v>
      </c>
      <c r="C559">
        <v>117530.71090000001</v>
      </c>
      <c r="D559">
        <v>118219.89840000001</v>
      </c>
      <c r="E559">
        <v>116977.02340000001</v>
      </c>
      <c r="F559">
        <v>117435.22659999999</v>
      </c>
      <c r="G559">
        <f>_xlfn.MAXIFS(Crypto[Close],Crypto[Name],Crypto[[#This Row],[Name]],Crypto[Date],"&lt;="&amp;Crypto[[#This Row],[Date]])</f>
        <v>117516.99219999999</v>
      </c>
      <c r="H559" s="3">
        <f>(Crypto[[#This Row],[Close]]/Crypto[[#This Row],[Peak Close]])-1</f>
        <v>-6.9577682741273073E-4</v>
      </c>
      <c r="I559">
        <v>117516.99219999999</v>
      </c>
      <c r="J559" s="1">
        <v>45849</v>
      </c>
      <c r="K559" s="3">
        <v>-6.9577682741269798E-4</v>
      </c>
      <c r="L559">
        <v>45524560304</v>
      </c>
      <c r="M559" s="2" t="s">
        <v>12</v>
      </c>
    </row>
    <row r="560" spans="1:13" x14ac:dyDescent="0.3">
      <c r="A560" s="1">
        <v>45851</v>
      </c>
      <c r="B560" s="2" t="s">
        <v>11</v>
      </c>
      <c r="C560">
        <v>117432.2031</v>
      </c>
      <c r="D560">
        <v>119449.57030000001</v>
      </c>
      <c r="E560">
        <v>117265.4375</v>
      </c>
      <c r="F560">
        <v>119116.11719999999</v>
      </c>
      <c r="G560">
        <f>_xlfn.MAXIFS(Crypto[Close],Crypto[Name],Crypto[[#This Row],[Name]],Crypto[Date],"&lt;="&amp;Crypto[[#This Row],[Date]])</f>
        <v>119116.11719999999</v>
      </c>
      <c r="H560" s="3">
        <f>(Crypto[[#This Row],[Close]]/Crypto[[#This Row],[Peak Close]])-1</f>
        <v>0</v>
      </c>
      <c r="I560">
        <v>117435.22659999999</v>
      </c>
      <c r="J560" s="1">
        <v>45850</v>
      </c>
      <c r="K560" s="3">
        <v>1.43133423306223E-2</v>
      </c>
      <c r="L560">
        <v>49021091807</v>
      </c>
      <c r="M560" s="2" t="s">
        <v>12</v>
      </c>
    </row>
    <row r="561" spans="1:13" x14ac:dyDescent="0.3">
      <c r="A561" s="1">
        <v>45852</v>
      </c>
      <c r="B561" s="2" t="s">
        <v>11</v>
      </c>
      <c r="C561">
        <v>119115.78909999999</v>
      </c>
      <c r="D561">
        <v>123091.6094</v>
      </c>
      <c r="E561">
        <v>118959.19530000001</v>
      </c>
      <c r="F561">
        <v>119849.7031</v>
      </c>
      <c r="G561">
        <f>_xlfn.MAXIFS(Crypto[Close],Crypto[Name],Crypto[[#This Row],[Name]],Crypto[Date],"&lt;="&amp;Crypto[[#This Row],[Date]])</f>
        <v>119849.7031</v>
      </c>
      <c r="H561" s="3">
        <f>(Crypto[[#This Row],[Close]]/Crypto[[#This Row],[Peak Close]])-1</f>
        <v>0</v>
      </c>
      <c r="I561">
        <v>119116.11719999999</v>
      </c>
      <c r="J561" s="1">
        <v>45851</v>
      </c>
      <c r="K561" s="3">
        <v>6.1585780097943403E-3</v>
      </c>
      <c r="L561">
        <v>182000000000</v>
      </c>
      <c r="M561" s="2" t="s">
        <v>12</v>
      </c>
    </row>
    <row r="562" spans="1:13" x14ac:dyDescent="0.3">
      <c r="A562" s="1">
        <v>45853</v>
      </c>
      <c r="B562" s="2" t="s">
        <v>11</v>
      </c>
      <c r="C562">
        <v>119853.85159999999</v>
      </c>
      <c r="D562">
        <v>119935.5625</v>
      </c>
      <c r="E562">
        <v>115765.6875</v>
      </c>
      <c r="F562">
        <v>117777.1875</v>
      </c>
      <c r="G562">
        <f>_xlfn.MAXIFS(Crypto[Close],Crypto[Name],Crypto[[#This Row],[Name]],Crypto[Date],"&lt;="&amp;Crypto[[#This Row],[Date]])</f>
        <v>119849.7031</v>
      </c>
      <c r="H562" s="3">
        <f>(Crypto[[#This Row],[Close]]/Crypto[[#This Row],[Peak Close]])-1</f>
        <v>-1.7292621895531379E-2</v>
      </c>
      <c r="I562">
        <v>119849.7031</v>
      </c>
      <c r="J562" s="1">
        <v>45852</v>
      </c>
      <c r="K562" s="3">
        <v>-1.72926218955314E-2</v>
      </c>
      <c r="L562">
        <v>98321661181</v>
      </c>
      <c r="M562" s="2" t="s">
        <v>12</v>
      </c>
    </row>
    <row r="563" spans="1:13" x14ac:dyDescent="0.3">
      <c r="A563" s="1">
        <v>45854</v>
      </c>
      <c r="B563" s="2" t="s">
        <v>11</v>
      </c>
      <c r="C563">
        <v>117777.1875</v>
      </c>
      <c r="D563">
        <v>120065.5156</v>
      </c>
      <c r="E563">
        <v>117064.82030000001</v>
      </c>
      <c r="F563">
        <v>118738.50780000001</v>
      </c>
      <c r="G563">
        <f>_xlfn.MAXIFS(Crypto[Close],Crypto[Name],Crypto[[#This Row],[Name]],Crypto[Date],"&lt;="&amp;Crypto[[#This Row],[Date]])</f>
        <v>119849.7031</v>
      </c>
      <c r="H563" s="3">
        <f>(Crypto[[#This Row],[Close]]/Crypto[[#This Row],[Peak Close]])-1</f>
        <v>-9.2715732392998351E-3</v>
      </c>
      <c r="I563">
        <v>117777.1875</v>
      </c>
      <c r="J563" s="1">
        <v>45853</v>
      </c>
      <c r="K563" s="3">
        <v>8.1621943977903798E-3</v>
      </c>
      <c r="L563">
        <v>72162029070</v>
      </c>
      <c r="M563" s="2" t="s">
        <v>12</v>
      </c>
    </row>
    <row r="564" spans="1:13" x14ac:dyDescent="0.3">
      <c r="A564" s="1">
        <v>45855</v>
      </c>
      <c r="B564" s="2" t="s">
        <v>11</v>
      </c>
      <c r="C564">
        <v>118738.50780000001</v>
      </c>
      <c r="D564">
        <v>120999.6094</v>
      </c>
      <c r="E564">
        <v>117508.2188</v>
      </c>
      <c r="F564">
        <v>119289.8438</v>
      </c>
      <c r="G564">
        <f>_xlfn.MAXIFS(Crypto[Close],Crypto[Name],Crypto[[#This Row],[Name]],Crypto[Date],"&lt;="&amp;Crypto[[#This Row],[Date]])</f>
        <v>119849.7031</v>
      </c>
      <c r="H564" s="3">
        <f>(Crypto[[#This Row],[Close]]/Crypto[[#This Row],[Peak Close]])-1</f>
        <v>-4.6713449054843759E-3</v>
      </c>
      <c r="I564">
        <v>118738.50780000001</v>
      </c>
      <c r="J564" s="1">
        <v>45854</v>
      </c>
      <c r="K564" s="3">
        <v>4.64327883359164E-3</v>
      </c>
      <c r="L564">
        <v>72363841798</v>
      </c>
      <c r="M564" s="2" t="s">
        <v>12</v>
      </c>
    </row>
    <row r="565" spans="1:13" x14ac:dyDescent="0.3">
      <c r="A565" s="1">
        <v>45856</v>
      </c>
      <c r="B565" s="2" t="s">
        <v>11</v>
      </c>
      <c r="C565">
        <v>119284.1094</v>
      </c>
      <c r="D565">
        <v>120851.91409999999</v>
      </c>
      <c r="E565">
        <v>116925.9844</v>
      </c>
      <c r="F565">
        <v>118003.22659999999</v>
      </c>
      <c r="G565">
        <f>_xlfn.MAXIFS(Crypto[Close],Crypto[Name],Crypto[[#This Row],[Name]],Crypto[Date],"&lt;="&amp;Crypto[[#This Row],[Date]])</f>
        <v>119849.7031</v>
      </c>
      <c r="H565" s="3">
        <f>(Crypto[[#This Row],[Close]]/Crypto[[#This Row],[Peak Close]])-1</f>
        <v>-1.5406600535833981E-2</v>
      </c>
      <c r="I565">
        <v>119289.8438</v>
      </c>
      <c r="J565" s="1">
        <v>45855</v>
      </c>
      <c r="K565" s="3">
        <v>-1.0785639070473901E-2</v>
      </c>
      <c r="L565">
        <v>77945799785</v>
      </c>
      <c r="M565" s="2" t="s">
        <v>12</v>
      </c>
    </row>
    <row r="566" spans="1:13" x14ac:dyDescent="0.3">
      <c r="A566" s="1">
        <v>45857</v>
      </c>
      <c r="B566" s="2" t="s">
        <v>11</v>
      </c>
      <c r="C566">
        <v>117998.125</v>
      </c>
      <c r="D566">
        <v>118541.39840000001</v>
      </c>
      <c r="E566">
        <v>117388.41409999999</v>
      </c>
      <c r="F566">
        <v>117939.97659999999</v>
      </c>
      <c r="G566">
        <f>_xlfn.MAXIFS(Crypto[Close],Crypto[Name],Crypto[[#This Row],[Name]],Crypto[Date],"&lt;="&amp;Crypto[[#This Row],[Date]])</f>
        <v>119849.7031</v>
      </c>
      <c r="H566" s="3">
        <f>(Crypto[[#This Row],[Close]]/Crypto[[#This Row],[Peak Close]])-1</f>
        <v>-1.5934344855294102E-2</v>
      </c>
      <c r="I566">
        <v>118003.22659999999</v>
      </c>
      <c r="J566" s="1">
        <v>45856</v>
      </c>
      <c r="K566" s="3">
        <v>-5.3600229266951205E-4</v>
      </c>
      <c r="L566">
        <v>47564562765</v>
      </c>
      <c r="M566" s="2" t="s">
        <v>12</v>
      </c>
    </row>
    <row r="567" spans="1:13" x14ac:dyDescent="0.3">
      <c r="A567" s="1">
        <v>45858</v>
      </c>
      <c r="B567" s="2" t="s">
        <v>11</v>
      </c>
      <c r="C567">
        <v>117944.1094</v>
      </c>
      <c r="D567">
        <v>118865.0313</v>
      </c>
      <c r="E567">
        <v>116550.13280000001</v>
      </c>
      <c r="F567">
        <v>117300.78909999999</v>
      </c>
      <c r="G567">
        <f>_xlfn.MAXIFS(Crypto[Close],Crypto[Name],Crypto[[#This Row],[Name]],Crypto[Date],"&lt;="&amp;Crypto[[#This Row],[Date]])</f>
        <v>119849.7031</v>
      </c>
      <c r="H567" s="3">
        <f>(Crypto[[#This Row],[Close]]/Crypto[[#This Row],[Peak Close]])-1</f>
        <v>-2.126758710343446E-2</v>
      </c>
      <c r="I567">
        <v>117939.97659999999</v>
      </c>
      <c r="J567" s="1">
        <v>45857</v>
      </c>
      <c r="K567" s="3">
        <v>-5.4196000238989402E-3</v>
      </c>
      <c r="L567">
        <v>57515447231</v>
      </c>
      <c r="M567" s="2" t="s">
        <v>12</v>
      </c>
    </row>
    <row r="568" spans="1:13" x14ac:dyDescent="0.3">
      <c r="A568" s="1">
        <v>45859</v>
      </c>
      <c r="B568" s="2" t="s">
        <v>11</v>
      </c>
      <c r="C568">
        <v>117306.4688</v>
      </c>
      <c r="D568">
        <v>119671.5625</v>
      </c>
      <c r="E568">
        <v>116584.39840000001</v>
      </c>
      <c r="F568">
        <v>117439.53909999999</v>
      </c>
      <c r="G568">
        <f>_xlfn.MAXIFS(Crypto[Close],Crypto[Name],Crypto[[#This Row],[Name]],Crypto[Date],"&lt;="&amp;Crypto[[#This Row],[Date]])</f>
        <v>119849.7031</v>
      </c>
      <c r="H568" s="3">
        <f>(Crypto[[#This Row],[Close]]/Crypto[[#This Row],[Peak Close]])-1</f>
        <v>-2.0109887114104996E-2</v>
      </c>
      <c r="I568">
        <v>117300.78909999999</v>
      </c>
      <c r="J568" s="1">
        <v>45858</v>
      </c>
      <c r="K568" s="3">
        <v>1.1828564928213299E-3</v>
      </c>
      <c r="L568">
        <v>69820091744</v>
      </c>
      <c r="M568" s="2" t="s">
        <v>12</v>
      </c>
    </row>
    <row r="569" spans="1:13" x14ac:dyDescent="0.3">
      <c r="A569" s="1">
        <v>45860</v>
      </c>
      <c r="B569" s="2" t="s">
        <v>11</v>
      </c>
      <c r="C569">
        <v>117426.5</v>
      </c>
      <c r="D569">
        <v>120269.9688</v>
      </c>
      <c r="E569">
        <v>116233.22659999999</v>
      </c>
      <c r="F569">
        <v>119995.41409999999</v>
      </c>
      <c r="G569">
        <f>_xlfn.MAXIFS(Crypto[Close],Crypto[Name],Crypto[[#This Row],[Name]],Crypto[Date],"&lt;="&amp;Crypto[[#This Row],[Date]])</f>
        <v>119995.41409999999</v>
      </c>
      <c r="H569" s="3">
        <f>(Crypto[[#This Row],[Close]]/Crypto[[#This Row],[Peak Close]])-1</f>
        <v>0</v>
      </c>
      <c r="I569">
        <v>117439.53909999999</v>
      </c>
      <c r="J569" s="1">
        <v>45859</v>
      </c>
      <c r="K569" s="3">
        <v>2.1763326215233799E-2</v>
      </c>
      <c r="L569">
        <v>79217583118</v>
      </c>
      <c r="M569" s="2" t="s">
        <v>12</v>
      </c>
    </row>
    <row r="570" spans="1:13" x14ac:dyDescent="0.3">
      <c r="A570" s="1">
        <v>45861</v>
      </c>
      <c r="B570" s="2" t="s">
        <v>11</v>
      </c>
      <c r="C570">
        <v>119997.44530000001</v>
      </c>
      <c r="D570">
        <v>120113.35159999999</v>
      </c>
      <c r="E570">
        <v>117391.3906</v>
      </c>
      <c r="F570">
        <v>118754.96090000001</v>
      </c>
      <c r="G570">
        <f>_xlfn.MAXIFS(Crypto[Close],Crypto[Name],Crypto[[#This Row],[Name]],Crypto[Date],"&lt;="&amp;Crypto[[#This Row],[Date]])</f>
        <v>119995.41409999999</v>
      </c>
      <c r="H570" s="3">
        <f>(Crypto[[#This Row],[Close]]/Crypto[[#This Row],[Peak Close]])-1</f>
        <v>-1.0337505056370211E-2</v>
      </c>
      <c r="I570">
        <v>119995.41409999999</v>
      </c>
      <c r="J570" s="1">
        <v>45860</v>
      </c>
      <c r="K570" s="3">
        <v>-1.03375050563702E-2</v>
      </c>
      <c r="L570">
        <v>66608604537</v>
      </c>
      <c r="M570" s="2" t="s">
        <v>12</v>
      </c>
    </row>
    <row r="571" spans="1:13" x14ac:dyDescent="0.3">
      <c r="A571" s="1">
        <v>45862</v>
      </c>
      <c r="B571" s="2" t="s">
        <v>11</v>
      </c>
      <c r="C571">
        <v>118770.9844</v>
      </c>
      <c r="D571">
        <v>119535.4531</v>
      </c>
      <c r="E571">
        <v>117247.9688</v>
      </c>
      <c r="F571">
        <v>118368</v>
      </c>
      <c r="G571">
        <f>_xlfn.MAXIFS(Crypto[Close],Crypto[Name],Crypto[[#This Row],[Name]],Crypto[Date],"&lt;="&amp;Crypto[[#This Row],[Date]])</f>
        <v>119995.41409999999</v>
      </c>
      <c r="H571" s="3">
        <f>(Crypto[[#This Row],[Close]]/Crypto[[#This Row],[Peak Close]])-1</f>
        <v>-1.3562302461357145E-2</v>
      </c>
      <c r="I571">
        <v>118754.96090000001</v>
      </c>
      <c r="J571" s="1">
        <v>45861</v>
      </c>
      <c r="K571" s="3">
        <v>-3.2584819789200502E-3</v>
      </c>
      <c r="L571">
        <v>72627318560</v>
      </c>
      <c r="M571" s="2" t="s">
        <v>12</v>
      </c>
    </row>
    <row r="572" spans="1:13" x14ac:dyDescent="0.3">
      <c r="A572" s="1">
        <v>45863</v>
      </c>
      <c r="B572" s="2" t="s">
        <v>11</v>
      </c>
      <c r="C572">
        <v>118368</v>
      </c>
      <c r="D572">
        <v>118486.97659999999</v>
      </c>
      <c r="E572">
        <v>114759.82030000001</v>
      </c>
      <c r="F572">
        <v>117635.88280000001</v>
      </c>
      <c r="G572">
        <f>_xlfn.MAXIFS(Crypto[Close],Crypto[Name],Crypto[[#This Row],[Name]],Crypto[Date],"&lt;="&amp;Crypto[[#This Row],[Date]])</f>
        <v>119995.41409999999</v>
      </c>
      <c r="H572" s="3">
        <f>(Crypto[[#This Row],[Close]]/Crypto[[#This Row],[Peak Close]])-1</f>
        <v>-1.9663512290841734E-2</v>
      </c>
      <c r="I572">
        <v>118368</v>
      </c>
      <c r="J572" s="1">
        <v>45862</v>
      </c>
      <c r="K572" s="3">
        <v>-6.1850939443092202E-3</v>
      </c>
      <c r="L572">
        <v>105000000000</v>
      </c>
      <c r="M572" s="2" t="s">
        <v>12</v>
      </c>
    </row>
    <row r="573" spans="1:13" x14ac:dyDescent="0.3">
      <c r="A573" s="1">
        <v>45864</v>
      </c>
      <c r="B573" s="2" t="s">
        <v>11</v>
      </c>
      <c r="C573">
        <v>117644.8438</v>
      </c>
      <c r="D573">
        <v>118335.6875</v>
      </c>
      <c r="E573">
        <v>117181.22659999999</v>
      </c>
      <c r="F573">
        <v>117947.36719999999</v>
      </c>
      <c r="G573">
        <f>_xlfn.MAXIFS(Crypto[Close],Crypto[Name],Crypto[[#This Row],[Name]],Crypto[Date],"&lt;="&amp;Crypto[[#This Row],[Date]])</f>
        <v>119995.41409999999</v>
      </c>
      <c r="H573" s="3">
        <f>(Crypto[[#This Row],[Close]]/Crypto[[#This Row],[Peak Close]])-1</f>
        <v>-1.7067709756751426E-2</v>
      </c>
      <c r="I573">
        <v>117635.88280000001</v>
      </c>
      <c r="J573" s="1">
        <v>45863</v>
      </c>
      <c r="K573" s="3">
        <v>2.6478689374870501E-3</v>
      </c>
      <c r="L573">
        <v>48508954046</v>
      </c>
      <c r="M573" s="2" t="s">
        <v>12</v>
      </c>
    </row>
    <row r="574" spans="1:13" x14ac:dyDescent="0.3">
      <c r="A574" s="1">
        <v>45865</v>
      </c>
      <c r="B574" s="2" t="s">
        <v>11</v>
      </c>
      <c r="C574">
        <v>117944.72659999999</v>
      </c>
      <c r="D574">
        <v>119815.5938</v>
      </c>
      <c r="E574">
        <v>117859.6875</v>
      </c>
      <c r="F574">
        <v>119448.49219999999</v>
      </c>
      <c r="G574">
        <f>_xlfn.MAXIFS(Crypto[Close],Crypto[Name],Crypto[[#This Row],[Name]],Crypto[Date],"&lt;="&amp;Crypto[[#This Row],[Date]])</f>
        <v>119995.41409999999</v>
      </c>
      <c r="H574" s="3">
        <f>(Crypto[[#This Row],[Close]]/Crypto[[#This Row],[Peak Close]])-1</f>
        <v>-4.5578566822913613E-3</v>
      </c>
      <c r="I574">
        <v>117947.36719999999</v>
      </c>
      <c r="J574" s="1">
        <v>45864</v>
      </c>
      <c r="K574" s="3">
        <v>1.2727075098290099E-2</v>
      </c>
      <c r="L574">
        <v>54683390892</v>
      </c>
      <c r="M574" s="2" t="s">
        <v>12</v>
      </c>
    </row>
    <row r="575" spans="1:13" x14ac:dyDescent="0.3">
      <c r="A575" s="1">
        <v>45866</v>
      </c>
      <c r="B575" s="2" t="s">
        <v>11</v>
      </c>
      <c r="C575">
        <v>119457.52340000001</v>
      </c>
      <c r="D575">
        <v>119819.78909999999</v>
      </c>
      <c r="E575">
        <v>117441.4375</v>
      </c>
      <c r="F575">
        <v>117924.47659999999</v>
      </c>
      <c r="G575">
        <f>_xlfn.MAXIFS(Crypto[Close],Crypto[Name],Crypto[[#This Row],[Name]],Crypto[Date],"&lt;="&amp;Crypto[[#This Row],[Date]])</f>
        <v>119995.41409999999</v>
      </c>
      <c r="H575" s="3">
        <f>(Crypto[[#This Row],[Close]]/Crypto[[#This Row],[Peak Close]])-1</f>
        <v>-1.7258472046891349E-2</v>
      </c>
      <c r="I575">
        <v>119448.49219999999</v>
      </c>
      <c r="J575" s="1">
        <v>45865</v>
      </c>
      <c r="K575" s="3">
        <v>-1.27587680005893E-2</v>
      </c>
      <c r="L575">
        <v>64822943193</v>
      </c>
      <c r="M575" s="2" t="s">
        <v>12</v>
      </c>
    </row>
    <row r="576" spans="1:13" x14ac:dyDescent="0.3">
      <c r="A576" s="1">
        <v>45867</v>
      </c>
      <c r="B576" s="2" t="s">
        <v>11</v>
      </c>
      <c r="C576">
        <v>117938.58590000001</v>
      </c>
      <c r="D576">
        <v>119273.86719999999</v>
      </c>
      <c r="E576">
        <v>116987.36719999999</v>
      </c>
      <c r="F576">
        <v>117922.14840000001</v>
      </c>
      <c r="G576">
        <f>_xlfn.MAXIFS(Crypto[Close],Crypto[Name],Crypto[[#This Row],[Name]],Crypto[Date],"&lt;="&amp;Crypto[[#This Row],[Date]])</f>
        <v>119995.41409999999</v>
      </c>
      <c r="H576" s="3">
        <f>(Crypto[[#This Row],[Close]]/Crypto[[#This Row],[Peak Close]])-1</f>
        <v>-1.7277874455037145E-2</v>
      </c>
      <c r="I576">
        <v>117924.47659999999</v>
      </c>
      <c r="J576" s="1">
        <v>45866</v>
      </c>
      <c r="K576" s="3">
        <v>-1.9743144655933201E-5</v>
      </c>
      <c r="L576">
        <v>68463107433</v>
      </c>
      <c r="M576" s="2" t="s">
        <v>12</v>
      </c>
    </row>
    <row r="577" spans="1:13" x14ac:dyDescent="0.3">
      <c r="A577" s="1">
        <v>45868</v>
      </c>
      <c r="B577" s="2" t="s">
        <v>11</v>
      </c>
      <c r="C577">
        <v>117921.99219999999</v>
      </c>
      <c r="D577">
        <v>118780.72659999999</v>
      </c>
      <c r="E577">
        <v>115800.8281</v>
      </c>
      <c r="F577">
        <v>117831.1875</v>
      </c>
      <c r="G577">
        <f>_xlfn.MAXIFS(Crypto[Close],Crypto[Name],Crypto[[#This Row],[Name]],Crypto[Date],"&lt;="&amp;Crypto[[#This Row],[Date]])</f>
        <v>119995.41409999999</v>
      </c>
      <c r="H577" s="3">
        <f>(Crypto[[#This Row],[Close]]/Crypto[[#This Row],[Peak Close]])-1</f>
        <v>-1.8035910924032561E-2</v>
      </c>
      <c r="I577">
        <v>117922.14840000001</v>
      </c>
      <c r="J577" s="1">
        <v>45867</v>
      </c>
      <c r="K577" s="3">
        <v>-7.7136399933505195E-4</v>
      </c>
      <c r="L577">
        <v>68896148592</v>
      </c>
      <c r="M577" s="2" t="s">
        <v>12</v>
      </c>
    </row>
    <row r="578" spans="1:13" x14ac:dyDescent="0.3">
      <c r="A578" s="1">
        <v>45869</v>
      </c>
      <c r="B578" s="2" t="s">
        <v>11</v>
      </c>
      <c r="C578">
        <v>117833.63280000001</v>
      </c>
      <c r="D578">
        <v>118919.9844</v>
      </c>
      <c r="E578">
        <v>115505.2188</v>
      </c>
      <c r="F578">
        <v>115758.2031</v>
      </c>
      <c r="G578">
        <f>_xlfn.MAXIFS(Crypto[Close],Crypto[Name],Crypto[[#This Row],[Name]],Crypto[Date],"&lt;="&amp;Crypto[[#This Row],[Date]])</f>
        <v>119995.41409999999</v>
      </c>
      <c r="H578" s="3">
        <f>(Crypto[[#This Row],[Close]]/Crypto[[#This Row],[Peak Close]])-1</f>
        <v>-3.5311441122815368E-2</v>
      </c>
      <c r="I578">
        <v>117831.1875</v>
      </c>
      <c r="J578" s="1">
        <v>45868</v>
      </c>
      <c r="K578" s="3">
        <v>-1.7592832967078399E-2</v>
      </c>
      <c r="L578">
        <v>69370346018</v>
      </c>
      <c r="M578" s="2" t="s">
        <v>12</v>
      </c>
    </row>
    <row r="579" spans="1:13" x14ac:dyDescent="0.3">
      <c r="A579" s="1">
        <v>45870</v>
      </c>
      <c r="B579" s="2" t="s">
        <v>11</v>
      </c>
      <c r="C579">
        <v>115738.9531</v>
      </c>
      <c r="D579">
        <v>116060.77340000001</v>
      </c>
      <c r="E579">
        <v>112724.44530000001</v>
      </c>
      <c r="F579">
        <v>113320.08590000001</v>
      </c>
      <c r="G579">
        <f>_xlfn.MAXIFS(Crypto[Close],Crypto[Name],Crypto[[#This Row],[Name]],Crypto[Date],"&lt;="&amp;Crypto[[#This Row],[Date]])</f>
        <v>119995.41409999999</v>
      </c>
      <c r="H579" s="3">
        <f>(Crypto[[#This Row],[Close]]/Crypto[[#This Row],[Peak Close]])-1</f>
        <v>-5.5629860941494025E-2</v>
      </c>
      <c r="I579">
        <v>115758.2031</v>
      </c>
      <c r="J579" s="1">
        <v>45869</v>
      </c>
      <c r="K579" s="3">
        <v>-2.1062154859934901E-2</v>
      </c>
      <c r="L579">
        <v>91294530181</v>
      </c>
      <c r="M579" s="2" t="s">
        <v>12</v>
      </c>
    </row>
    <row r="580" spans="1:13" x14ac:dyDescent="0.3">
      <c r="A580" s="1">
        <v>45871</v>
      </c>
      <c r="B580" s="2" t="s">
        <v>11</v>
      </c>
      <c r="C580">
        <v>113320.3906</v>
      </c>
      <c r="D580">
        <v>114021.60159999999</v>
      </c>
      <c r="E580">
        <v>112005.7656</v>
      </c>
      <c r="F580">
        <v>112526.91409999999</v>
      </c>
      <c r="G580">
        <f>_xlfn.MAXIFS(Crypto[Close],Crypto[Name],Crypto[[#This Row],[Name]],Crypto[Date],"&lt;="&amp;Crypto[[#This Row],[Date]])</f>
        <v>119995.41409999999</v>
      </c>
      <c r="H580" s="3">
        <f>(Crypto[[#This Row],[Close]]/Crypto[[#This Row],[Peak Close]])-1</f>
        <v>-6.2239878548825289E-2</v>
      </c>
      <c r="I580">
        <v>113320.08590000001</v>
      </c>
      <c r="J580" s="1">
        <v>45870</v>
      </c>
      <c r="K580" s="3">
        <v>-6.9993928587377702E-3</v>
      </c>
      <c r="L580">
        <v>56870866000</v>
      </c>
      <c r="M580" s="2" t="s">
        <v>12</v>
      </c>
    </row>
    <row r="581" spans="1:13" x14ac:dyDescent="0.3">
      <c r="A581" s="1">
        <v>45872</v>
      </c>
      <c r="B581" s="2" t="s">
        <v>11</v>
      </c>
      <c r="C581">
        <v>112525.80469999999</v>
      </c>
      <c r="D581">
        <v>114747.4219</v>
      </c>
      <c r="E581">
        <v>111943.80469999999</v>
      </c>
      <c r="F581">
        <v>114217.6719</v>
      </c>
      <c r="G581">
        <f>_xlfn.MAXIFS(Crypto[Close],Crypto[Name],Crypto[[#This Row],[Name]],Crypto[Date],"&lt;="&amp;Crypto[[#This Row],[Date]])</f>
        <v>119995.41409999999</v>
      </c>
      <c r="H581" s="3">
        <f>(Crypto[[#This Row],[Close]]/Crypto[[#This Row],[Peak Close]])-1</f>
        <v>-4.8149691747261469E-2</v>
      </c>
      <c r="I581">
        <v>112526.91409999999</v>
      </c>
      <c r="J581" s="1">
        <v>45871</v>
      </c>
      <c r="K581" s="3">
        <v>1.50253636076563E-2</v>
      </c>
      <c r="L581">
        <v>48099615826</v>
      </c>
      <c r="M581" s="2" t="s">
        <v>12</v>
      </c>
    </row>
    <row r="582" spans="1:13" x14ac:dyDescent="0.3">
      <c r="A582" s="1">
        <v>45873</v>
      </c>
      <c r="B582" s="2" t="s">
        <v>11</v>
      </c>
      <c r="C582">
        <v>114223.9219</v>
      </c>
      <c r="D582">
        <v>115729.4688</v>
      </c>
      <c r="E582">
        <v>114130.4063</v>
      </c>
      <c r="F582">
        <v>115071.88280000001</v>
      </c>
      <c r="G582">
        <f>_xlfn.MAXIFS(Crypto[Close],Crypto[Name],Crypto[[#This Row],[Name]],Crypto[Date],"&lt;="&amp;Crypto[[#This Row],[Date]])</f>
        <v>119995.41409999999</v>
      </c>
      <c r="H582" s="3">
        <f>(Crypto[[#This Row],[Close]]/Crypto[[#This Row],[Peak Close]])-1</f>
        <v>-4.103099553368672E-2</v>
      </c>
      <c r="I582">
        <v>114217.6719</v>
      </c>
      <c r="J582" s="1">
        <v>45872</v>
      </c>
      <c r="K582" s="3">
        <v>7.4787980335292202E-3</v>
      </c>
      <c r="L582">
        <v>35783028986</v>
      </c>
      <c r="M582" s="2" t="s">
        <v>12</v>
      </c>
    </row>
    <row r="583" spans="1:13" x14ac:dyDescent="0.3">
      <c r="A583" s="1">
        <v>45874</v>
      </c>
      <c r="B583" s="2" t="s">
        <v>11</v>
      </c>
      <c r="C583">
        <v>115072.1875</v>
      </c>
      <c r="D583">
        <v>115117.4375</v>
      </c>
      <c r="E583">
        <v>112701.1094</v>
      </c>
      <c r="F583">
        <v>114141.44530000001</v>
      </c>
      <c r="G583">
        <f>_xlfn.MAXIFS(Crypto[Close],Crypto[Name],Crypto[[#This Row],[Name]],Crypto[Date],"&lt;="&amp;Crypto[[#This Row],[Date]])</f>
        <v>119995.41409999999</v>
      </c>
      <c r="H583" s="3">
        <f>(Crypto[[#This Row],[Close]]/Crypto[[#This Row],[Peak Close]])-1</f>
        <v>-4.8784937690381169E-2</v>
      </c>
      <c r="I583">
        <v>115071.88280000001</v>
      </c>
      <c r="J583" s="1">
        <v>45873</v>
      </c>
      <c r="K583" s="3">
        <v>-8.0857067544218598E-3</v>
      </c>
      <c r="L583">
        <v>61039182286</v>
      </c>
      <c r="M583" s="2" t="s">
        <v>12</v>
      </c>
    </row>
    <row r="584" spans="1:13" x14ac:dyDescent="0.3">
      <c r="A584" s="1">
        <v>45875</v>
      </c>
      <c r="B584" s="2" t="s">
        <v>11</v>
      </c>
      <c r="C584">
        <v>114140.91409999999</v>
      </c>
      <c r="D584">
        <v>115737.83590000001</v>
      </c>
      <c r="E584">
        <v>113372.25</v>
      </c>
      <c r="F584">
        <v>115028</v>
      </c>
      <c r="G584">
        <f>_xlfn.MAXIFS(Crypto[Close],Crypto[Name],Crypto[[#This Row],[Name]],Crypto[Date],"&lt;="&amp;Crypto[[#This Row],[Date]])</f>
        <v>119995.41409999999</v>
      </c>
      <c r="H584" s="3">
        <f>(Crypto[[#This Row],[Close]]/Crypto[[#This Row],[Peak Close]])-1</f>
        <v>-4.1396699509368973E-2</v>
      </c>
      <c r="I584">
        <v>114141.44530000001</v>
      </c>
      <c r="J584" s="1">
        <v>45874</v>
      </c>
      <c r="K584" s="3">
        <v>7.7671585257208398E-3</v>
      </c>
      <c r="L584">
        <v>56379133510</v>
      </c>
      <c r="M584" s="2" t="s">
        <v>12</v>
      </c>
    </row>
    <row r="585" spans="1:13" x14ac:dyDescent="0.3">
      <c r="A585" s="1">
        <v>45876</v>
      </c>
      <c r="B585" s="2" t="s">
        <v>11</v>
      </c>
      <c r="C585">
        <v>115030.05469999999</v>
      </c>
      <c r="D585">
        <v>117676.9063</v>
      </c>
      <c r="E585">
        <v>114279.71090000001</v>
      </c>
      <c r="F585">
        <v>117496.89840000001</v>
      </c>
      <c r="G585">
        <f>_xlfn.MAXIFS(Crypto[Close],Crypto[Name],Crypto[[#This Row],[Name]],Crypto[Date],"&lt;="&amp;Crypto[[#This Row],[Date]])</f>
        <v>119995.41409999999</v>
      </c>
      <c r="H585" s="3">
        <f>(Crypto[[#This Row],[Close]]/Crypto[[#This Row],[Peak Close]])-1</f>
        <v>-2.0821759887572178E-2</v>
      </c>
      <c r="I585">
        <v>115028</v>
      </c>
      <c r="J585" s="1">
        <v>45875</v>
      </c>
      <c r="K585" s="3">
        <v>2.14634558542268E-2</v>
      </c>
      <c r="L585">
        <v>64051649681</v>
      </c>
      <c r="M585" s="2" t="s">
        <v>12</v>
      </c>
    </row>
    <row r="586" spans="1:13" x14ac:dyDescent="0.3">
      <c r="A586" s="1">
        <v>45877</v>
      </c>
      <c r="B586" s="2" t="s">
        <v>11</v>
      </c>
      <c r="C586">
        <v>117505.5</v>
      </c>
      <c r="D586">
        <v>117689.2031</v>
      </c>
      <c r="E586">
        <v>115917.46090000001</v>
      </c>
      <c r="F586">
        <v>116688.72659999999</v>
      </c>
      <c r="G586">
        <f>_xlfn.MAXIFS(Crypto[Close],Crypto[Name],Crypto[[#This Row],[Name]],Crypto[Date],"&lt;="&amp;Crypto[[#This Row],[Date]])</f>
        <v>119995.41409999999</v>
      </c>
      <c r="H586" s="3">
        <f>(Crypto[[#This Row],[Close]]/Crypto[[#This Row],[Peak Close]])-1</f>
        <v>-2.755678227206515E-2</v>
      </c>
      <c r="I586">
        <v>117496.89840000001</v>
      </c>
      <c r="J586" s="1">
        <v>45876</v>
      </c>
      <c r="K586" s="3">
        <v>-6.8782394344462996E-3</v>
      </c>
      <c r="L586">
        <v>59713005166</v>
      </c>
      <c r="M586" s="2" t="s">
        <v>12</v>
      </c>
    </row>
    <row r="587" spans="1:13" x14ac:dyDescent="0.3">
      <c r="A587" s="1">
        <v>45878</v>
      </c>
      <c r="B587" s="2" t="s">
        <v>11</v>
      </c>
      <c r="C587">
        <v>116678.27340000001</v>
      </c>
      <c r="D587">
        <v>117906.6094</v>
      </c>
      <c r="E587">
        <v>116363.83590000001</v>
      </c>
      <c r="F587">
        <v>116500.3594</v>
      </c>
      <c r="G587">
        <f>_xlfn.MAXIFS(Crypto[Close],Crypto[Name],Crypto[[#This Row],[Name]],Crypto[Date],"&lt;="&amp;Crypto[[#This Row],[Date]])</f>
        <v>119995.41409999999</v>
      </c>
      <c r="H587" s="3">
        <f>(Crypto[[#This Row],[Close]]/Crypto[[#This Row],[Peak Close]])-1</f>
        <v>-2.9126568929437102E-2</v>
      </c>
      <c r="I587">
        <v>116688.72659999999</v>
      </c>
      <c r="J587" s="1">
        <v>45877</v>
      </c>
      <c r="K587" s="3">
        <v>-1.6142707653816601E-3</v>
      </c>
      <c r="L587">
        <v>54004312429</v>
      </c>
      <c r="M587" s="2" t="s">
        <v>12</v>
      </c>
    </row>
    <row r="588" spans="1:13" x14ac:dyDescent="0.3">
      <c r="A588" s="1">
        <v>45879</v>
      </c>
      <c r="B588" s="2" t="s">
        <v>11</v>
      </c>
      <c r="C588">
        <v>116497.7188</v>
      </c>
      <c r="D588">
        <v>119320.71090000001</v>
      </c>
      <c r="E588">
        <v>116485.16409999999</v>
      </c>
      <c r="F588">
        <v>119306.75780000001</v>
      </c>
      <c r="G588">
        <f>_xlfn.MAXIFS(Crypto[Close],Crypto[Name],Crypto[[#This Row],[Name]],Crypto[Date],"&lt;="&amp;Crypto[[#This Row],[Date]])</f>
        <v>119995.41409999999</v>
      </c>
      <c r="H588" s="3">
        <f>(Crypto[[#This Row],[Close]]/Crypto[[#This Row],[Peak Close]])-1</f>
        <v>-5.7390218215013222E-3</v>
      </c>
      <c r="I588">
        <v>116500.3594</v>
      </c>
      <c r="J588" s="1">
        <v>45878</v>
      </c>
      <c r="K588" s="3">
        <v>2.4089182337749999E-2</v>
      </c>
      <c r="L588">
        <v>64755458694</v>
      </c>
      <c r="M588" s="2" t="s">
        <v>12</v>
      </c>
    </row>
    <row r="589" spans="1:13" x14ac:dyDescent="0.3">
      <c r="A589" s="1">
        <v>45880</v>
      </c>
      <c r="B589" s="2" t="s">
        <v>11</v>
      </c>
      <c r="C589">
        <v>119306.8125</v>
      </c>
      <c r="D589">
        <v>122321.0938</v>
      </c>
      <c r="E589">
        <v>118159.0313</v>
      </c>
      <c r="F589">
        <v>118731.44530000001</v>
      </c>
      <c r="G589">
        <f>_xlfn.MAXIFS(Crypto[Close],Crypto[Name],Crypto[[#This Row],[Name]],Crypto[Date],"&lt;="&amp;Crypto[[#This Row],[Date]])</f>
        <v>119995.41409999999</v>
      </c>
      <c r="H589" s="3">
        <f>(Crypto[[#This Row],[Close]]/Crypto[[#This Row],[Peak Close]])-1</f>
        <v>-1.0533475878891863E-2</v>
      </c>
      <c r="I589">
        <v>119306.75780000001</v>
      </c>
      <c r="J589" s="1">
        <v>45879</v>
      </c>
      <c r="K589" s="3">
        <v>-4.8221283572588997E-3</v>
      </c>
      <c r="L589">
        <v>90528784177</v>
      </c>
      <c r="M589" s="2" t="s">
        <v>12</v>
      </c>
    </row>
    <row r="590" spans="1:13" x14ac:dyDescent="0.3">
      <c r="A590" s="1">
        <v>45881</v>
      </c>
      <c r="B590" s="2" t="s">
        <v>11</v>
      </c>
      <c r="C590">
        <v>118717.66409999999</v>
      </c>
      <c r="D590">
        <v>120302.4688</v>
      </c>
      <c r="E590">
        <v>118228.7188</v>
      </c>
      <c r="F590">
        <v>120172.9063</v>
      </c>
      <c r="G590">
        <f>_xlfn.MAXIFS(Crypto[Close],Crypto[Name],Crypto[[#This Row],[Name]],Crypto[Date],"&lt;="&amp;Crypto[[#This Row],[Date]])</f>
        <v>120172.9063</v>
      </c>
      <c r="H590" s="3">
        <f>(Crypto[[#This Row],[Close]]/Crypto[[#This Row],[Peak Close]])-1</f>
        <v>0</v>
      </c>
      <c r="I590">
        <v>118731.44530000001</v>
      </c>
      <c r="J590" s="1">
        <v>45880</v>
      </c>
      <c r="K590" s="3">
        <v>1.21405159042564E-2</v>
      </c>
      <c r="L590">
        <v>72803657984</v>
      </c>
      <c r="M590" s="2" t="s">
        <v>12</v>
      </c>
    </row>
    <row r="591" spans="1:13" x14ac:dyDescent="0.3">
      <c r="A591" s="1">
        <v>45882</v>
      </c>
      <c r="B591" s="2" t="s">
        <v>11</v>
      </c>
      <c r="C591">
        <v>120168.97659999999</v>
      </c>
      <c r="D591">
        <v>123682.4531</v>
      </c>
      <c r="E591">
        <v>118939.63280000001</v>
      </c>
      <c r="F591">
        <v>123344.0625</v>
      </c>
      <c r="G591">
        <f>_xlfn.MAXIFS(Crypto[Close],Crypto[Name],Crypto[[#This Row],[Name]],Crypto[Date],"&lt;="&amp;Crypto[[#This Row],[Date]])</f>
        <v>123344.0625</v>
      </c>
      <c r="H591" s="3">
        <f>(Crypto[[#This Row],[Close]]/Crypto[[#This Row],[Peak Close]])-1</f>
        <v>0</v>
      </c>
      <c r="I591">
        <v>120172.9063</v>
      </c>
      <c r="J591" s="1">
        <v>45881</v>
      </c>
      <c r="K591" s="3">
        <v>2.6388279169045899E-2</v>
      </c>
      <c r="L591">
        <v>90904808795</v>
      </c>
      <c r="M591" s="2" t="s">
        <v>12</v>
      </c>
    </row>
    <row r="592" spans="1:13" x14ac:dyDescent="0.3">
      <c r="A592" s="1">
        <v>45883</v>
      </c>
      <c r="B592" s="2" t="s">
        <v>11</v>
      </c>
      <c r="C592">
        <v>123339.39840000001</v>
      </c>
      <c r="D592">
        <v>124457.11719999999</v>
      </c>
      <c r="E592">
        <v>117254.88280000001</v>
      </c>
      <c r="F592">
        <v>118359.5781</v>
      </c>
      <c r="G592">
        <f>_xlfn.MAXIFS(Crypto[Close],Crypto[Name],Crypto[[#This Row],[Name]],Crypto[Date],"&lt;="&amp;Crypto[[#This Row],[Date]])</f>
        <v>123344.0625</v>
      </c>
      <c r="H592" s="3">
        <f>(Crypto[[#This Row],[Close]]/Crypto[[#This Row],[Peak Close]])-1</f>
        <v>-4.0411222875037067E-2</v>
      </c>
      <c r="I592">
        <v>123344.0625</v>
      </c>
      <c r="J592" s="1">
        <v>45882</v>
      </c>
      <c r="K592" s="3">
        <v>-4.0411222875037102E-2</v>
      </c>
      <c r="L592">
        <v>104000000000</v>
      </c>
      <c r="M592" s="2" t="s">
        <v>12</v>
      </c>
    </row>
    <row r="593" spans="1:13" x14ac:dyDescent="0.3">
      <c r="A593" s="1">
        <v>45884</v>
      </c>
      <c r="B593" s="2" t="s">
        <v>11</v>
      </c>
      <c r="C593">
        <v>118365.7813</v>
      </c>
      <c r="D593">
        <v>119332.3125</v>
      </c>
      <c r="E593">
        <v>116864.57030000001</v>
      </c>
      <c r="F593">
        <v>117398.35159999999</v>
      </c>
      <c r="G593">
        <f>_xlfn.MAXIFS(Crypto[Close],Crypto[Name],Crypto[[#This Row],[Name]],Crypto[Date],"&lt;="&amp;Crypto[[#This Row],[Date]])</f>
        <v>123344.0625</v>
      </c>
      <c r="H593" s="3">
        <f>(Crypto[[#This Row],[Close]]/Crypto[[#This Row],[Peak Close]])-1</f>
        <v>-4.8204273310683332E-2</v>
      </c>
      <c r="I593">
        <v>118359.5781</v>
      </c>
      <c r="J593" s="1">
        <v>45883</v>
      </c>
      <c r="K593" s="3">
        <v>-8.1212396616341404E-3</v>
      </c>
      <c r="L593">
        <v>68665353159</v>
      </c>
      <c r="M593" s="2" t="s">
        <v>12</v>
      </c>
    </row>
    <row r="594" spans="1:13" x14ac:dyDescent="0.3">
      <c r="A594" s="1">
        <v>45885</v>
      </c>
      <c r="B594" s="2" t="s">
        <v>11</v>
      </c>
      <c r="C594">
        <v>117398.4219</v>
      </c>
      <c r="D594">
        <v>117996.0625</v>
      </c>
      <c r="E594">
        <v>117271.9531</v>
      </c>
      <c r="F594">
        <v>117491.35159999999</v>
      </c>
      <c r="G594">
        <f>_xlfn.MAXIFS(Crypto[Close],Crypto[Name],Crypto[[#This Row],[Name]],Crypto[Date],"&lt;="&amp;Crypto[[#This Row],[Date]])</f>
        <v>123344.0625</v>
      </c>
      <c r="H594" s="3">
        <f>(Crypto[[#This Row],[Close]]/Crypto[[#This Row],[Peak Close]])-1</f>
        <v>-4.7450284848530977E-2</v>
      </c>
      <c r="I594">
        <v>117398.35159999999</v>
      </c>
      <c r="J594" s="1">
        <v>45884</v>
      </c>
      <c r="K594" s="3">
        <v>7.9217466627529696E-4</v>
      </c>
      <c r="L594">
        <v>48036922378</v>
      </c>
      <c r="M594" s="2" t="s">
        <v>12</v>
      </c>
    </row>
    <row r="595" spans="1:13" x14ac:dyDescent="0.3">
      <c r="A595" s="1">
        <v>45886</v>
      </c>
      <c r="B595" s="2" t="s">
        <v>11</v>
      </c>
      <c r="C595">
        <v>117492.78909999999</v>
      </c>
      <c r="D595">
        <v>118595.77340000001</v>
      </c>
      <c r="E595">
        <v>117279.52340000001</v>
      </c>
      <c r="F595">
        <v>117453.0625</v>
      </c>
      <c r="G595">
        <f>_xlfn.MAXIFS(Crypto[Close],Crypto[Name],Crypto[[#This Row],[Name]],Crypto[Date],"&lt;="&amp;Crypto[[#This Row],[Date]])</f>
        <v>123344.0625</v>
      </c>
      <c r="H595" s="3">
        <f>(Crypto[[#This Row],[Close]]/Crypto[[#This Row],[Peak Close]])-1</f>
        <v>-4.7760710005801843E-2</v>
      </c>
      <c r="I595">
        <v>117491.35159999999</v>
      </c>
      <c r="J595" s="1">
        <v>45885</v>
      </c>
      <c r="K595" s="3">
        <v>-3.2588866736634403E-4</v>
      </c>
      <c r="L595">
        <v>45852169525</v>
      </c>
      <c r="M595" s="2" t="s">
        <v>12</v>
      </c>
    </row>
    <row r="596" spans="1:13" x14ac:dyDescent="0.3">
      <c r="A596" s="1">
        <v>45887</v>
      </c>
      <c r="B596" s="2" t="s">
        <v>11</v>
      </c>
      <c r="C596">
        <v>117453.9063</v>
      </c>
      <c r="D596">
        <v>117614.1719</v>
      </c>
      <c r="E596">
        <v>114723.67969999999</v>
      </c>
      <c r="F596">
        <v>116252.3125</v>
      </c>
      <c r="G596">
        <f>_xlfn.MAXIFS(Crypto[Close],Crypto[Name],Crypto[[#This Row],[Name]],Crypto[Date],"&lt;="&amp;Crypto[[#This Row],[Date]])</f>
        <v>123344.0625</v>
      </c>
      <c r="H596" s="3">
        <f>(Crypto[[#This Row],[Close]]/Crypto[[#This Row],[Peak Close]])-1</f>
        <v>-5.7495673940527126E-2</v>
      </c>
      <c r="I596">
        <v>117453.0625</v>
      </c>
      <c r="J596" s="1">
        <v>45886</v>
      </c>
      <c r="K596" s="3">
        <v>-1.0223232791397001E-2</v>
      </c>
      <c r="L596">
        <v>72787808090</v>
      </c>
      <c r="M596" s="2" t="s">
        <v>12</v>
      </c>
    </row>
    <row r="597" spans="1:13" x14ac:dyDescent="0.3">
      <c r="A597" s="1">
        <v>45888</v>
      </c>
      <c r="B597" s="2" t="s">
        <v>11</v>
      </c>
      <c r="C597">
        <v>116241.8594</v>
      </c>
      <c r="D597">
        <v>116764.5</v>
      </c>
      <c r="E597">
        <v>112730.39840000001</v>
      </c>
      <c r="F597">
        <v>112831.17969999999</v>
      </c>
      <c r="G597">
        <f>_xlfn.MAXIFS(Crypto[Close],Crypto[Name],Crypto[[#This Row],[Name]],Crypto[Date],"&lt;="&amp;Crypto[[#This Row],[Date]])</f>
        <v>123344.0625</v>
      </c>
      <c r="H597" s="3">
        <f>(Crypto[[#This Row],[Close]]/Crypto[[#This Row],[Peak Close]])-1</f>
        <v>-8.5232175646882125E-2</v>
      </c>
      <c r="I597">
        <v>116252.3125</v>
      </c>
      <c r="J597" s="1">
        <v>45887</v>
      </c>
      <c r="K597" s="3">
        <v>-2.9428513948916098E-2</v>
      </c>
      <c r="L597">
        <v>71657600353</v>
      </c>
      <c r="M597" s="2" t="s">
        <v>12</v>
      </c>
    </row>
    <row r="598" spans="1:13" x14ac:dyDescent="0.3">
      <c r="A598" s="1">
        <v>45889</v>
      </c>
      <c r="B598" s="2" t="s">
        <v>11</v>
      </c>
      <c r="C598">
        <v>112828.02340000001</v>
      </c>
      <c r="D598">
        <v>114625.7969</v>
      </c>
      <c r="E598">
        <v>112387.96090000001</v>
      </c>
      <c r="F598">
        <v>114274.74219999999</v>
      </c>
      <c r="G598">
        <f>_xlfn.MAXIFS(Crypto[Close],Crypto[Name],Crypto[[#This Row],[Name]],Crypto[Date],"&lt;="&amp;Crypto[[#This Row],[Date]])</f>
        <v>123344.0625</v>
      </c>
      <c r="H598" s="3">
        <f>(Crypto[[#This Row],[Close]]/Crypto[[#This Row],[Peak Close]])-1</f>
        <v>-7.352863296520662E-2</v>
      </c>
      <c r="I598">
        <v>112831.17969999999</v>
      </c>
      <c r="J598" s="1">
        <v>45888</v>
      </c>
      <c r="K598" s="3">
        <v>1.2794003429178E-2</v>
      </c>
      <c r="L598">
        <v>67993811526</v>
      </c>
      <c r="M598" s="2" t="s">
        <v>12</v>
      </c>
    </row>
    <row r="599" spans="1:13" x14ac:dyDescent="0.3">
      <c r="A599" s="1">
        <v>45890</v>
      </c>
      <c r="B599" s="2" t="s">
        <v>11</v>
      </c>
      <c r="C599">
        <v>114275.6875</v>
      </c>
      <c r="D599">
        <v>114802.64840000001</v>
      </c>
      <c r="E599">
        <v>111986.2344</v>
      </c>
      <c r="F599">
        <v>112419.0313</v>
      </c>
      <c r="G599">
        <f>_xlfn.MAXIFS(Crypto[Close],Crypto[Name],Crypto[[#This Row],[Name]],Crypto[Date],"&lt;="&amp;Crypto[[#This Row],[Date]])</f>
        <v>123344.0625</v>
      </c>
      <c r="H599" s="3">
        <f>(Crypto[[#This Row],[Close]]/Crypto[[#This Row],[Peak Close]])-1</f>
        <v>-8.8573628746823507E-2</v>
      </c>
      <c r="I599">
        <v>114274.74219999999</v>
      </c>
      <c r="J599" s="1">
        <v>45889</v>
      </c>
      <c r="K599" s="3">
        <v>-1.6239029415198201E-2</v>
      </c>
      <c r="L599">
        <v>57817883700</v>
      </c>
      <c r="M599" s="2" t="s">
        <v>12</v>
      </c>
    </row>
    <row r="600" spans="1:13" x14ac:dyDescent="0.3">
      <c r="A600" s="1">
        <v>45891</v>
      </c>
      <c r="B600" s="2" t="s">
        <v>11</v>
      </c>
      <c r="C600">
        <v>112433.7344</v>
      </c>
      <c r="D600">
        <v>117377.39840000001</v>
      </c>
      <c r="E600">
        <v>111678.94530000001</v>
      </c>
      <c r="F600">
        <v>116874.08590000001</v>
      </c>
      <c r="G600">
        <f>_xlfn.MAXIFS(Crypto[Close],Crypto[Name],Crypto[[#This Row],[Name]],Crypto[Date],"&lt;="&amp;Crypto[[#This Row],[Date]])</f>
        <v>123344.0625</v>
      </c>
      <c r="H600" s="3">
        <f>(Crypto[[#This Row],[Close]]/Crypto[[#This Row],[Peak Close]])-1</f>
        <v>-5.2454706524685757E-2</v>
      </c>
      <c r="I600">
        <v>112419.0313</v>
      </c>
      <c r="J600" s="1">
        <v>45890</v>
      </c>
      <c r="K600" s="3">
        <v>3.9629007192841799E-2</v>
      </c>
      <c r="L600">
        <v>82528088240</v>
      </c>
      <c r="M600" s="2" t="s">
        <v>12</v>
      </c>
    </row>
    <row r="601" spans="1:13" x14ac:dyDescent="0.3">
      <c r="A601" s="1">
        <v>45892</v>
      </c>
      <c r="B601" s="2" t="s">
        <v>11</v>
      </c>
      <c r="C601">
        <v>116866.36719999999</v>
      </c>
      <c r="D601">
        <v>116996.25</v>
      </c>
      <c r="E601">
        <v>114536.1094</v>
      </c>
      <c r="F601">
        <v>115374.3281</v>
      </c>
      <c r="G601">
        <f>_xlfn.MAXIFS(Crypto[Close],Crypto[Name],Crypto[[#This Row],[Name]],Crypto[Date],"&lt;="&amp;Crypto[[#This Row],[Date]])</f>
        <v>123344.0625</v>
      </c>
      <c r="H601" s="3">
        <f>(Crypto[[#This Row],[Close]]/Crypto[[#This Row],[Peak Close]])-1</f>
        <v>-6.4613847139986968E-2</v>
      </c>
      <c r="I601">
        <v>116874.08590000001</v>
      </c>
      <c r="J601" s="1">
        <v>45891</v>
      </c>
      <c r="K601" s="3">
        <v>-1.2832252662777901E-2</v>
      </c>
      <c r="L601">
        <v>55377142586</v>
      </c>
      <c r="M601" s="2" t="s">
        <v>12</v>
      </c>
    </row>
    <row r="602" spans="1:13" x14ac:dyDescent="0.3">
      <c r="A602" s="1">
        <v>45893</v>
      </c>
      <c r="B602" s="2" t="s">
        <v>11</v>
      </c>
      <c r="C602">
        <v>115387.3906</v>
      </c>
      <c r="D602">
        <v>115615.08590000001</v>
      </c>
      <c r="E602">
        <v>111060.5469</v>
      </c>
      <c r="F602">
        <v>113458.42969999999</v>
      </c>
      <c r="G602">
        <f>_xlfn.MAXIFS(Crypto[Close],Crypto[Name],Crypto[[#This Row],[Name]],Crypto[Date],"&lt;="&amp;Crypto[[#This Row],[Date]])</f>
        <v>123344.0625</v>
      </c>
      <c r="H602" s="3">
        <f>(Crypto[[#This Row],[Close]]/Crypto[[#This Row],[Peak Close]])-1</f>
        <v>-8.0146807228763106E-2</v>
      </c>
      <c r="I602">
        <v>115374.3281</v>
      </c>
      <c r="J602" s="1">
        <v>45892</v>
      </c>
      <c r="K602" s="3">
        <v>-1.66059333263411E-2</v>
      </c>
      <c r="L602">
        <v>73961489632</v>
      </c>
      <c r="M602" s="2" t="s">
        <v>12</v>
      </c>
    </row>
    <row r="603" spans="1:13" x14ac:dyDescent="0.3">
      <c r="A603" s="1">
        <v>45894</v>
      </c>
      <c r="B603" s="2" t="s">
        <v>11</v>
      </c>
      <c r="C603">
        <v>113456.89840000001</v>
      </c>
      <c r="D603">
        <v>113637.8438</v>
      </c>
      <c r="E603">
        <v>109324.2813</v>
      </c>
      <c r="F603">
        <v>110124.35159999999</v>
      </c>
      <c r="G603">
        <f>_xlfn.MAXIFS(Crypto[Close],Crypto[Name],Crypto[[#This Row],[Name]],Crypto[Date],"&lt;="&amp;Crypto[[#This Row],[Date]])</f>
        <v>123344.0625</v>
      </c>
      <c r="H603" s="3">
        <f>(Crypto[[#This Row],[Close]]/Crypto[[#This Row],[Peak Close]])-1</f>
        <v>-0.10717752141494452</v>
      </c>
      <c r="I603">
        <v>113458.42969999999</v>
      </c>
      <c r="J603" s="1">
        <v>45893</v>
      </c>
      <c r="K603" s="3">
        <v>-2.93859002703966E-2</v>
      </c>
      <c r="L603">
        <v>85706860190</v>
      </c>
      <c r="M603" s="2" t="s">
        <v>12</v>
      </c>
    </row>
    <row r="604" spans="1:13" x14ac:dyDescent="0.3">
      <c r="A604" s="1">
        <v>45895</v>
      </c>
      <c r="B604" s="2" t="s">
        <v>11</v>
      </c>
      <c r="C604">
        <v>110124.10159999999</v>
      </c>
      <c r="D604">
        <v>112397.0156</v>
      </c>
      <c r="E604">
        <v>108762.03909999999</v>
      </c>
      <c r="F604">
        <v>111802.6563</v>
      </c>
      <c r="G604">
        <f>_xlfn.MAXIFS(Crypto[Close],Crypto[Name],Crypto[[#This Row],[Name]],Crypto[Date],"&lt;="&amp;Crypto[[#This Row],[Date]])</f>
        <v>123344.0625</v>
      </c>
      <c r="H604" s="3">
        <f>(Crypto[[#This Row],[Close]]/Crypto[[#This Row],[Peak Close]])-1</f>
        <v>-9.3570829159287605E-2</v>
      </c>
      <c r="I604">
        <v>110124.35159999999</v>
      </c>
      <c r="J604" s="1">
        <v>45894</v>
      </c>
      <c r="K604" s="3">
        <v>1.5240087007241099E-2</v>
      </c>
      <c r="L604">
        <v>69396320317</v>
      </c>
      <c r="M604" s="2" t="s">
        <v>12</v>
      </c>
    </row>
    <row r="605" spans="1:13" x14ac:dyDescent="0.3">
      <c r="A605" s="1">
        <v>45896</v>
      </c>
      <c r="B605" s="2" t="s">
        <v>11</v>
      </c>
      <c r="C605">
        <v>111795.71090000001</v>
      </c>
      <c r="D605">
        <v>112619.41409999999</v>
      </c>
      <c r="E605">
        <v>110398.2656</v>
      </c>
      <c r="F605">
        <v>111222.0625</v>
      </c>
      <c r="G605">
        <f>_xlfn.MAXIFS(Crypto[Close],Crypto[Name],Crypto[[#This Row],[Name]],Crypto[Date],"&lt;="&amp;Crypto[[#This Row],[Date]])</f>
        <v>123344.0625</v>
      </c>
      <c r="H605" s="3">
        <f>(Crypto[[#This Row],[Close]]/Crypto[[#This Row],[Peak Close]])-1</f>
        <v>-9.8277936970010193E-2</v>
      </c>
      <c r="I605">
        <v>111802.6563</v>
      </c>
      <c r="J605" s="1">
        <v>45895</v>
      </c>
      <c r="K605" s="3">
        <v>-5.1930233074435703E-3</v>
      </c>
      <c r="L605">
        <v>62137056409</v>
      </c>
      <c r="M605" s="2" t="s">
        <v>12</v>
      </c>
    </row>
    <row r="606" spans="1:13" x14ac:dyDescent="0.3">
      <c r="A606" s="1">
        <v>45897</v>
      </c>
      <c r="B606" s="2" t="s">
        <v>11</v>
      </c>
      <c r="C606">
        <v>111219.05469999999</v>
      </c>
      <c r="D606">
        <v>113450.0781</v>
      </c>
      <c r="E606">
        <v>110900.9219</v>
      </c>
      <c r="F606">
        <v>112544.80469999999</v>
      </c>
      <c r="G606">
        <f>_xlfn.MAXIFS(Crypto[Close],Crypto[Name],Crypto[[#This Row],[Name]],Crypto[Date],"&lt;="&amp;Crypto[[#This Row],[Date]])</f>
        <v>123344.0625</v>
      </c>
      <c r="H606" s="3">
        <f>(Crypto[[#This Row],[Close]]/Crypto[[#This Row],[Peak Close]])-1</f>
        <v>-8.7553933129128181E-2</v>
      </c>
      <c r="I606">
        <v>111222.0625</v>
      </c>
      <c r="J606" s="1">
        <v>45896</v>
      </c>
      <c r="K606" s="3">
        <v>1.1892804091814001E-2</v>
      </c>
      <c r="L606">
        <v>58860155962</v>
      </c>
      <c r="M606" s="2" t="s">
        <v>12</v>
      </c>
    </row>
    <row r="607" spans="1:13" x14ac:dyDescent="0.3">
      <c r="A607" s="1">
        <v>45898</v>
      </c>
      <c r="B607" s="2" t="s">
        <v>11</v>
      </c>
      <c r="C607">
        <v>112550.52340000001</v>
      </c>
      <c r="D607">
        <v>112619.05469999999</v>
      </c>
      <c r="E607">
        <v>107559.625</v>
      </c>
      <c r="F607">
        <v>108410.83590000001</v>
      </c>
      <c r="G607">
        <f>_xlfn.MAXIFS(Crypto[Close],Crypto[Name],Crypto[[#This Row],[Name]],Crypto[Date],"&lt;="&amp;Crypto[[#This Row],[Date]])</f>
        <v>123344.0625</v>
      </c>
      <c r="H607" s="3">
        <f>(Crypto[[#This Row],[Close]]/Crypto[[#This Row],[Peak Close]])-1</f>
        <v>-0.12106968343125546</v>
      </c>
      <c r="I607">
        <v>112544.80469999999</v>
      </c>
      <c r="J607" s="1">
        <v>45897</v>
      </c>
      <c r="K607" s="3">
        <v>-3.6731760395511098E-2</v>
      </c>
      <c r="L607">
        <v>77843379644</v>
      </c>
      <c r="M607" s="2" t="s">
        <v>12</v>
      </c>
    </row>
    <row r="608" spans="1:13" x14ac:dyDescent="0.3">
      <c r="A608" s="1">
        <v>45899</v>
      </c>
      <c r="B608" s="2" t="s">
        <v>11</v>
      </c>
      <c r="C608">
        <v>108409.4063</v>
      </c>
      <c r="D608">
        <v>108929.35159999999</v>
      </c>
      <c r="E608">
        <v>107444.44530000001</v>
      </c>
      <c r="F608">
        <v>108808.07030000001</v>
      </c>
      <c r="G608">
        <f>_xlfn.MAXIFS(Crypto[Close],Crypto[Name],Crypto[[#This Row],[Name]],Crypto[Date],"&lt;="&amp;Crypto[[#This Row],[Date]])</f>
        <v>123344.0625</v>
      </c>
      <c r="H608" s="3">
        <f>(Crypto[[#This Row],[Close]]/Crypto[[#This Row],[Peak Close]])-1</f>
        <v>-0.11784914413695424</v>
      </c>
      <c r="I608">
        <v>108410.83590000001</v>
      </c>
      <c r="J608" s="1">
        <v>45898</v>
      </c>
      <c r="K608" s="3">
        <v>3.66415770805805E-3</v>
      </c>
      <c r="L608">
        <v>51486264208</v>
      </c>
      <c r="M608" s="2" t="s">
        <v>12</v>
      </c>
    </row>
    <row r="609" spans="1:13" x14ac:dyDescent="0.3">
      <c r="A609" s="1">
        <v>45900</v>
      </c>
      <c r="B609" s="2" t="s">
        <v>11</v>
      </c>
      <c r="C609">
        <v>108818.46090000001</v>
      </c>
      <c r="D609">
        <v>109491</v>
      </c>
      <c r="E609">
        <v>108104.6563</v>
      </c>
      <c r="F609">
        <v>108236.71090000001</v>
      </c>
      <c r="G609">
        <f>_xlfn.MAXIFS(Crypto[Close],Crypto[Name],Crypto[[#This Row],[Name]],Crypto[Date],"&lt;="&amp;Crypto[[#This Row],[Date]])</f>
        <v>123344.0625</v>
      </c>
      <c r="H609" s="3">
        <f>(Crypto[[#This Row],[Close]]/Crypto[[#This Row],[Peak Close]])-1</f>
        <v>-0.12248138494708649</v>
      </c>
      <c r="I609">
        <v>108808.07030000001</v>
      </c>
      <c r="J609" s="1">
        <v>45899</v>
      </c>
      <c r="K609" s="3">
        <v>-5.2510755721030498E-3</v>
      </c>
      <c r="L609">
        <v>47986191770</v>
      </c>
      <c r="M609" s="2" t="s">
        <v>12</v>
      </c>
    </row>
    <row r="610" spans="1:13" x14ac:dyDescent="0.3">
      <c r="A610" s="1">
        <v>45901</v>
      </c>
      <c r="B610" s="2" t="s">
        <v>11</v>
      </c>
      <c r="C610">
        <v>108228.75</v>
      </c>
      <c r="D610">
        <v>109890.58590000001</v>
      </c>
      <c r="E610">
        <v>107271.17969999999</v>
      </c>
      <c r="F610">
        <v>109250.5938</v>
      </c>
      <c r="G610">
        <f>_xlfn.MAXIFS(Crypto[Close],Crypto[Name],Crypto[[#This Row],[Name]],Crypto[Date],"&lt;="&amp;Crypto[[#This Row],[Date]])</f>
        <v>123344.0625</v>
      </c>
      <c r="H610" s="3">
        <f>(Crypto[[#This Row],[Close]]/Crypto[[#This Row],[Peak Close]])-1</f>
        <v>-0.11426142786565019</v>
      </c>
      <c r="I610">
        <v>108236.71090000001</v>
      </c>
      <c r="J610" s="1">
        <v>45900</v>
      </c>
      <c r="K610" s="3">
        <v>9.3672737426095994E-3</v>
      </c>
      <c r="L610">
        <v>66870372995</v>
      </c>
      <c r="M610" s="2" t="s">
        <v>12</v>
      </c>
    </row>
    <row r="611" spans="1:13" x14ac:dyDescent="0.3">
      <c r="A611" s="1">
        <v>45902</v>
      </c>
      <c r="B611" s="2" t="s">
        <v>11</v>
      </c>
      <c r="C611">
        <v>109243.07030000001</v>
      </c>
      <c r="D611">
        <v>111748.0156</v>
      </c>
      <c r="E611">
        <v>108454.0313</v>
      </c>
      <c r="F611">
        <v>111200.58590000001</v>
      </c>
      <c r="G611">
        <f>_xlfn.MAXIFS(Crypto[Close],Crypto[Name],Crypto[[#This Row],[Name]],Crypto[Date],"&lt;="&amp;Crypto[[#This Row],[Date]])</f>
        <v>123344.0625</v>
      </c>
      <c r="H611" s="3">
        <f>(Crypto[[#This Row],[Close]]/Crypto[[#This Row],[Peak Close]])-1</f>
        <v>-9.84520564173893E-2</v>
      </c>
      <c r="I611">
        <v>109250.5938</v>
      </c>
      <c r="J611" s="1">
        <v>45901</v>
      </c>
      <c r="K611" s="3">
        <v>1.7848800927981801E-2</v>
      </c>
      <c r="L611">
        <v>74776999491</v>
      </c>
      <c r="M611" s="2" t="s">
        <v>12</v>
      </c>
    </row>
    <row r="612" spans="1:13" x14ac:dyDescent="0.3">
      <c r="A612" s="1">
        <v>45903</v>
      </c>
      <c r="B612" s="2" t="s">
        <v>11</v>
      </c>
      <c r="C612">
        <v>111190.69530000001</v>
      </c>
      <c r="D612">
        <v>112600.22659999999</v>
      </c>
      <c r="E612">
        <v>110582.96090000001</v>
      </c>
      <c r="F612">
        <v>111723.21090000001</v>
      </c>
      <c r="G612">
        <f>_xlfn.MAXIFS(Crypto[Close],Crypto[Name],Crypto[[#This Row],[Name]],Crypto[Date],"&lt;="&amp;Crypto[[#This Row],[Date]])</f>
        <v>123344.0625</v>
      </c>
      <c r="H612" s="3">
        <f>(Crypto[[#This Row],[Close]]/Crypto[[#This Row],[Peak Close]])-1</f>
        <v>-9.4214925019191709E-2</v>
      </c>
      <c r="I612">
        <v>111200.58590000001</v>
      </c>
      <c r="J612" s="1">
        <v>45902</v>
      </c>
      <c r="K612" s="3">
        <v>4.6998403449958802E-3</v>
      </c>
      <c r="L612">
        <v>61119643565</v>
      </c>
      <c r="M612" s="2" t="s">
        <v>12</v>
      </c>
    </row>
    <row r="613" spans="1:13" x14ac:dyDescent="0.3">
      <c r="A613" s="1">
        <v>45904</v>
      </c>
      <c r="B613" s="2" t="s">
        <v>11</v>
      </c>
      <c r="C613">
        <v>111718.14840000001</v>
      </c>
      <c r="D613">
        <v>112208.3281</v>
      </c>
      <c r="E613">
        <v>109347.22659999999</v>
      </c>
      <c r="F613">
        <v>110723.60159999999</v>
      </c>
      <c r="G613">
        <f>_xlfn.MAXIFS(Crypto[Close],Crypto[Name],Crypto[[#This Row],[Name]],Crypto[Date],"&lt;="&amp;Crypto[[#This Row],[Date]])</f>
        <v>123344.0625</v>
      </c>
      <c r="H613" s="3">
        <f>(Crypto[[#This Row],[Close]]/Crypto[[#This Row],[Peak Close]])-1</f>
        <v>-0.10231916027575305</v>
      </c>
      <c r="I613">
        <v>111723.21090000001</v>
      </c>
      <c r="J613" s="1">
        <v>45903</v>
      </c>
      <c r="K613" s="3">
        <v>-8.9471945171243801E-3</v>
      </c>
      <c r="L613">
        <v>60131132901</v>
      </c>
      <c r="M613" s="2" t="s">
        <v>12</v>
      </c>
    </row>
    <row r="614" spans="1:13" x14ac:dyDescent="0.3">
      <c r="A614" s="1">
        <v>45905</v>
      </c>
      <c r="B614" s="2" t="s">
        <v>11</v>
      </c>
      <c r="C614">
        <v>110723.0156</v>
      </c>
      <c r="D614">
        <v>113357.49219999999</v>
      </c>
      <c r="E614">
        <v>110233.39840000001</v>
      </c>
      <c r="F614">
        <v>110650.9844</v>
      </c>
      <c r="G614">
        <f>_xlfn.MAXIFS(Crypto[Close],Crypto[Name],Crypto[[#This Row],[Name]],Crypto[Date],"&lt;="&amp;Crypto[[#This Row],[Date]])</f>
        <v>123344.0625</v>
      </c>
      <c r="H614" s="3">
        <f>(Crypto[[#This Row],[Close]]/Crypto[[#This Row],[Peak Close]])-1</f>
        <v>-0.10290789716772952</v>
      </c>
      <c r="I614">
        <v>110723.60159999999</v>
      </c>
      <c r="J614" s="1">
        <v>45904</v>
      </c>
      <c r="K614" s="3">
        <v>-6.5584210548289598E-4</v>
      </c>
      <c r="L614">
        <v>60241647677</v>
      </c>
      <c r="M614" s="2" t="s">
        <v>12</v>
      </c>
    </row>
    <row r="615" spans="1:13" x14ac:dyDescent="0.3">
      <c r="A615" s="1">
        <v>45906</v>
      </c>
      <c r="B615" s="2" t="s">
        <v>11</v>
      </c>
      <c r="C615">
        <v>110650.57030000001</v>
      </c>
      <c r="D615">
        <v>111275.0156</v>
      </c>
      <c r="E615">
        <v>110024.08590000001</v>
      </c>
      <c r="F615">
        <v>110224.69530000001</v>
      </c>
      <c r="G615">
        <f>_xlfn.MAXIFS(Crypto[Close],Crypto[Name],Crypto[[#This Row],[Name]],Crypto[Date],"&lt;="&amp;Crypto[[#This Row],[Date]])</f>
        <v>123344.0625</v>
      </c>
      <c r="H615" s="3">
        <f>(Crypto[[#This Row],[Close]]/Crypto[[#This Row],[Peak Close]])-1</f>
        <v>-0.10636399461871138</v>
      </c>
      <c r="I615">
        <v>110650.9844</v>
      </c>
      <c r="J615" s="1">
        <v>45905</v>
      </c>
      <c r="K615" s="3">
        <v>-3.8525558747762399E-3</v>
      </c>
      <c r="L615">
        <v>21500719036</v>
      </c>
      <c r="M615" s="2" t="s">
        <v>12</v>
      </c>
    </row>
    <row r="616" spans="1:13" x14ac:dyDescent="0.3">
      <c r="A616" s="1">
        <v>45907</v>
      </c>
      <c r="B616" s="2" t="s">
        <v>11</v>
      </c>
      <c r="C616">
        <v>110221.3281</v>
      </c>
      <c r="D616">
        <v>111591.0781</v>
      </c>
      <c r="E616">
        <v>110211.625</v>
      </c>
      <c r="F616">
        <v>111167.61719999999</v>
      </c>
      <c r="G616">
        <f>_xlfn.MAXIFS(Crypto[Close],Crypto[Name],Crypto[[#This Row],[Name]],Crypto[Date],"&lt;="&amp;Crypto[[#This Row],[Date]])</f>
        <v>123344.0625</v>
      </c>
      <c r="H616" s="3">
        <f>(Crypto[[#This Row],[Close]]/Crypto[[#This Row],[Peak Close]])-1</f>
        <v>-9.8719346948702991E-2</v>
      </c>
      <c r="I616">
        <v>110224.69530000001</v>
      </c>
      <c r="J616" s="1">
        <v>45906</v>
      </c>
      <c r="K616" s="3">
        <v>8.5545430398661897E-3</v>
      </c>
      <c r="L616">
        <v>24618007520</v>
      </c>
      <c r="M616" s="2" t="s">
        <v>12</v>
      </c>
    </row>
    <row r="617" spans="1:13" x14ac:dyDescent="0.3">
      <c r="A617" s="1">
        <v>45908</v>
      </c>
      <c r="B617" s="2" t="s">
        <v>11</v>
      </c>
      <c r="C617">
        <v>111163.0156</v>
      </c>
      <c r="D617">
        <v>112869.2344</v>
      </c>
      <c r="E617">
        <v>110630.6094</v>
      </c>
      <c r="F617">
        <v>112071.42969999999</v>
      </c>
      <c r="G617">
        <f>_xlfn.MAXIFS(Crypto[Close],Crypto[Name],Crypto[[#This Row],[Name]],Crypto[Date],"&lt;="&amp;Crypto[[#This Row],[Date]])</f>
        <v>123344.0625</v>
      </c>
      <c r="H617" s="3">
        <f>(Crypto[[#This Row],[Close]]/Crypto[[#This Row],[Peak Close]])-1</f>
        <v>-9.1391774938497816E-2</v>
      </c>
      <c r="I617">
        <v>111167.61719999999</v>
      </c>
      <c r="J617" s="1">
        <v>45907</v>
      </c>
      <c r="K617" s="3">
        <v>8.1301778590249403E-3</v>
      </c>
      <c r="L617">
        <v>40212813407</v>
      </c>
      <c r="M617" s="2" t="s">
        <v>12</v>
      </c>
    </row>
    <row r="618" spans="1:13" x14ac:dyDescent="0.3">
      <c r="A618" s="1">
        <v>45909</v>
      </c>
      <c r="B618" s="2" t="s">
        <v>11</v>
      </c>
      <c r="C618">
        <v>112077.5781</v>
      </c>
      <c r="D618">
        <v>113225.4375</v>
      </c>
      <c r="E618">
        <v>110776.7031</v>
      </c>
      <c r="F618">
        <v>111530.5469</v>
      </c>
      <c r="G618">
        <f>_xlfn.MAXIFS(Crypto[Close],Crypto[Name],Crypto[[#This Row],[Name]],Crypto[Date],"&lt;="&amp;Crypto[[#This Row],[Date]])</f>
        <v>123344.0625</v>
      </c>
      <c r="H618" s="3">
        <f>(Crypto[[#This Row],[Close]]/Crypto[[#This Row],[Peak Close]])-1</f>
        <v>-9.5776929675881251E-2</v>
      </c>
      <c r="I618">
        <v>112071.42969999999</v>
      </c>
      <c r="J618" s="1">
        <v>45908</v>
      </c>
      <c r="K618" s="3">
        <v>-4.8262327111188103E-3</v>
      </c>
      <c r="L618">
        <v>45984480722</v>
      </c>
      <c r="M618" s="2" t="s">
        <v>12</v>
      </c>
    </row>
    <row r="619" spans="1:13" x14ac:dyDescent="0.3">
      <c r="A619" s="1">
        <v>45910</v>
      </c>
      <c r="B619" s="2" t="s">
        <v>11</v>
      </c>
      <c r="C619">
        <v>111531.25</v>
      </c>
      <c r="D619">
        <v>114275.25</v>
      </c>
      <c r="E619">
        <v>110940.0781</v>
      </c>
      <c r="F619">
        <v>113955.3594</v>
      </c>
      <c r="G619">
        <f>_xlfn.MAXIFS(Crypto[Close],Crypto[Name],Crypto[[#This Row],[Name]],Crypto[Date],"&lt;="&amp;Crypto[[#This Row],[Date]])</f>
        <v>123344.0625</v>
      </c>
      <c r="H619" s="3">
        <f>(Crypto[[#This Row],[Close]]/Crypto[[#This Row],[Peak Close]])-1</f>
        <v>-7.611799797821639E-2</v>
      </c>
      <c r="I619">
        <v>111530.5469</v>
      </c>
      <c r="J619" s="1">
        <v>45909</v>
      </c>
      <c r="K619" s="3">
        <v>2.1741241008834299E-2</v>
      </c>
      <c r="L619">
        <v>56377473784</v>
      </c>
      <c r="M619" s="2" t="s">
        <v>12</v>
      </c>
    </row>
    <row r="620" spans="1:13" x14ac:dyDescent="0.3">
      <c r="A620" s="1">
        <v>45911</v>
      </c>
      <c r="B620" s="2" t="s">
        <v>11</v>
      </c>
      <c r="C620">
        <v>113961.42969999999</v>
      </c>
      <c r="D620">
        <v>115522.5469</v>
      </c>
      <c r="E620">
        <v>113453.83590000001</v>
      </c>
      <c r="F620">
        <v>115507.53909999999</v>
      </c>
      <c r="G620">
        <f>_xlfn.MAXIFS(Crypto[Close],Crypto[Name],Crypto[[#This Row],[Name]],Crypto[Date],"&lt;="&amp;Crypto[[#This Row],[Date]])</f>
        <v>123344.0625</v>
      </c>
      <c r="H620" s="3">
        <f>(Crypto[[#This Row],[Close]]/Crypto[[#This Row],[Peak Close]])-1</f>
        <v>-6.3533851903086136E-2</v>
      </c>
      <c r="I620">
        <v>113955.3594</v>
      </c>
      <c r="J620" s="1">
        <v>45910</v>
      </c>
      <c r="K620" s="3">
        <v>1.36209451505621E-2</v>
      </c>
      <c r="L620">
        <v>45685065332</v>
      </c>
      <c r="M620" s="2" t="s">
        <v>12</v>
      </c>
    </row>
    <row r="621" spans="1:13" x14ac:dyDescent="0.3">
      <c r="A621" s="1">
        <v>45912</v>
      </c>
      <c r="B621" s="2" t="s">
        <v>11</v>
      </c>
      <c r="C621">
        <v>115507.78909999999</v>
      </c>
      <c r="D621">
        <v>116769.38280000001</v>
      </c>
      <c r="E621">
        <v>114794.4844</v>
      </c>
      <c r="F621">
        <v>116101.5781</v>
      </c>
      <c r="G621">
        <f>_xlfn.MAXIFS(Crypto[Close],Crypto[Name],Crypto[[#This Row],[Name]],Crypto[Date],"&lt;="&amp;Crypto[[#This Row],[Date]])</f>
        <v>123344.0625</v>
      </c>
      <c r="H621" s="3">
        <f>(Crypto[[#This Row],[Close]]/Crypto[[#This Row],[Peak Close]])-1</f>
        <v>-5.8717738439983735E-2</v>
      </c>
      <c r="I621">
        <v>115507.53909999999</v>
      </c>
      <c r="J621" s="1">
        <v>45911</v>
      </c>
      <c r="K621" s="3">
        <v>5.1428591123019096E-3</v>
      </c>
      <c r="L621">
        <v>54785725894</v>
      </c>
      <c r="M621" s="2" t="s">
        <v>12</v>
      </c>
    </row>
    <row r="622" spans="1:13" x14ac:dyDescent="0.3">
      <c r="A622" s="1">
        <v>45913</v>
      </c>
      <c r="B622" s="2" t="s">
        <v>11</v>
      </c>
      <c r="C622">
        <v>116093.5625</v>
      </c>
      <c r="D622">
        <v>116334.63280000001</v>
      </c>
      <c r="E622">
        <v>115248.27340000001</v>
      </c>
      <c r="F622">
        <v>115950.50780000001</v>
      </c>
      <c r="G622">
        <f>_xlfn.MAXIFS(Crypto[Close],Crypto[Name],Crypto[[#This Row],[Name]],Crypto[Date],"&lt;="&amp;Crypto[[#This Row],[Date]])</f>
        <v>123344.0625</v>
      </c>
      <c r="H622" s="3">
        <f>(Crypto[[#This Row],[Close]]/Crypto[[#This Row],[Peak Close]])-1</f>
        <v>-5.994252621604701E-2</v>
      </c>
      <c r="I622">
        <v>116101.5781</v>
      </c>
      <c r="J622" s="1">
        <v>45912</v>
      </c>
      <c r="K622" s="3">
        <v>-1.3011907544432601E-3</v>
      </c>
      <c r="L622">
        <v>34549454947</v>
      </c>
      <c r="M622" s="2" t="s">
        <v>12</v>
      </c>
    </row>
    <row r="623" spans="1:13" x14ac:dyDescent="0.3">
      <c r="A623" s="1">
        <v>45914</v>
      </c>
      <c r="B623" s="2" t="s">
        <v>11</v>
      </c>
      <c r="C623">
        <v>115950.28909999999</v>
      </c>
      <c r="D623">
        <v>116181.5</v>
      </c>
      <c r="E623">
        <v>115222.39840000001</v>
      </c>
      <c r="F623">
        <v>115407.6563</v>
      </c>
      <c r="G623">
        <f>_xlfn.MAXIFS(Crypto[Close],Crypto[Name],Crypto[[#This Row],[Name]],Crypto[Date],"&lt;="&amp;Crypto[[#This Row],[Date]])</f>
        <v>123344.0625</v>
      </c>
      <c r="H623" s="3">
        <f>(Crypto[[#This Row],[Close]]/Crypto[[#This Row],[Peak Close]])-1</f>
        <v>-6.4343641997359979E-2</v>
      </c>
      <c r="I623">
        <v>115950.50780000001</v>
      </c>
      <c r="J623" s="1">
        <v>45913</v>
      </c>
      <c r="K623" s="3">
        <v>-4.68175181204342E-3</v>
      </c>
      <c r="L623">
        <v>32798036057</v>
      </c>
      <c r="M623" s="2" t="s">
        <v>12</v>
      </c>
    </row>
    <row r="624" spans="1:13" x14ac:dyDescent="0.3">
      <c r="A624" s="1">
        <v>45915</v>
      </c>
      <c r="B624" s="2" t="s">
        <v>11</v>
      </c>
      <c r="C624">
        <v>115399.63280000001</v>
      </c>
      <c r="D624">
        <v>116747.88280000001</v>
      </c>
      <c r="E624">
        <v>114461.0625</v>
      </c>
      <c r="F624">
        <v>115444.875</v>
      </c>
      <c r="G624">
        <f>_xlfn.MAXIFS(Crypto[Close],Crypto[Name],Crypto[[#This Row],[Name]],Crypto[Date],"&lt;="&amp;Crypto[[#This Row],[Date]])</f>
        <v>123344.0625</v>
      </c>
      <c r="H624" s="3">
        <f>(Crypto[[#This Row],[Close]]/Crypto[[#This Row],[Peak Close]])-1</f>
        <v>-6.4041895004066318E-2</v>
      </c>
      <c r="I624">
        <v>115407.6563</v>
      </c>
      <c r="J624" s="1">
        <v>45914</v>
      </c>
      <c r="K624" s="3">
        <v>3.2249766777386402E-4</v>
      </c>
      <c r="L624">
        <v>52937859416</v>
      </c>
      <c r="M624" s="2" t="s">
        <v>12</v>
      </c>
    </row>
    <row r="625" spans="1:13" x14ac:dyDescent="0.3">
      <c r="A625" s="1">
        <v>45916</v>
      </c>
      <c r="B625" s="2" t="s">
        <v>11</v>
      </c>
      <c r="C625">
        <v>115423.75780000001</v>
      </c>
      <c r="D625">
        <v>117005.27340000001</v>
      </c>
      <c r="E625">
        <v>114813.0938</v>
      </c>
      <c r="F625">
        <v>116843.1875</v>
      </c>
      <c r="G625">
        <f>_xlfn.MAXIFS(Crypto[Close],Crypto[Name],Crypto[[#This Row],[Name]],Crypto[Date],"&lt;="&amp;Crypto[[#This Row],[Date]])</f>
        <v>123344.0625</v>
      </c>
      <c r="H625" s="3">
        <f>(Crypto[[#This Row],[Close]]/Crypto[[#This Row],[Peak Close]])-1</f>
        <v>-5.2705212299943516E-2</v>
      </c>
      <c r="I625">
        <v>115444.875</v>
      </c>
      <c r="J625" s="1">
        <v>45915</v>
      </c>
      <c r="K625" s="3">
        <v>1.21123826414988E-2</v>
      </c>
      <c r="L625">
        <v>45781744593</v>
      </c>
      <c r="M625" s="2" t="s">
        <v>12</v>
      </c>
    </row>
    <row r="626" spans="1:13" x14ac:dyDescent="0.3">
      <c r="A626" s="1">
        <v>45917</v>
      </c>
      <c r="B626" s="2" t="s">
        <v>11</v>
      </c>
      <c r="C626">
        <v>116840.50780000001</v>
      </c>
      <c r="D626">
        <v>117328.6094</v>
      </c>
      <c r="E626">
        <v>114794.97659999999</v>
      </c>
      <c r="F626">
        <v>116468.50780000001</v>
      </c>
      <c r="G626">
        <f>_xlfn.MAXIFS(Crypto[Close],Crypto[Name],Crypto[[#This Row],[Name]],Crypto[Date],"&lt;="&amp;Crypto[[#This Row],[Date]])</f>
        <v>123344.0625</v>
      </c>
      <c r="H626" s="3">
        <f>(Crypto[[#This Row],[Close]]/Crypto[[#This Row],[Peak Close]])-1</f>
        <v>-5.574289155588652E-2</v>
      </c>
      <c r="I626">
        <v>116843.1875</v>
      </c>
      <c r="J626" s="1">
        <v>45916</v>
      </c>
      <c r="K626" s="3">
        <v>-3.2066884515624299E-3</v>
      </c>
      <c r="L626">
        <v>60528025996</v>
      </c>
      <c r="M626" s="2" t="s">
        <v>12</v>
      </c>
    </row>
    <row r="627" spans="1:13" x14ac:dyDescent="0.3">
      <c r="A627" s="1">
        <v>45918</v>
      </c>
      <c r="B627" s="2" t="s">
        <v>11</v>
      </c>
      <c r="C627">
        <v>116461.2656</v>
      </c>
      <c r="D627">
        <v>117911.78909999999</v>
      </c>
      <c r="E627">
        <v>116188.7969</v>
      </c>
      <c r="F627">
        <v>117137.2031</v>
      </c>
      <c r="G627">
        <f>_xlfn.MAXIFS(Crypto[Close],Crypto[Name],Crypto[[#This Row],[Name]],Crypto[Date],"&lt;="&amp;Crypto[[#This Row],[Date]])</f>
        <v>123344.0625</v>
      </c>
      <c r="H627" s="3">
        <f>(Crypto[[#This Row],[Close]]/Crypto[[#This Row],[Peak Close]])-1</f>
        <v>-5.0321509395719777E-2</v>
      </c>
      <c r="I627">
        <v>116468.50780000001</v>
      </c>
      <c r="J627" s="1">
        <v>45917</v>
      </c>
      <c r="K627" s="3">
        <v>5.7414258380323498E-3</v>
      </c>
      <c r="L627">
        <v>49457272032</v>
      </c>
      <c r="M627" s="2" t="s">
        <v>12</v>
      </c>
    </row>
    <row r="628" spans="1:13" x14ac:dyDescent="0.3">
      <c r="A628" s="1">
        <v>45919</v>
      </c>
      <c r="B628" s="2" t="s">
        <v>11</v>
      </c>
      <c r="C628">
        <v>117137.6719</v>
      </c>
      <c r="D628">
        <v>117479.75780000001</v>
      </c>
      <c r="E628">
        <v>115141.82030000001</v>
      </c>
      <c r="F628">
        <v>115688.8594</v>
      </c>
      <c r="G628">
        <f>_xlfn.MAXIFS(Crypto[Close],Crypto[Name],Crypto[[#This Row],[Name]],Crypto[Date],"&lt;="&amp;Crypto[[#This Row],[Date]])</f>
        <v>123344.0625</v>
      </c>
      <c r="H628" s="3">
        <f>(Crypto[[#This Row],[Close]]/Crypto[[#This Row],[Peak Close]])-1</f>
        <v>-6.2063815191752747E-2</v>
      </c>
      <c r="I628">
        <v>117137.2031</v>
      </c>
      <c r="J628" s="1">
        <v>45918</v>
      </c>
      <c r="K628" s="3">
        <v>-1.23645064221275E-2</v>
      </c>
      <c r="L628">
        <v>38828473971</v>
      </c>
      <c r="M628" s="2" t="s">
        <v>12</v>
      </c>
    </row>
    <row r="629" spans="1:13" x14ac:dyDescent="0.3">
      <c r="A629" s="1">
        <v>45920</v>
      </c>
      <c r="B629" s="2" t="s">
        <v>11</v>
      </c>
      <c r="C629">
        <v>115691.125</v>
      </c>
      <c r="D629">
        <v>116191.14840000001</v>
      </c>
      <c r="E629">
        <v>115473.52340000001</v>
      </c>
      <c r="F629">
        <v>115721.96090000001</v>
      </c>
      <c r="G629">
        <f>_xlfn.MAXIFS(Crypto[Close],Crypto[Name],Crypto[[#This Row],[Name]],Crypto[Date],"&lt;="&amp;Crypto[[#This Row],[Date]])</f>
        <v>123344.0625</v>
      </c>
      <c r="H629" s="3">
        <f>(Crypto[[#This Row],[Close]]/Crypto[[#This Row],[Peak Close]])-1</f>
        <v>-6.1795447997344821E-2</v>
      </c>
      <c r="I629">
        <v>115688.8594</v>
      </c>
      <c r="J629" s="1">
        <v>45919</v>
      </c>
      <c r="K629" s="3">
        <v>2.8612521699737903E-4</v>
      </c>
      <c r="L629">
        <v>22864449614</v>
      </c>
      <c r="M629" s="2" t="s">
        <v>12</v>
      </c>
    </row>
    <row r="630" spans="1:13" x14ac:dyDescent="0.3">
      <c r="A630" s="1">
        <v>45921</v>
      </c>
      <c r="B630" s="2" t="s">
        <v>11</v>
      </c>
      <c r="C630">
        <v>115730.22659999999</v>
      </c>
      <c r="D630">
        <v>115901.08590000001</v>
      </c>
      <c r="E630">
        <v>115252.5781</v>
      </c>
      <c r="F630">
        <v>115306.0938</v>
      </c>
      <c r="G630">
        <f>_xlfn.MAXIFS(Crypto[Close],Crypto[Name],Crypto[[#This Row],[Name]],Crypto[Date],"&lt;="&amp;Crypto[[#This Row],[Date]])</f>
        <v>123344.0625</v>
      </c>
      <c r="H630" s="3">
        <f>(Crypto[[#This Row],[Close]]/Crypto[[#This Row],[Peak Close]])-1</f>
        <v>-6.516705009614876E-2</v>
      </c>
      <c r="I630">
        <v>115721.96090000001</v>
      </c>
      <c r="J630" s="1">
        <v>45920</v>
      </c>
      <c r="K630" s="3">
        <v>-3.5936748458606799E-3</v>
      </c>
      <c r="L630">
        <v>22495852193</v>
      </c>
      <c r="M630" s="2" t="s">
        <v>12</v>
      </c>
    </row>
    <row r="631" spans="1:13" x14ac:dyDescent="0.3">
      <c r="A631" s="1">
        <v>45922</v>
      </c>
      <c r="B631" s="2" t="s">
        <v>11</v>
      </c>
      <c r="C631">
        <v>115309.2188</v>
      </c>
      <c r="D631">
        <v>115431.3125</v>
      </c>
      <c r="E631">
        <v>112037.64840000001</v>
      </c>
      <c r="F631">
        <v>112748.50780000001</v>
      </c>
      <c r="G631">
        <f>_xlfn.MAXIFS(Crypto[Close],Crypto[Name],Crypto[[#This Row],[Name]],Crypto[Date],"&lt;="&amp;Crypto[[#This Row],[Date]])</f>
        <v>123344.0625</v>
      </c>
      <c r="H631" s="3">
        <f>(Crypto[[#This Row],[Close]]/Crypto[[#This Row],[Peak Close]])-1</f>
        <v>-8.5902430041981059E-2</v>
      </c>
      <c r="I631">
        <v>115306.0938</v>
      </c>
      <c r="J631" s="1">
        <v>45921</v>
      </c>
      <c r="K631" s="3">
        <v>-2.2180839847338499E-2</v>
      </c>
      <c r="L631">
        <v>70684158591</v>
      </c>
      <c r="M631" s="2" t="s">
        <v>12</v>
      </c>
    </row>
    <row r="632" spans="1:13" x14ac:dyDescent="0.3">
      <c r="A632" s="1">
        <v>45923</v>
      </c>
      <c r="B632" s="2" t="s">
        <v>11</v>
      </c>
      <c r="C632">
        <v>112757.47659999999</v>
      </c>
      <c r="D632">
        <v>113351.91409999999</v>
      </c>
      <c r="E632">
        <v>111535.57030000001</v>
      </c>
      <c r="F632">
        <v>112014.5</v>
      </c>
      <c r="G632">
        <f>_xlfn.MAXIFS(Crypto[Close],Crypto[Name],Crypto[[#This Row],[Name]],Crypto[Date],"&lt;="&amp;Crypto[[#This Row],[Date]])</f>
        <v>123344.0625</v>
      </c>
      <c r="H632" s="3">
        <f>(Crypto[[#This Row],[Close]]/Crypto[[#This Row],[Peak Close]])-1</f>
        <v>-9.1853326948753589E-2</v>
      </c>
      <c r="I632">
        <v>112748.50780000001</v>
      </c>
      <c r="J632" s="1">
        <v>45922</v>
      </c>
      <c r="K632" s="3">
        <v>-6.51013316559394E-3</v>
      </c>
      <c r="L632">
        <v>47211853279</v>
      </c>
      <c r="M632" s="2" t="s">
        <v>12</v>
      </c>
    </row>
    <row r="633" spans="1:13" x14ac:dyDescent="0.3">
      <c r="A633" s="1">
        <v>45924</v>
      </c>
      <c r="B633" s="2" t="s">
        <v>11</v>
      </c>
      <c r="C633">
        <v>112007.66409999999</v>
      </c>
      <c r="D633">
        <v>113986.27340000001</v>
      </c>
      <c r="E633">
        <v>111229.6406</v>
      </c>
      <c r="F633">
        <v>113328.63280000001</v>
      </c>
      <c r="G633">
        <f>_xlfn.MAXIFS(Crypto[Close],Crypto[Name],Crypto[[#This Row],[Name]],Crypto[Date],"&lt;="&amp;Crypto[[#This Row],[Date]])</f>
        <v>123344.0625</v>
      </c>
      <c r="H633" s="3">
        <f>(Crypto[[#This Row],[Close]]/Crypto[[#This Row],[Peak Close]])-1</f>
        <v>-8.1199122981700067E-2</v>
      </c>
      <c r="I633">
        <v>112014.5</v>
      </c>
      <c r="J633" s="1">
        <v>45923</v>
      </c>
      <c r="K633" s="3">
        <v>1.1731809721063E-2</v>
      </c>
      <c r="L633">
        <v>48044595085</v>
      </c>
      <c r="M633" s="2" t="s">
        <v>12</v>
      </c>
    </row>
    <row r="634" spans="1:13" x14ac:dyDescent="0.3">
      <c r="A634" s="1">
        <v>45925</v>
      </c>
      <c r="B634" s="2" t="s">
        <v>11</v>
      </c>
      <c r="C634">
        <v>113330.16409999999</v>
      </c>
      <c r="D634">
        <v>113541.08590000001</v>
      </c>
      <c r="E634">
        <v>108713.39840000001</v>
      </c>
      <c r="F634">
        <v>109049.28909999999</v>
      </c>
      <c r="G634">
        <f>_xlfn.MAXIFS(Crypto[Close],Crypto[Name],Crypto[[#This Row],[Name]],Crypto[Date],"&lt;="&amp;Crypto[[#This Row],[Date]])</f>
        <v>123344.0625</v>
      </c>
      <c r="H634" s="3">
        <f>(Crypto[[#This Row],[Close]]/Crypto[[#This Row],[Peak Close]])-1</f>
        <v>-0.11589348615787654</v>
      </c>
      <c r="I634">
        <v>113328.63280000001</v>
      </c>
      <c r="J634" s="1">
        <v>45924</v>
      </c>
      <c r="K634" s="3">
        <v>-3.7760481127060902E-2</v>
      </c>
      <c r="L634">
        <v>75528654284</v>
      </c>
      <c r="M634" s="2" t="s">
        <v>12</v>
      </c>
    </row>
    <row r="635" spans="1:13" x14ac:dyDescent="0.3">
      <c r="A635" s="1">
        <v>45926</v>
      </c>
      <c r="B635" s="2" t="s">
        <v>11</v>
      </c>
      <c r="C635">
        <v>109041.2969</v>
      </c>
      <c r="D635">
        <v>110359.19530000001</v>
      </c>
      <c r="E635">
        <v>108728.97659999999</v>
      </c>
      <c r="F635">
        <v>109712.8281</v>
      </c>
      <c r="G635">
        <f>_xlfn.MAXIFS(Crypto[Close],Crypto[Name],Crypto[[#This Row],[Name]],Crypto[Date],"&lt;="&amp;Crypto[[#This Row],[Date]])</f>
        <v>123344.0625</v>
      </c>
      <c r="H635" s="3">
        <f>(Crypto[[#This Row],[Close]]/Crypto[[#This Row],[Peak Close]])-1</f>
        <v>-0.11051390819886442</v>
      </c>
      <c r="I635">
        <v>109049.28909999999</v>
      </c>
      <c r="J635" s="1">
        <v>45925</v>
      </c>
      <c r="K635" s="3">
        <v>6.0847622710454201E-3</v>
      </c>
      <c r="L635">
        <v>57738288949</v>
      </c>
      <c r="M635" s="2" t="s">
        <v>12</v>
      </c>
    </row>
    <row r="636" spans="1:13" x14ac:dyDescent="0.3">
      <c r="A636" s="1">
        <v>45927</v>
      </c>
      <c r="B636" s="2" t="s">
        <v>11</v>
      </c>
      <c r="C636">
        <v>109707.1406</v>
      </c>
      <c r="D636">
        <v>109778.5</v>
      </c>
      <c r="E636">
        <v>109144.2969</v>
      </c>
      <c r="F636">
        <v>109681.94530000001</v>
      </c>
      <c r="G636">
        <f>_xlfn.MAXIFS(Crypto[Close],Crypto[Name],Crypto[[#This Row],[Name]],Crypto[Date],"&lt;="&amp;Crypto[[#This Row],[Date]])</f>
        <v>123344.0625</v>
      </c>
      <c r="H636" s="3">
        <f>(Crypto[[#This Row],[Close]]/Crypto[[#This Row],[Peak Close]])-1</f>
        <v>-0.1107642874986382</v>
      </c>
      <c r="I636">
        <v>109712.8281</v>
      </c>
      <c r="J636" s="1">
        <v>45926</v>
      </c>
      <c r="K636" s="3">
        <v>-2.8148759388321802E-4</v>
      </c>
      <c r="L636">
        <v>26308042910</v>
      </c>
      <c r="M636" s="2" t="s">
        <v>12</v>
      </c>
    </row>
    <row r="637" spans="1:13" x14ac:dyDescent="0.3">
      <c r="A637" s="1">
        <v>45928</v>
      </c>
      <c r="B637" s="2" t="s">
        <v>11</v>
      </c>
      <c r="C637">
        <v>109681.94530000001</v>
      </c>
      <c r="D637">
        <v>112375.4844</v>
      </c>
      <c r="E637">
        <v>109236.94530000001</v>
      </c>
      <c r="F637">
        <v>112122.6406</v>
      </c>
      <c r="G637">
        <f>_xlfn.MAXIFS(Crypto[Close],Crypto[Name],Crypto[[#This Row],[Name]],Crypto[Date],"&lt;="&amp;Crypto[[#This Row],[Date]])</f>
        <v>123344.0625</v>
      </c>
      <c r="H637" s="3">
        <f>(Crypto[[#This Row],[Close]]/Crypto[[#This Row],[Peak Close]])-1</f>
        <v>-9.0976587543482257E-2</v>
      </c>
      <c r="I637">
        <v>109681.94530000001</v>
      </c>
      <c r="J637" s="1">
        <v>45927</v>
      </c>
      <c r="K637" s="3">
        <v>2.2252480053341898E-2</v>
      </c>
      <c r="L637">
        <v>33371048505</v>
      </c>
      <c r="M637" s="2" t="s">
        <v>12</v>
      </c>
    </row>
    <row r="638" spans="1:13" x14ac:dyDescent="0.3">
      <c r="A638" s="1">
        <v>45929</v>
      </c>
      <c r="B638" s="2" t="s">
        <v>11</v>
      </c>
      <c r="C638">
        <v>112117.875</v>
      </c>
      <c r="D638">
        <v>114473.57030000001</v>
      </c>
      <c r="E638">
        <v>111589.9531</v>
      </c>
      <c r="F638">
        <v>114400.38280000001</v>
      </c>
      <c r="G638">
        <f>_xlfn.MAXIFS(Crypto[Close],Crypto[Name],Crypto[[#This Row],[Name]],Crypto[Date],"&lt;="&amp;Crypto[[#This Row],[Date]])</f>
        <v>123344.0625</v>
      </c>
      <c r="H638" s="3">
        <f>(Crypto[[#This Row],[Close]]/Crypto[[#This Row],[Peak Close]])-1</f>
        <v>-7.2510014010605417E-2</v>
      </c>
      <c r="I638">
        <v>112122.6406</v>
      </c>
      <c r="J638" s="1">
        <v>45928</v>
      </c>
      <c r="K638" s="3">
        <v>2.0314739180340099E-2</v>
      </c>
      <c r="L638">
        <v>60000147466</v>
      </c>
      <c r="M638" s="2" t="s">
        <v>12</v>
      </c>
    </row>
    <row r="639" spans="1:13" x14ac:dyDescent="0.3">
      <c r="A639" s="1">
        <v>45930</v>
      </c>
      <c r="B639" s="2" t="s">
        <v>11</v>
      </c>
      <c r="C639">
        <v>114396.52340000001</v>
      </c>
      <c r="D639">
        <v>114836.61719999999</v>
      </c>
      <c r="E639">
        <v>112740.5625</v>
      </c>
      <c r="F639">
        <v>114056.08590000001</v>
      </c>
      <c r="G639">
        <f>_xlfn.MAXIFS(Crypto[Close],Crypto[Name],Crypto[[#This Row],[Name]],Crypto[Date],"&lt;="&amp;Crypto[[#This Row],[Date]])</f>
        <v>123344.0625</v>
      </c>
      <c r="H639" s="3">
        <f>(Crypto[[#This Row],[Close]]/Crypto[[#This Row],[Peak Close]])-1</f>
        <v>-7.5301367668184183E-2</v>
      </c>
      <c r="I639">
        <v>114400.38280000001</v>
      </c>
      <c r="J639" s="1">
        <v>45929</v>
      </c>
      <c r="K639" s="3">
        <v>-3.0095782162015698E-3</v>
      </c>
      <c r="L639">
        <v>58986330258</v>
      </c>
      <c r="M639" s="2" t="s">
        <v>12</v>
      </c>
    </row>
    <row r="640" spans="1:13" x14ac:dyDescent="0.3">
      <c r="A640" s="1">
        <v>45931</v>
      </c>
      <c r="B640" s="2" t="s">
        <v>11</v>
      </c>
      <c r="C640">
        <v>114057.5938</v>
      </c>
      <c r="D640">
        <v>118648.92969999999</v>
      </c>
      <c r="E640">
        <v>113981.39840000001</v>
      </c>
      <c r="F640">
        <v>118648.92969999999</v>
      </c>
      <c r="G640">
        <f>_xlfn.MAXIFS(Crypto[Close],Crypto[Name],Crypto[[#This Row],[Name]],Crypto[Date],"&lt;="&amp;Crypto[[#This Row],[Date]])</f>
        <v>123344.0625</v>
      </c>
      <c r="H640" s="3">
        <f>(Crypto[[#This Row],[Close]]/Crypto[[#This Row],[Peak Close]])-1</f>
        <v>-3.8065332897560533E-2</v>
      </c>
      <c r="I640">
        <v>114056.08590000001</v>
      </c>
      <c r="J640" s="1">
        <v>45930</v>
      </c>
      <c r="K640" s="3">
        <v>4.0268292250768799E-2</v>
      </c>
      <c r="L640">
        <v>71328680132</v>
      </c>
      <c r="M640" s="2" t="s">
        <v>12</v>
      </c>
    </row>
    <row r="641" spans="1:13" x14ac:dyDescent="0.3">
      <c r="A641" s="1">
        <v>45932</v>
      </c>
      <c r="B641" s="2" t="s">
        <v>11</v>
      </c>
      <c r="C641">
        <v>118652.38280000001</v>
      </c>
      <c r="D641">
        <v>121086.4063</v>
      </c>
      <c r="E641">
        <v>118383.1563</v>
      </c>
      <c r="F641">
        <v>120681.25780000001</v>
      </c>
      <c r="G641">
        <f>_xlfn.MAXIFS(Crypto[Close],Crypto[Name],Crypto[[#This Row],[Name]],Crypto[Date],"&lt;="&amp;Crypto[[#This Row],[Date]])</f>
        <v>123344.0625</v>
      </c>
      <c r="H641" s="3">
        <f>(Crypto[[#This Row],[Close]]/Crypto[[#This Row],[Peak Close]])-1</f>
        <v>-2.1588430330807262E-2</v>
      </c>
      <c r="I641">
        <v>118648.92969999999</v>
      </c>
      <c r="J641" s="1">
        <v>45931</v>
      </c>
      <c r="K641" s="3">
        <v>1.7128920632817301E-2</v>
      </c>
      <c r="L641">
        <v>71415163912</v>
      </c>
      <c r="M641" s="2" t="s">
        <v>12</v>
      </c>
    </row>
    <row r="642" spans="1:13" x14ac:dyDescent="0.3">
      <c r="A642" s="1">
        <v>45933</v>
      </c>
      <c r="B642" s="2" t="s">
        <v>11</v>
      </c>
      <c r="C642">
        <v>120656.9844</v>
      </c>
      <c r="D642">
        <v>123944.7031</v>
      </c>
      <c r="E642">
        <v>119344.3125</v>
      </c>
      <c r="F642">
        <v>122266.5313</v>
      </c>
      <c r="G642">
        <f>_xlfn.MAXIFS(Crypto[Close],Crypto[Name],Crypto[[#This Row],[Name]],Crypto[Date],"&lt;="&amp;Crypto[[#This Row],[Date]])</f>
        <v>123344.0625</v>
      </c>
      <c r="H642" s="3">
        <f>(Crypto[[#This Row],[Close]]/Crypto[[#This Row],[Peak Close]])-1</f>
        <v>-8.735979488270873E-3</v>
      </c>
      <c r="I642">
        <v>120681.25780000001</v>
      </c>
      <c r="J642" s="1">
        <v>45932</v>
      </c>
      <c r="K642" s="3">
        <v>1.3136037267917801E-2</v>
      </c>
      <c r="L642">
        <v>83941392228</v>
      </c>
      <c r="M642" s="2" t="s">
        <v>12</v>
      </c>
    </row>
    <row r="643" spans="1:13" x14ac:dyDescent="0.3">
      <c r="A643" s="1">
        <v>45934</v>
      </c>
      <c r="B643" s="2" t="s">
        <v>11</v>
      </c>
      <c r="C643">
        <v>122267.4688</v>
      </c>
      <c r="D643">
        <v>122857.6406</v>
      </c>
      <c r="E643">
        <v>121577.57030000001</v>
      </c>
      <c r="F643">
        <v>122425.42969999999</v>
      </c>
      <c r="G643">
        <f>_xlfn.MAXIFS(Crypto[Close],Crypto[Name],Crypto[[#This Row],[Name]],Crypto[Date],"&lt;="&amp;Crypto[[#This Row],[Date]])</f>
        <v>123344.0625</v>
      </c>
      <c r="H643" s="3">
        <f>(Crypto[[#This Row],[Close]]/Crypto[[#This Row],[Peak Close]])-1</f>
        <v>-7.4477261522013505E-3</v>
      </c>
      <c r="I643">
        <v>122266.5313</v>
      </c>
      <c r="J643" s="1">
        <v>45933</v>
      </c>
      <c r="K643" s="3">
        <v>1.2996066733103699E-3</v>
      </c>
      <c r="L643">
        <v>36769171735</v>
      </c>
      <c r="M643" s="2" t="s">
        <v>12</v>
      </c>
    </row>
    <row r="644" spans="1:13" x14ac:dyDescent="0.3">
      <c r="A644" s="1">
        <v>45935</v>
      </c>
      <c r="B644" s="2" t="s">
        <v>11</v>
      </c>
      <c r="C644">
        <v>122419.6719</v>
      </c>
      <c r="D644">
        <v>125559.21090000001</v>
      </c>
      <c r="E644">
        <v>122191.96090000001</v>
      </c>
      <c r="F644">
        <v>123513.47659999999</v>
      </c>
      <c r="G644">
        <f>_xlfn.MAXIFS(Crypto[Close],Crypto[Name],Crypto[[#This Row],[Name]],Crypto[Date],"&lt;="&amp;Crypto[[#This Row],[Date]])</f>
        <v>123513.47659999999</v>
      </c>
      <c r="H644" s="3">
        <f>(Crypto[[#This Row],[Close]]/Crypto[[#This Row],[Peak Close]])-1</f>
        <v>0</v>
      </c>
      <c r="I644">
        <v>122425.42969999999</v>
      </c>
      <c r="J644" s="1">
        <v>45934</v>
      </c>
      <c r="K644" s="3">
        <v>8.8874256162810999E-3</v>
      </c>
      <c r="L644">
        <v>73689317763</v>
      </c>
      <c r="M644" s="2" t="s">
        <v>12</v>
      </c>
    </row>
    <row r="645" spans="1:13" x14ac:dyDescent="0.3">
      <c r="A645" s="1">
        <v>45936</v>
      </c>
      <c r="B645" s="2" t="s">
        <v>11</v>
      </c>
      <c r="C645">
        <v>123510.4531</v>
      </c>
      <c r="D645">
        <v>126198.07030000001</v>
      </c>
      <c r="E645">
        <v>123196.0469</v>
      </c>
      <c r="F645">
        <v>124752.5313</v>
      </c>
      <c r="G645">
        <f>_xlfn.MAXIFS(Crypto[Close],Crypto[Name],Crypto[[#This Row],[Name]],Crypto[Date],"&lt;="&amp;Crypto[[#This Row],[Date]])</f>
        <v>124752.5313</v>
      </c>
      <c r="H645" s="3">
        <f>(Crypto[[#This Row],[Close]]/Crypto[[#This Row],[Peak Close]])-1</f>
        <v>0</v>
      </c>
      <c r="I645">
        <v>123513.47659999999</v>
      </c>
      <c r="J645" s="1">
        <v>45935</v>
      </c>
      <c r="K645" s="3">
        <v>1.0031736893073601E-2</v>
      </c>
      <c r="L645">
        <v>72568881188</v>
      </c>
      <c r="M645" s="2" t="s">
        <v>12</v>
      </c>
    </row>
    <row r="646" spans="1:13" x14ac:dyDescent="0.3">
      <c r="A646" s="1">
        <v>45937</v>
      </c>
      <c r="B646" s="2" t="s">
        <v>11</v>
      </c>
      <c r="C646">
        <v>124752.1406</v>
      </c>
      <c r="D646">
        <v>125184.02340000001</v>
      </c>
      <c r="E646">
        <v>120681.9688</v>
      </c>
      <c r="F646">
        <v>121451.38280000001</v>
      </c>
      <c r="G646">
        <f>_xlfn.MAXIFS(Crypto[Close],Crypto[Name],Crypto[[#This Row],[Name]],Crypto[Date],"&lt;="&amp;Crypto[[#This Row],[Date]])</f>
        <v>124752.5313</v>
      </c>
      <c r="H646" s="3">
        <f>(Crypto[[#This Row],[Close]]/Crypto[[#This Row],[Peak Close]])-1</f>
        <v>-2.6461575293101891E-2</v>
      </c>
      <c r="I646">
        <v>124752.5313</v>
      </c>
      <c r="J646" s="1">
        <v>45936</v>
      </c>
      <c r="K646" s="3">
        <v>-2.6461575293101901E-2</v>
      </c>
      <c r="L646">
        <v>76149412513</v>
      </c>
      <c r="M646" s="2" t="s">
        <v>12</v>
      </c>
    </row>
    <row r="647" spans="1:13" x14ac:dyDescent="0.3">
      <c r="A647" s="1">
        <v>45938</v>
      </c>
      <c r="B647" s="2" t="s">
        <v>11</v>
      </c>
      <c r="C647">
        <v>121448.35159999999</v>
      </c>
      <c r="D647">
        <v>124167.0938</v>
      </c>
      <c r="E647">
        <v>121119.17969999999</v>
      </c>
      <c r="F647">
        <v>123354.86719999999</v>
      </c>
      <c r="G647">
        <f>_xlfn.MAXIFS(Crypto[Close],Crypto[Name],Crypto[[#This Row],[Name]],Crypto[Date],"&lt;="&amp;Crypto[[#This Row],[Date]])</f>
        <v>124752.5313</v>
      </c>
      <c r="H647" s="3">
        <f>(Crypto[[#This Row],[Close]]/Crypto[[#This Row],[Peak Close]])-1</f>
        <v>-1.1203492910608404E-2</v>
      </c>
      <c r="I647">
        <v>121451.38280000001</v>
      </c>
      <c r="J647" s="1">
        <v>45937</v>
      </c>
      <c r="K647" s="3">
        <v>1.5672809614152801E-2</v>
      </c>
      <c r="L647">
        <v>65354305286</v>
      </c>
      <c r="M647" s="2" t="s">
        <v>12</v>
      </c>
    </row>
    <row r="648" spans="1:13" x14ac:dyDescent="0.3">
      <c r="A648" s="1">
        <v>45939</v>
      </c>
      <c r="B648" s="2" t="s">
        <v>11</v>
      </c>
      <c r="C648">
        <v>123337.07030000001</v>
      </c>
      <c r="D648">
        <v>123739.3438</v>
      </c>
      <c r="E648">
        <v>119812.0313</v>
      </c>
      <c r="F648">
        <v>121705.58590000001</v>
      </c>
      <c r="G648">
        <f>_xlfn.MAXIFS(Crypto[Close],Crypto[Name],Crypto[[#This Row],[Name]],Crypto[Date],"&lt;="&amp;Crypto[[#This Row],[Date]])</f>
        <v>124752.5313</v>
      </c>
      <c r="H648" s="3">
        <f>(Crypto[[#This Row],[Close]]/Crypto[[#This Row],[Peak Close]])-1</f>
        <v>-2.4423916438800153E-2</v>
      </c>
      <c r="I648">
        <v>123354.86719999999</v>
      </c>
      <c r="J648" s="1">
        <v>45938</v>
      </c>
      <c r="K648" s="3">
        <v>-1.3370216655707199E-2</v>
      </c>
      <c r="L648">
        <v>74653009425</v>
      </c>
      <c r="M648" s="2" t="s">
        <v>12</v>
      </c>
    </row>
    <row r="649" spans="1:13" x14ac:dyDescent="0.3">
      <c r="A649" s="1">
        <v>45940</v>
      </c>
      <c r="B649" s="2" t="s">
        <v>11</v>
      </c>
      <c r="C649">
        <v>121704.74219999999</v>
      </c>
      <c r="D649">
        <v>122509.66409999999</v>
      </c>
      <c r="E649">
        <v>104582.41409999999</v>
      </c>
      <c r="F649">
        <v>113214.36719999999</v>
      </c>
      <c r="G649">
        <f>_xlfn.MAXIFS(Crypto[Close],Crypto[Name],Crypto[[#This Row],[Name]],Crypto[Date],"&lt;="&amp;Crypto[[#This Row],[Date]])</f>
        <v>124752.5313</v>
      </c>
      <c r="H649" s="3">
        <f>(Crypto[[#This Row],[Close]]/Crypto[[#This Row],[Peak Close]])-1</f>
        <v>-9.2488416705978405E-2</v>
      </c>
      <c r="I649">
        <v>121705.58590000001</v>
      </c>
      <c r="J649" s="1">
        <v>45939</v>
      </c>
      <c r="K649" s="3">
        <v>-6.9768520788987196E-2</v>
      </c>
      <c r="L649">
        <v>153000000000</v>
      </c>
      <c r="M649" s="2" t="s">
        <v>12</v>
      </c>
    </row>
    <row r="650" spans="1:13" x14ac:dyDescent="0.3">
      <c r="A650" s="1">
        <v>45941</v>
      </c>
      <c r="B650" s="2" t="s">
        <v>11</v>
      </c>
      <c r="C650">
        <v>113236.42969999999</v>
      </c>
      <c r="D650">
        <v>113429.72659999999</v>
      </c>
      <c r="E650">
        <v>109760.5625</v>
      </c>
      <c r="F650">
        <v>110807.88280000001</v>
      </c>
      <c r="G650">
        <f>_xlfn.MAXIFS(Crypto[Close],Crypto[Name],Crypto[[#This Row],[Name]],Crypto[Date],"&lt;="&amp;Crypto[[#This Row],[Date]])</f>
        <v>124752.5313</v>
      </c>
      <c r="H650" s="3">
        <f>(Crypto[[#This Row],[Close]]/Crypto[[#This Row],[Peak Close]])-1</f>
        <v>-0.11177848140384783</v>
      </c>
      <c r="I650">
        <v>113214.36719999999</v>
      </c>
      <c r="J650" s="1">
        <v>45940</v>
      </c>
      <c r="K650" s="3">
        <v>-2.1255998328805599E-2</v>
      </c>
      <c r="L650">
        <v>110000000000</v>
      </c>
      <c r="M650" s="2" t="s">
        <v>12</v>
      </c>
    </row>
    <row r="651" spans="1:13" x14ac:dyDescent="0.3">
      <c r="A651" s="1">
        <v>45942</v>
      </c>
      <c r="B651" s="2" t="s">
        <v>11</v>
      </c>
      <c r="C651">
        <v>110811.5156</v>
      </c>
      <c r="D651">
        <v>115805.0625</v>
      </c>
      <c r="E651">
        <v>109715.53909999999</v>
      </c>
      <c r="F651">
        <v>115169.7656</v>
      </c>
      <c r="G651">
        <f>_xlfn.MAXIFS(Crypto[Close],Crypto[Name],Crypto[[#This Row],[Name]],Crypto[Date],"&lt;="&amp;Crypto[[#This Row],[Date]])</f>
        <v>124752.5313</v>
      </c>
      <c r="H651" s="3">
        <f>(Crypto[[#This Row],[Close]]/Crypto[[#This Row],[Peak Close]])-1</f>
        <v>-7.6814198478712625E-2</v>
      </c>
      <c r="I651">
        <v>110807.88280000001</v>
      </c>
      <c r="J651" s="1">
        <v>45941</v>
      </c>
      <c r="K651" s="3">
        <v>3.93643727303487E-2</v>
      </c>
      <c r="L651">
        <v>93710414091</v>
      </c>
      <c r="M651" s="2" t="s">
        <v>12</v>
      </c>
    </row>
    <row r="652" spans="1:13" x14ac:dyDescent="0.3">
      <c r="A652" s="1">
        <v>45943</v>
      </c>
      <c r="B652" s="2" t="s">
        <v>11</v>
      </c>
      <c r="C652">
        <v>115161.67969999999</v>
      </c>
      <c r="D652">
        <v>116020.4844</v>
      </c>
      <c r="E652">
        <v>113821.1875</v>
      </c>
      <c r="F652">
        <v>115271.0781</v>
      </c>
      <c r="G652">
        <f>_xlfn.MAXIFS(Crypto[Close],Crypto[Name],Crypto[[#This Row],[Name]],Crypto[Date],"&lt;="&amp;Crypto[[#This Row],[Date]])</f>
        <v>124752.5313</v>
      </c>
      <c r="H652" s="3">
        <f>(Crypto[[#This Row],[Close]]/Crypto[[#This Row],[Peak Close]])-1</f>
        <v>-7.6002090708679693E-2</v>
      </c>
      <c r="I652">
        <v>115169.7656</v>
      </c>
      <c r="J652" s="1">
        <v>45942</v>
      </c>
      <c r="K652" s="3">
        <v>8.7967965787020804E-4</v>
      </c>
      <c r="L652">
        <v>71582026739</v>
      </c>
      <c r="M652" s="2" t="s">
        <v>12</v>
      </c>
    </row>
    <row r="653" spans="1:13" x14ac:dyDescent="0.3">
      <c r="A653" s="1">
        <v>45944</v>
      </c>
      <c r="B653" s="2" t="s">
        <v>11</v>
      </c>
      <c r="C653">
        <v>115264.88280000001</v>
      </c>
      <c r="D653">
        <v>115502.88280000001</v>
      </c>
      <c r="E653">
        <v>110029.4844</v>
      </c>
      <c r="F653">
        <v>113118.66409999999</v>
      </c>
      <c r="G653">
        <f>_xlfn.MAXIFS(Crypto[Close],Crypto[Name],Crypto[[#This Row],[Name]],Crypto[Date],"&lt;="&amp;Crypto[[#This Row],[Date]])</f>
        <v>124752.5313</v>
      </c>
      <c r="H653" s="3">
        <f>(Crypto[[#This Row],[Close]]/Crypto[[#This Row],[Peak Close]])-1</f>
        <v>-9.3255560258118875E-2</v>
      </c>
      <c r="I653">
        <v>115271.0781</v>
      </c>
      <c r="J653" s="1">
        <v>45943</v>
      </c>
      <c r="K653" s="3">
        <v>-1.8672628342494901E-2</v>
      </c>
      <c r="L653">
        <v>92212917403</v>
      </c>
      <c r="M653" s="2" t="s">
        <v>12</v>
      </c>
    </row>
    <row r="654" spans="1:13" x14ac:dyDescent="0.3">
      <c r="A654" s="1">
        <v>45945</v>
      </c>
      <c r="B654" s="2" t="s">
        <v>11</v>
      </c>
      <c r="C654">
        <v>113113.9688</v>
      </c>
      <c r="D654">
        <v>113622.38280000001</v>
      </c>
      <c r="E654">
        <v>110235.83590000001</v>
      </c>
      <c r="F654">
        <v>110783.16409999999</v>
      </c>
      <c r="G654">
        <f>_xlfn.MAXIFS(Crypto[Close],Crypto[Name],Crypto[[#This Row],[Name]],Crypto[Date],"&lt;="&amp;Crypto[[#This Row],[Date]])</f>
        <v>124752.5313</v>
      </c>
      <c r="H654" s="3">
        <f>(Crypto[[#This Row],[Close]]/Crypto[[#This Row],[Peak Close]])-1</f>
        <v>-0.11197662327513835</v>
      </c>
      <c r="I654">
        <v>113118.66409999999</v>
      </c>
      <c r="J654" s="1">
        <v>45944</v>
      </c>
      <c r="K654" s="3">
        <v>-2.0646460233435499E-2</v>
      </c>
      <c r="L654">
        <v>72574132855</v>
      </c>
      <c r="M654" s="2" t="s">
        <v>12</v>
      </c>
    </row>
    <row r="655" spans="1:13" x14ac:dyDescent="0.3">
      <c r="A655" s="1">
        <v>45946</v>
      </c>
      <c r="B655" s="2" t="s">
        <v>11</v>
      </c>
      <c r="C655">
        <v>110782.1719</v>
      </c>
      <c r="D655">
        <v>111990.8125</v>
      </c>
      <c r="E655">
        <v>107537.0313</v>
      </c>
      <c r="F655">
        <v>108186.03909999999</v>
      </c>
      <c r="G655">
        <f>_xlfn.MAXIFS(Crypto[Close],Crypto[Name],Crypto[[#This Row],[Name]],Crypto[Date],"&lt;="&amp;Crypto[[#This Row],[Date]])</f>
        <v>124752.5313</v>
      </c>
      <c r="H655" s="3">
        <f>(Crypto[[#This Row],[Close]]/Crypto[[#This Row],[Peak Close]])-1</f>
        <v>-0.13279483812766535</v>
      </c>
      <c r="I655">
        <v>110783.16409999999</v>
      </c>
      <c r="J655" s="1">
        <v>45945</v>
      </c>
      <c r="K655" s="3">
        <v>-2.3443318496081798E-2</v>
      </c>
      <c r="L655">
        <v>87306423067</v>
      </c>
      <c r="M655" s="2" t="s">
        <v>12</v>
      </c>
    </row>
    <row r="656" spans="1:13" x14ac:dyDescent="0.3">
      <c r="A656" s="1">
        <v>45947</v>
      </c>
      <c r="B656" s="2" t="s">
        <v>11</v>
      </c>
      <c r="C656">
        <v>108179.13280000001</v>
      </c>
      <c r="D656">
        <v>109235.80469999999</v>
      </c>
      <c r="E656">
        <v>103598.42969999999</v>
      </c>
      <c r="F656">
        <v>106467.78909999999</v>
      </c>
      <c r="G656">
        <f>_xlfn.MAXIFS(Crypto[Close],Crypto[Name],Crypto[[#This Row],[Name]],Crypto[Date],"&lt;="&amp;Crypto[[#This Row],[Date]])</f>
        <v>124752.5313</v>
      </c>
      <c r="H656" s="3">
        <f>(Crypto[[#This Row],[Close]]/Crypto[[#This Row],[Peak Close]])-1</f>
        <v>-0.14656810574872892</v>
      </c>
      <c r="I656">
        <v>108186.03909999999</v>
      </c>
      <c r="J656" s="1">
        <v>45946</v>
      </c>
      <c r="K656" s="3">
        <v>-1.5882363512835201E-2</v>
      </c>
      <c r="L656">
        <v>99703051669</v>
      </c>
      <c r="M656" s="2" t="s">
        <v>12</v>
      </c>
    </row>
    <row r="657" spans="1:13" x14ac:dyDescent="0.3">
      <c r="A657" s="1">
        <v>45948</v>
      </c>
      <c r="B657" s="2" t="s">
        <v>11</v>
      </c>
      <c r="C657">
        <v>106483.7344</v>
      </c>
      <c r="D657">
        <v>107490.9844</v>
      </c>
      <c r="E657">
        <v>106387.4531</v>
      </c>
      <c r="F657">
        <v>107198.2656</v>
      </c>
      <c r="G657">
        <f>_xlfn.MAXIFS(Crypto[Close],Crypto[Name],Crypto[[#This Row],[Name]],Crypto[Date],"&lt;="&amp;Crypto[[#This Row],[Date]])</f>
        <v>124752.5313</v>
      </c>
      <c r="H657" s="3">
        <f>(Crypto[[#This Row],[Close]]/Crypto[[#This Row],[Peak Close]])-1</f>
        <v>-0.14071270151453841</v>
      </c>
      <c r="I657">
        <v>106467.78909999999</v>
      </c>
      <c r="J657" s="1">
        <v>45947</v>
      </c>
      <c r="K657" s="3">
        <v>6.8610093829778304E-3</v>
      </c>
      <c r="L657">
        <v>37779905278</v>
      </c>
      <c r="M657" s="2" t="s">
        <v>12</v>
      </c>
    </row>
    <row r="658" spans="1:13" x14ac:dyDescent="0.3">
      <c r="A658" s="1">
        <v>45949</v>
      </c>
      <c r="B658" s="2" t="s">
        <v>11</v>
      </c>
      <c r="C658">
        <v>107204.3125</v>
      </c>
      <c r="D658">
        <v>109488.99219999999</v>
      </c>
      <c r="E658">
        <v>106157.78909999999</v>
      </c>
      <c r="F658">
        <v>108666.71090000001</v>
      </c>
      <c r="G658">
        <f>_xlfn.MAXIFS(Crypto[Close],Crypto[Name],Crypto[[#This Row],[Name]],Crypto[Date],"&lt;="&amp;Crypto[[#This Row],[Date]])</f>
        <v>124752.5313</v>
      </c>
      <c r="H658" s="3">
        <f>(Crypto[[#This Row],[Close]]/Crypto[[#This Row],[Peak Close]])-1</f>
        <v>-0.12894183574774487</v>
      </c>
      <c r="I658">
        <v>107198.2656</v>
      </c>
      <c r="J658" s="1">
        <v>45948</v>
      </c>
      <c r="K658" s="3">
        <v>1.3698405396588899E-2</v>
      </c>
      <c r="L658">
        <v>47657008953</v>
      </c>
      <c r="M658" s="2" t="s">
        <v>12</v>
      </c>
    </row>
    <row r="659" spans="1:13" x14ac:dyDescent="0.3">
      <c r="A659" s="1">
        <v>45950</v>
      </c>
      <c r="B659" s="2" t="s">
        <v>11</v>
      </c>
      <c r="C659">
        <v>108667.44530000001</v>
      </c>
      <c r="D659">
        <v>111711.0313</v>
      </c>
      <c r="E659">
        <v>107485.0156</v>
      </c>
      <c r="F659">
        <v>110588.92969999999</v>
      </c>
      <c r="G659">
        <f>_xlfn.MAXIFS(Crypto[Close],Crypto[Name],Crypto[[#This Row],[Name]],Crypto[Date],"&lt;="&amp;Crypto[[#This Row],[Date]])</f>
        <v>124752.5313</v>
      </c>
      <c r="H659" s="3">
        <f>(Crypto[[#This Row],[Close]]/Crypto[[#This Row],[Peak Close]])-1</f>
        <v>-0.11353358086129683</v>
      </c>
      <c r="I659">
        <v>108666.71090000001</v>
      </c>
      <c r="J659" s="1">
        <v>45949</v>
      </c>
      <c r="K659" s="3">
        <v>1.7689122860899902E-2</v>
      </c>
      <c r="L659">
        <v>63507793085</v>
      </c>
      <c r="M659" s="2" t="s">
        <v>12</v>
      </c>
    </row>
    <row r="660" spans="1:13" x14ac:dyDescent="0.3">
      <c r="A660" s="1">
        <v>45951</v>
      </c>
      <c r="B660" s="2" t="s">
        <v>11</v>
      </c>
      <c r="C660">
        <v>110587.63280000001</v>
      </c>
      <c r="D660">
        <v>113996.3438</v>
      </c>
      <c r="E660">
        <v>107534.75</v>
      </c>
      <c r="F660">
        <v>108476.8906</v>
      </c>
      <c r="G660">
        <f>_xlfn.MAXIFS(Crypto[Close],Crypto[Name],Crypto[[#This Row],[Name]],Crypto[Date],"&lt;="&amp;Crypto[[#This Row],[Date]])</f>
        <v>124752.5313</v>
      </c>
      <c r="H660" s="3">
        <f>(Crypto[[#This Row],[Close]]/Crypto[[#This Row],[Peak Close]])-1</f>
        <v>-0.13046341048472176</v>
      </c>
      <c r="I660">
        <v>110588.92969999999</v>
      </c>
      <c r="J660" s="1">
        <v>45950</v>
      </c>
      <c r="K660" s="3">
        <v>-1.9098105983387501E-2</v>
      </c>
      <c r="L660">
        <v>101000000000</v>
      </c>
      <c r="M660" s="2" t="s">
        <v>12</v>
      </c>
    </row>
    <row r="661" spans="1:13" x14ac:dyDescent="0.3">
      <c r="A661" s="1">
        <v>45952</v>
      </c>
      <c r="B661" s="2" t="s">
        <v>11</v>
      </c>
      <c r="C661">
        <v>108491.5313</v>
      </c>
      <c r="D661">
        <v>109115.13280000001</v>
      </c>
      <c r="E661">
        <v>106778</v>
      </c>
      <c r="F661">
        <v>107688.58590000001</v>
      </c>
      <c r="G661">
        <f>_xlfn.MAXIFS(Crypto[Close],Crypto[Name],Crypto[[#This Row],[Name]],Crypto[Date],"&lt;="&amp;Crypto[[#This Row],[Date]])</f>
        <v>124752.5313</v>
      </c>
      <c r="H661" s="3">
        <f>(Crypto[[#This Row],[Close]]/Crypto[[#This Row],[Peak Close]])-1</f>
        <v>-0.1367823580185743</v>
      </c>
      <c r="I661">
        <v>108476.8906</v>
      </c>
      <c r="J661" s="1">
        <v>45951</v>
      </c>
      <c r="K661" s="3">
        <v>-7.2670289094734896E-3</v>
      </c>
      <c r="L661">
        <v>80807013218</v>
      </c>
      <c r="M661" s="2" t="s">
        <v>12</v>
      </c>
    </row>
    <row r="662" spans="1:13" x14ac:dyDescent="0.3">
      <c r="A662" s="1">
        <v>45953</v>
      </c>
      <c r="B662" s="2" t="s">
        <v>11</v>
      </c>
      <c r="C662">
        <v>107679.4375</v>
      </c>
      <c r="D662">
        <v>111288.5938</v>
      </c>
      <c r="E662">
        <v>107548.42969999999</v>
      </c>
      <c r="F662">
        <v>110069.72659999999</v>
      </c>
      <c r="G662">
        <f>_xlfn.MAXIFS(Crypto[Close],Crypto[Name],Crypto[[#This Row],[Name]],Crypto[Date],"&lt;="&amp;Crypto[[#This Row],[Date]])</f>
        <v>124752.5313</v>
      </c>
      <c r="H662" s="3">
        <f>(Crypto[[#This Row],[Close]]/Crypto[[#This Row],[Peak Close]])-1</f>
        <v>-0.1176954451103791</v>
      </c>
      <c r="I662">
        <v>107688.58590000001</v>
      </c>
      <c r="J662" s="1">
        <v>45952</v>
      </c>
      <c r="K662" s="3">
        <v>2.2111356371706099E-2</v>
      </c>
      <c r="L662">
        <v>54944076060</v>
      </c>
      <c r="M662" s="2" t="s">
        <v>12</v>
      </c>
    </row>
    <row r="663" spans="1:13" x14ac:dyDescent="0.3">
      <c r="A663" s="1">
        <v>45954</v>
      </c>
      <c r="B663" s="2" t="s">
        <v>11</v>
      </c>
      <c r="C663">
        <v>110069.35159999999</v>
      </c>
      <c r="D663">
        <v>111842.5313</v>
      </c>
      <c r="E663">
        <v>109770.14840000001</v>
      </c>
      <c r="F663">
        <v>111033.9219</v>
      </c>
      <c r="G663">
        <f>_xlfn.MAXIFS(Crypto[Close],Crypto[Name],Crypto[[#This Row],[Name]],Crypto[Date],"&lt;="&amp;Crypto[[#This Row],[Date]])</f>
        <v>124752.5313</v>
      </c>
      <c r="H663" s="3">
        <f>(Crypto[[#This Row],[Close]]/Crypto[[#This Row],[Peak Close]])-1</f>
        <v>-0.10996658149572958</v>
      </c>
      <c r="I663">
        <v>110069.72659999999</v>
      </c>
      <c r="J663" s="1">
        <v>45953</v>
      </c>
      <c r="K663" s="3">
        <v>8.7598591346006605E-3</v>
      </c>
      <c r="L663">
        <v>48160816980</v>
      </c>
      <c r="M663" s="2" t="s">
        <v>12</v>
      </c>
    </row>
    <row r="664" spans="1:13" x14ac:dyDescent="0.3">
      <c r="A664" s="1">
        <v>45955</v>
      </c>
      <c r="B664" s="2" t="s">
        <v>11</v>
      </c>
      <c r="C664">
        <v>111032.61719999999</v>
      </c>
      <c r="D664">
        <v>111947.7031</v>
      </c>
      <c r="E664">
        <v>110704.4063</v>
      </c>
      <c r="F664">
        <v>111641.72659999999</v>
      </c>
      <c r="G664">
        <f>_xlfn.MAXIFS(Crypto[Close],Crypto[Name],Crypto[[#This Row],[Name]],Crypto[Date],"&lt;="&amp;Crypto[[#This Row],[Date]])</f>
        <v>124752.5313</v>
      </c>
      <c r="H664" s="3">
        <f>(Crypto[[#This Row],[Close]]/Crypto[[#This Row],[Peak Close]])-1</f>
        <v>-0.10509449839115215</v>
      </c>
      <c r="I664">
        <v>111033.9219</v>
      </c>
      <c r="J664" s="1">
        <v>45954</v>
      </c>
      <c r="K664" s="3">
        <v>5.4740451350299797E-3</v>
      </c>
      <c r="L664">
        <v>24707667305</v>
      </c>
      <c r="M664" s="2" t="s">
        <v>12</v>
      </c>
    </row>
    <row r="665" spans="1:13" x14ac:dyDescent="0.3">
      <c r="A665" s="1">
        <v>45956</v>
      </c>
      <c r="B665" s="2" t="s">
        <v>11</v>
      </c>
      <c r="C665">
        <v>111639.05469999999</v>
      </c>
      <c r="D665">
        <v>115260.9063</v>
      </c>
      <c r="E665">
        <v>111268.4844</v>
      </c>
      <c r="F665">
        <v>114472.44530000001</v>
      </c>
      <c r="G665">
        <f>_xlfn.MAXIFS(Crypto[Close],Crypto[Name],Crypto[[#This Row],[Name]],Crypto[Date],"&lt;="&amp;Crypto[[#This Row],[Date]])</f>
        <v>124752.5313</v>
      </c>
      <c r="H665" s="3">
        <f>(Crypto[[#This Row],[Close]]/Crypto[[#This Row],[Peak Close]])-1</f>
        <v>-8.2403826943429737E-2</v>
      </c>
      <c r="I665">
        <v>111641.72659999999</v>
      </c>
      <c r="J665" s="1">
        <v>45955</v>
      </c>
      <c r="K665" s="3">
        <v>2.53553826710524E-2</v>
      </c>
      <c r="L665">
        <v>41708524143</v>
      </c>
      <c r="M665" s="2" t="s">
        <v>12</v>
      </c>
    </row>
    <row r="666" spans="1:13" x14ac:dyDescent="0.3">
      <c r="A666" s="1">
        <v>45957</v>
      </c>
      <c r="B666" s="2" t="s">
        <v>11</v>
      </c>
      <c r="C666">
        <v>114479.85159999999</v>
      </c>
      <c r="D666">
        <v>116273.3125</v>
      </c>
      <c r="E666">
        <v>113882.28909999999</v>
      </c>
      <c r="F666">
        <v>114119.3281</v>
      </c>
      <c r="G666">
        <f>_xlfn.MAXIFS(Crypto[Close],Crypto[Name],Crypto[[#This Row],[Name]],Crypto[Date],"&lt;="&amp;Crypto[[#This Row],[Date]])</f>
        <v>124752.5313</v>
      </c>
      <c r="H666" s="3">
        <f>(Crypto[[#This Row],[Close]]/Crypto[[#This Row],[Peak Close]])-1</f>
        <v>-8.523436830656117E-2</v>
      </c>
      <c r="I666">
        <v>114472.44530000001</v>
      </c>
      <c r="J666" s="1">
        <v>45956</v>
      </c>
      <c r="K666" s="3">
        <v>-3.0847353620741401E-3</v>
      </c>
      <c r="L666">
        <v>61761358733</v>
      </c>
      <c r="M666" s="2" t="s">
        <v>12</v>
      </c>
    </row>
    <row r="667" spans="1:13" x14ac:dyDescent="0.3">
      <c r="A667" s="1">
        <v>45958</v>
      </c>
      <c r="B667" s="2" t="s">
        <v>11</v>
      </c>
      <c r="C667">
        <v>114129.08590000001</v>
      </c>
      <c r="D667">
        <v>116078.9844</v>
      </c>
      <c r="E667">
        <v>112291.67969999999</v>
      </c>
      <c r="F667">
        <v>112956.16409999999</v>
      </c>
      <c r="G667">
        <f>_xlfn.MAXIFS(Crypto[Close],Crypto[Name],Crypto[[#This Row],[Name]],Crypto[Date],"&lt;="&amp;Crypto[[#This Row],[Date]])</f>
        <v>124752.5313</v>
      </c>
      <c r="H667" s="3">
        <f>(Crypto[[#This Row],[Close]]/Crypto[[#This Row],[Peak Close]])-1</f>
        <v>-9.4558139037937194E-2</v>
      </c>
      <c r="I667">
        <v>114119.3281</v>
      </c>
      <c r="J667" s="1">
        <v>45957</v>
      </c>
      <c r="K667" s="3">
        <v>-1.0192524083043599E-2</v>
      </c>
      <c r="L667">
        <v>64528066504</v>
      </c>
      <c r="M667" s="2" t="s">
        <v>12</v>
      </c>
    </row>
    <row r="668" spans="1:13" x14ac:dyDescent="0.3">
      <c r="A668" s="1">
        <v>45959</v>
      </c>
      <c r="B668" s="2" t="s">
        <v>11</v>
      </c>
      <c r="C668">
        <v>112921.3281</v>
      </c>
      <c r="D668">
        <v>113642.72659999999</v>
      </c>
      <c r="E668">
        <v>109368.7188</v>
      </c>
      <c r="F668">
        <v>110055.30469999999</v>
      </c>
      <c r="G668">
        <f>_xlfn.MAXIFS(Crypto[Close],Crypto[Name],Crypto[[#This Row],[Name]],Crypto[Date],"&lt;="&amp;Crypto[[#This Row],[Date]])</f>
        <v>124752.5313</v>
      </c>
      <c r="H668" s="3">
        <f>(Crypto[[#This Row],[Close]]/Crypto[[#This Row],[Peak Close]])-1</f>
        <v>-0.11781104917748475</v>
      </c>
      <c r="I668">
        <v>112956.16409999999</v>
      </c>
      <c r="J668" s="1">
        <v>45958</v>
      </c>
      <c r="K668" s="3">
        <v>-2.5681284621456101E-2</v>
      </c>
      <c r="L668">
        <v>62192043469</v>
      </c>
      <c r="M668" s="2" t="s">
        <v>12</v>
      </c>
    </row>
    <row r="669" spans="1:13" x14ac:dyDescent="0.3">
      <c r="A669" s="1">
        <v>45960</v>
      </c>
      <c r="B669" s="2" t="s">
        <v>11</v>
      </c>
      <c r="C669">
        <v>110059.19530000001</v>
      </c>
      <c r="D669">
        <v>111612.35159999999</v>
      </c>
      <c r="E669">
        <v>106376.6875</v>
      </c>
      <c r="F669">
        <v>108305.5469</v>
      </c>
      <c r="G669">
        <f>_xlfn.MAXIFS(Crypto[Close],Crypto[Name],Crypto[[#This Row],[Name]],Crypto[Date],"&lt;="&amp;Crypto[[#This Row],[Date]])</f>
        <v>124752.5313</v>
      </c>
      <c r="H669" s="3">
        <f>(Crypto[[#This Row],[Close]]/Crypto[[#This Row],[Peak Close]])-1</f>
        <v>-0.13183687920887899</v>
      </c>
      <c r="I669">
        <v>110055.30469999999</v>
      </c>
      <c r="J669" s="1">
        <v>45959</v>
      </c>
      <c r="K669" s="3">
        <v>-1.58988956031666E-2</v>
      </c>
      <c r="L669">
        <v>69673964814</v>
      </c>
      <c r="M669" s="2" t="s">
        <v>12</v>
      </c>
    </row>
    <row r="670" spans="1:13" x14ac:dyDescent="0.3">
      <c r="A670" s="1">
        <v>45961</v>
      </c>
      <c r="B670" s="2" t="s">
        <v>11</v>
      </c>
      <c r="C670">
        <v>108304.41409999999</v>
      </c>
      <c r="D670">
        <v>111031.82030000001</v>
      </c>
      <c r="E670">
        <v>108288.27340000001</v>
      </c>
      <c r="F670">
        <v>109556.16409999999</v>
      </c>
      <c r="G670">
        <f>_xlfn.MAXIFS(Crypto[Close],Crypto[Name],Crypto[[#This Row],[Name]],Crypto[Date],"&lt;="&amp;Crypto[[#This Row],[Date]])</f>
        <v>124752.5313</v>
      </c>
      <c r="H670" s="3">
        <f>(Crypto[[#This Row],[Close]]/Crypto[[#This Row],[Peak Close]])-1</f>
        <v>-0.12181209504644341</v>
      </c>
      <c r="I670">
        <v>108305.5469</v>
      </c>
      <c r="J670" s="1">
        <v>45960</v>
      </c>
      <c r="K670" s="3">
        <v>1.15471204919422E-2</v>
      </c>
      <c r="L670">
        <v>60090359560</v>
      </c>
      <c r="M670" s="2" t="s">
        <v>12</v>
      </c>
    </row>
    <row r="671" spans="1:13" x14ac:dyDescent="0.3">
      <c r="A671" s="1">
        <v>45962</v>
      </c>
      <c r="B671" s="2" t="s">
        <v>11</v>
      </c>
      <c r="C671">
        <v>109558.625</v>
      </c>
      <c r="D671">
        <v>110574.89840000001</v>
      </c>
      <c r="E671">
        <v>109372.9531</v>
      </c>
      <c r="F671">
        <v>110064.0156</v>
      </c>
      <c r="G671">
        <f>_xlfn.MAXIFS(Crypto[Close],Crypto[Name],Crypto[[#This Row],[Name]],Crypto[Date],"&lt;="&amp;Crypto[[#This Row],[Date]])</f>
        <v>124752.5313</v>
      </c>
      <c r="H671" s="3">
        <f>(Crypto[[#This Row],[Close]]/Crypto[[#This Row],[Peak Close]])-1</f>
        <v>-0.11774122374060403</v>
      </c>
      <c r="I671">
        <v>109556.16409999999</v>
      </c>
      <c r="J671" s="1">
        <v>45961</v>
      </c>
      <c r="K671" s="3">
        <v>4.6355356101775401E-3</v>
      </c>
      <c r="L671">
        <v>25871668762</v>
      </c>
      <c r="M671" s="2" t="s">
        <v>12</v>
      </c>
    </row>
    <row r="672" spans="1:13" x14ac:dyDescent="0.3">
      <c r="A672" s="1">
        <v>45963</v>
      </c>
      <c r="B672" s="2" t="s">
        <v>11</v>
      </c>
      <c r="C672">
        <v>110064.42969999999</v>
      </c>
      <c r="D672">
        <v>111167.3125</v>
      </c>
      <c r="E672">
        <v>109523.4531</v>
      </c>
      <c r="F672">
        <v>110639.625</v>
      </c>
      <c r="G672">
        <f>_xlfn.MAXIFS(Crypto[Close],Crypto[Name],Crypto[[#This Row],[Name]],Crypto[Date],"&lt;="&amp;Crypto[[#This Row],[Date]])</f>
        <v>124752.5313</v>
      </c>
      <c r="H672" s="3">
        <f>(Crypto[[#This Row],[Close]]/Crypto[[#This Row],[Peak Close]])-1</f>
        <v>-0.11312721395657965</v>
      </c>
      <c r="I672">
        <v>110064.0156</v>
      </c>
      <c r="J672" s="1">
        <v>45962</v>
      </c>
      <c r="K672" s="3">
        <v>5.22976921078283E-3</v>
      </c>
      <c r="L672">
        <v>34284209459</v>
      </c>
      <c r="M672" s="2" t="s">
        <v>12</v>
      </c>
    </row>
    <row r="673" spans="1:13" x14ac:dyDescent="0.3">
      <c r="A673" s="1">
        <v>45964</v>
      </c>
      <c r="B673" s="2" t="s">
        <v>11</v>
      </c>
      <c r="C673">
        <v>110646.9063</v>
      </c>
      <c r="D673">
        <v>110764.91409999999</v>
      </c>
      <c r="E673">
        <v>105336.3594</v>
      </c>
      <c r="F673">
        <v>106547.52340000001</v>
      </c>
      <c r="G673">
        <f>_xlfn.MAXIFS(Crypto[Close],Crypto[Name],Crypto[[#This Row],[Name]],Crypto[Date],"&lt;="&amp;Crypto[[#This Row],[Date]])</f>
        <v>124752.5313</v>
      </c>
      <c r="H673" s="3">
        <f>(Crypto[[#This Row],[Close]]/Crypto[[#This Row],[Peak Close]])-1</f>
        <v>-0.14592896601209082</v>
      </c>
      <c r="I673">
        <v>110639.625</v>
      </c>
      <c r="J673" s="1">
        <v>45963</v>
      </c>
      <c r="K673" s="3">
        <v>-3.6985859270582302E-2</v>
      </c>
      <c r="L673">
        <v>72852006359</v>
      </c>
      <c r="M673" s="2" t="s">
        <v>12</v>
      </c>
    </row>
    <row r="674" spans="1:13" x14ac:dyDescent="0.3">
      <c r="A674" s="1">
        <v>45965</v>
      </c>
      <c r="B674" s="2" t="s">
        <v>11</v>
      </c>
      <c r="C674">
        <v>106541.4219</v>
      </c>
      <c r="D674">
        <v>107264.88280000001</v>
      </c>
      <c r="E674">
        <v>98962.0625</v>
      </c>
      <c r="F674">
        <v>101590.52340000001</v>
      </c>
      <c r="G674">
        <f>_xlfn.MAXIFS(Crypto[Close],Crypto[Name],Crypto[[#This Row],[Name]],Crypto[Date],"&lt;="&amp;Crypto[[#This Row],[Date]])</f>
        <v>124752.5313</v>
      </c>
      <c r="H674" s="3">
        <f>(Crypto[[#This Row],[Close]]/Crypto[[#This Row],[Peak Close]])-1</f>
        <v>-0.18566363069861014</v>
      </c>
      <c r="I674">
        <v>106547.52340000001</v>
      </c>
      <c r="J674" s="1">
        <v>45964</v>
      </c>
      <c r="K674" s="3">
        <v>-4.6523840647055302E-2</v>
      </c>
      <c r="L674">
        <v>111000000000</v>
      </c>
      <c r="M674" s="2" t="s">
        <v>12</v>
      </c>
    </row>
    <row r="675" spans="1:13" x14ac:dyDescent="0.3">
      <c r="A675" s="1">
        <v>45966</v>
      </c>
      <c r="B675" s="2" t="s">
        <v>11</v>
      </c>
      <c r="C675">
        <v>101579.2344</v>
      </c>
      <c r="D675">
        <v>104534.7031</v>
      </c>
      <c r="E675">
        <v>98989.914059999996</v>
      </c>
      <c r="F675">
        <v>103891.83590000001</v>
      </c>
      <c r="G675">
        <f>_xlfn.MAXIFS(Crypto[Close],Crypto[Name],Crypto[[#This Row],[Name]],Crypto[Date],"&lt;="&amp;Crypto[[#This Row],[Date]])</f>
        <v>124752.5313</v>
      </c>
      <c r="H675" s="3">
        <f>(Crypto[[#This Row],[Close]]/Crypto[[#This Row],[Peak Close]])-1</f>
        <v>-0.16721661021719081</v>
      </c>
      <c r="I675">
        <v>101590.52340000001</v>
      </c>
      <c r="J675" s="1">
        <v>45965</v>
      </c>
      <c r="K675" s="3">
        <v>2.26528264938539E-2</v>
      </c>
      <c r="L675">
        <v>77584934804</v>
      </c>
      <c r="M675" s="2" t="s">
        <v>12</v>
      </c>
    </row>
    <row r="676" spans="1:13" x14ac:dyDescent="0.3">
      <c r="A676" s="1">
        <v>45967</v>
      </c>
      <c r="B676" s="2" t="s">
        <v>11</v>
      </c>
      <c r="C676">
        <v>103893.66409999999</v>
      </c>
      <c r="D676">
        <v>104147.30469999999</v>
      </c>
      <c r="E676">
        <v>100336.86719999999</v>
      </c>
      <c r="F676">
        <v>101301.28909999999</v>
      </c>
      <c r="G676">
        <f>_xlfn.MAXIFS(Crypto[Close],Crypto[Name],Crypto[[#This Row],[Name]],Crypto[Date],"&lt;="&amp;Crypto[[#This Row],[Date]])</f>
        <v>124752.5313</v>
      </c>
      <c r="H676" s="3">
        <f>(Crypto[[#This Row],[Close]]/Crypto[[#This Row],[Peak Close]])-1</f>
        <v>-0.18798209507753694</v>
      </c>
      <c r="I676">
        <v>103891.83590000001</v>
      </c>
      <c r="J676" s="1">
        <v>45966</v>
      </c>
      <c r="K676" s="3">
        <v>-2.4935037267928499E-2</v>
      </c>
      <c r="L676">
        <v>63932752861</v>
      </c>
      <c r="M676" s="2" t="s">
        <v>12</v>
      </c>
    </row>
    <row r="677" spans="1:13" x14ac:dyDescent="0.3">
      <c r="A677" s="1">
        <v>45968</v>
      </c>
      <c r="B677" s="2" t="s">
        <v>11</v>
      </c>
      <c r="C677">
        <v>101286.24219999999</v>
      </c>
      <c r="D677">
        <v>104052.91409999999</v>
      </c>
      <c r="E677">
        <v>99257.054690000004</v>
      </c>
      <c r="F677">
        <v>103372.4063</v>
      </c>
      <c r="G677">
        <f>_xlfn.MAXIFS(Crypto[Close],Crypto[Name],Crypto[[#This Row],[Name]],Crypto[Date],"&lt;="&amp;Crypto[[#This Row],[Date]])</f>
        <v>124752.5313</v>
      </c>
      <c r="H677" s="3">
        <f>(Crypto[[#This Row],[Close]]/Crypto[[#This Row],[Peak Close]])-1</f>
        <v>-0.17138029006069555</v>
      </c>
      <c r="I677">
        <v>101301.28909999999</v>
      </c>
      <c r="J677" s="1">
        <v>45967</v>
      </c>
      <c r="K677" s="3">
        <v>2.0445121857783001E-2</v>
      </c>
      <c r="L677">
        <v>92168030081</v>
      </c>
      <c r="M677" s="2" t="s">
        <v>12</v>
      </c>
    </row>
    <row r="678" spans="1:13" x14ac:dyDescent="0.3">
      <c r="A678" s="1">
        <v>45969</v>
      </c>
      <c r="B678" s="2" t="s">
        <v>11</v>
      </c>
      <c r="C678">
        <v>103371.7031</v>
      </c>
      <c r="D678">
        <v>103373.5625</v>
      </c>
      <c r="E678">
        <v>101458.03909999999</v>
      </c>
      <c r="F678">
        <v>102282.11719999999</v>
      </c>
      <c r="G678">
        <f>_xlfn.MAXIFS(Crypto[Close],Crypto[Name],Crypto[[#This Row],[Name]],Crypto[Date],"&lt;="&amp;Crypto[[#This Row],[Date]])</f>
        <v>124752.5313</v>
      </c>
      <c r="H678" s="3">
        <f>(Crypto[[#This Row],[Close]]/Crypto[[#This Row],[Peak Close]])-1</f>
        <v>-0.18011990511009379</v>
      </c>
      <c r="I678">
        <v>103372.4063</v>
      </c>
      <c r="J678" s="1">
        <v>45968</v>
      </c>
      <c r="K678" s="3">
        <v>-1.0547196674863601E-2</v>
      </c>
      <c r="L678">
        <v>51446691095</v>
      </c>
      <c r="M678" s="2" t="s">
        <v>12</v>
      </c>
    </row>
    <row r="679" spans="1:13" x14ac:dyDescent="0.3">
      <c r="A679" s="1">
        <v>45970</v>
      </c>
      <c r="B679" s="2" t="s">
        <v>11</v>
      </c>
      <c r="C679">
        <v>102278.9844</v>
      </c>
      <c r="D679">
        <v>105418.36719999999</v>
      </c>
      <c r="E679">
        <v>101468.875</v>
      </c>
      <c r="F679">
        <v>104719.6406</v>
      </c>
      <c r="G679">
        <f>_xlfn.MAXIFS(Crypto[Close],Crypto[Name],Crypto[[#This Row],[Name]],Crypto[Date],"&lt;="&amp;Crypto[[#This Row],[Date]])</f>
        <v>124752.5313</v>
      </c>
      <c r="H679" s="3">
        <f>(Crypto[[#This Row],[Close]]/Crypto[[#This Row],[Peak Close]])-1</f>
        <v>-0.16058103584147476</v>
      </c>
      <c r="I679">
        <v>102282.11719999999</v>
      </c>
      <c r="J679" s="1">
        <v>45969</v>
      </c>
      <c r="K679" s="3">
        <v>2.3831374112385E-2</v>
      </c>
      <c r="L679">
        <v>59679243013</v>
      </c>
      <c r="M679" s="2" t="s">
        <v>12</v>
      </c>
    </row>
    <row r="680" spans="1:13" x14ac:dyDescent="0.3">
      <c r="A680" s="1">
        <v>45971</v>
      </c>
      <c r="B680" s="2" t="s">
        <v>11</v>
      </c>
      <c r="C680">
        <v>104723.77340000001</v>
      </c>
      <c r="D680">
        <v>106564.69530000001</v>
      </c>
      <c r="E680">
        <v>104350.64840000001</v>
      </c>
      <c r="F680">
        <v>105996.5938</v>
      </c>
      <c r="G680">
        <f>_xlfn.MAXIFS(Crypto[Close],Crypto[Name],Crypto[[#This Row],[Name]],Crypto[Date],"&lt;="&amp;Crypto[[#This Row],[Date]])</f>
        <v>124752.5313</v>
      </c>
      <c r="H680" s="3">
        <f>(Crypto[[#This Row],[Close]]/Crypto[[#This Row],[Peak Close]])-1</f>
        <v>-0.15034514574214497</v>
      </c>
      <c r="I680">
        <v>104719.6406</v>
      </c>
      <c r="J680" s="1">
        <v>45970</v>
      </c>
      <c r="K680" s="3">
        <v>1.2194018167781999E-2</v>
      </c>
      <c r="L680">
        <v>69585887229</v>
      </c>
      <c r="M680" s="2" t="s">
        <v>12</v>
      </c>
    </row>
    <row r="681" spans="1:13" x14ac:dyDescent="0.3">
      <c r="A681" s="1">
        <v>45972</v>
      </c>
      <c r="B681" s="2" t="s">
        <v>11</v>
      </c>
      <c r="C681">
        <v>105996.8594</v>
      </c>
      <c r="D681">
        <v>107428.25780000001</v>
      </c>
      <c r="E681">
        <v>102457.3281</v>
      </c>
      <c r="F681">
        <v>102997.4688</v>
      </c>
      <c r="G681">
        <f>_xlfn.MAXIFS(Crypto[Close],Crypto[Name],Crypto[[#This Row],[Name]],Crypto[Date],"&lt;="&amp;Crypto[[#This Row],[Date]])</f>
        <v>124752.5313</v>
      </c>
      <c r="H681" s="3">
        <f>(Crypto[[#This Row],[Close]]/Crypto[[#This Row],[Peak Close]])-1</f>
        <v>-0.17438574009920715</v>
      </c>
      <c r="I681">
        <v>105996.5938</v>
      </c>
      <c r="J681" s="1">
        <v>45971</v>
      </c>
      <c r="K681" s="3">
        <v>-2.8294541291193801E-2</v>
      </c>
      <c r="L681">
        <v>71130078574</v>
      </c>
      <c r="M681" s="2" t="s">
        <v>12</v>
      </c>
    </row>
    <row r="682" spans="1:13" x14ac:dyDescent="0.3">
      <c r="A682" s="1">
        <v>45973</v>
      </c>
      <c r="B682" s="2" t="s">
        <v>11</v>
      </c>
      <c r="C682">
        <v>103011.4375</v>
      </c>
      <c r="D682">
        <v>105297.2344</v>
      </c>
      <c r="E682">
        <v>100836.61719999999</v>
      </c>
      <c r="F682">
        <v>101663.1875</v>
      </c>
      <c r="G682">
        <f>_xlfn.MAXIFS(Crypto[Close],Crypto[Name],Crypto[[#This Row],[Name]],Crypto[Date],"&lt;="&amp;Crypto[[#This Row],[Date]])</f>
        <v>124752.5313</v>
      </c>
      <c r="H682" s="3">
        <f>(Crypto[[#This Row],[Close]]/Crypto[[#This Row],[Peak Close]])-1</f>
        <v>-0.18508116476190495</v>
      </c>
      <c r="I682">
        <v>102997.4688</v>
      </c>
      <c r="J682" s="1">
        <v>45972</v>
      </c>
      <c r="K682" s="3">
        <v>-1.29545057324749E-2</v>
      </c>
      <c r="L682">
        <v>64347179408</v>
      </c>
      <c r="M682" s="2" t="s">
        <v>12</v>
      </c>
    </row>
    <row r="683" spans="1:13" x14ac:dyDescent="0.3">
      <c r="A683" s="1">
        <v>45974</v>
      </c>
      <c r="B683" s="2" t="s">
        <v>11</v>
      </c>
      <c r="C683">
        <v>101674.14840000001</v>
      </c>
      <c r="D683">
        <v>104005.49219999999</v>
      </c>
      <c r="E683">
        <v>97988.71875</v>
      </c>
      <c r="F683">
        <v>99697.492190000004</v>
      </c>
      <c r="G683">
        <f>_xlfn.MAXIFS(Crypto[Close],Crypto[Name],Crypto[[#This Row],[Name]],Crypto[Date],"&lt;="&amp;Crypto[[#This Row],[Date]])</f>
        <v>124752.5313</v>
      </c>
      <c r="H683" s="3">
        <f>(Crypto[[#This Row],[Close]]/Crypto[[#This Row],[Peak Close]])-1</f>
        <v>-0.20083792167510106</v>
      </c>
      <c r="I683">
        <v>101663.1875</v>
      </c>
      <c r="J683" s="1">
        <v>45973</v>
      </c>
      <c r="K683" s="3">
        <v>-1.9335369648920301E-2</v>
      </c>
      <c r="L683">
        <v>102000000000</v>
      </c>
      <c r="M683" s="2" t="s">
        <v>12</v>
      </c>
    </row>
    <row r="684" spans="1:13" x14ac:dyDescent="0.3">
      <c r="A684" s="1">
        <v>45975</v>
      </c>
      <c r="B684" s="2" t="s">
        <v>11</v>
      </c>
      <c r="C684">
        <v>99694.703129999994</v>
      </c>
      <c r="D684">
        <v>99804.429690000004</v>
      </c>
      <c r="E684">
        <v>94000.734379999994</v>
      </c>
      <c r="F684">
        <v>94397.789059999996</v>
      </c>
      <c r="G684">
        <f>_xlfn.MAXIFS(Crypto[Close],Crypto[Name],Crypto[[#This Row],[Name]],Crypto[Date],"&lt;="&amp;Crypto[[#This Row],[Date]])</f>
        <v>124752.5313</v>
      </c>
      <c r="H684" s="3">
        <f>(Crypto[[#This Row],[Close]]/Crypto[[#This Row],[Peak Close]])-1</f>
        <v>-0.2433196498995609</v>
      </c>
      <c r="I684">
        <v>99697.492190000004</v>
      </c>
      <c r="J684" s="1">
        <v>45974</v>
      </c>
      <c r="K684" s="3">
        <v>-5.3157837911308903E-2</v>
      </c>
      <c r="L684">
        <v>114000000000</v>
      </c>
      <c r="M684" s="2" t="s">
        <v>12</v>
      </c>
    </row>
    <row r="685" spans="1:13" x14ac:dyDescent="0.3">
      <c r="A685" s="1">
        <v>45976</v>
      </c>
      <c r="B685" s="2" t="s">
        <v>11</v>
      </c>
      <c r="C685">
        <v>94420.46875</v>
      </c>
      <c r="D685">
        <v>96728.46875</v>
      </c>
      <c r="E685">
        <v>94420.46875</v>
      </c>
      <c r="F685">
        <v>95549.148440000004</v>
      </c>
      <c r="G685">
        <f>_xlfn.MAXIFS(Crypto[Close],Crypto[Name],Crypto[[#This Row],[Name]],Crypto[Date],"&lt;="&amp;Crypto[[#This Row],[Date]])</f>
        <v>124752.5313</v>
      </c>
      <c r="H685" s="3">
        <f>(Crypto[[#This Row],[Close]]/Crypto[[#This Row],[Peak Close]])-1</f>
        <v>-0.2340905034605899</v>
      </c>
      <c r="I685">
        <v>94397.789059999996</v>
      </c>
      <c r="J685" s="1">
        <v>45975</v>
      </c>
      <c r="K685" s="3">
        <v>1.21968892647284E-2</v>
      </c>
      <c r="L685">
        <v>38500716654</v>
      </c>
      <c r="M685" s="2" t="s">
        <v>12</v>
      </c>
    </row>
    <row r="686" spans="1:13" x14ac:dyDescent="0.3">
      <c r="A686" s="1">
        <v>45977</v>
      </c>
      <c r="B686" s="2" t="s">
        <v>11</v>
      </c>
      <c r="C686">
        <v>95556.867190000004</v>
      </c>
      <c r="D686">
        <v>96564.1875</v>
      </c>
      <c r="E686">
        <v>92971.164059999996</v>
      </c>
      <c r="F686">
        <v>94177.078129999994</v>
      </c>
      <c r="G686">
        <f>_xlfn.MAXIFS(Crypto[Close],Crypto[Name],Crypto[[#This Row],[Name]],Crypto[Date],"&lt;="&amp;Crypto[[#This Row],[Date]])</f>
        <v>124752.5313</v>
      </c>
      <c r="H686" s="3">
        <f>(Crypto[[#This Row],[Close]]/Crypto[[#This Row],[Peak Close]])-1</f>
        <v>-0.24508883989274222</v>
      </c>
      <c r="I686">
        <v>95549.148440000004</v>
      </c>
      <c r="J686" s="1">
        <v>45976</v>
      </c>
      <c r="K686" s="3">
        <v>-1.4359838181724901E-2</v>
      </c>
      <c r="L686">
        <v>71086235862</v>
      </c>
      <c r="M686" s="2" t="s">
        <v>12</v>
      </c>
    </row>
    <row r="687" spans="1:13" x14ac:dyDescent="0.3">
      <c r="A687" s="1">
        <v>45978</v>
      </c>
      <c r="B687" s="2" t="s">
        <v>11</v>
      </c>
      <c r="C687">
        <v>94180.875</v>
      </c>
      <c r="D687">
        <v>95928.367190000004</v>
      </c>
      <c r="E687">
        <v>91214.757809999996</v>
      </c>
      <c r="F687">
        <v>92093.875</v>
      </c>
      <c r="G687">
        <f>_xlfn.MAXIFS(Crypto[Close],Crypto[Name],Crypto[[#This Row],[Name]],Crypto[Date],"&lt;="&amp;Crypto[[#This Row],[Date]])</f>
        <v>124752.5313</v>
      </c>
      <c r="H687" s="3">
        <f>(Crypto[[#This Row],[Close]]/Crypto[[#This Row],[Peak Close]])-1</f>
        <v>-0.26178752414621342</v>
      </c>
      <c r="I687">
        <v>94177.078129999994</v>
      </c>
      <c r="J687" s="1">
        <v>45977</v>
      </c>
      <c r="K687" s="3">
        <v>-2.2120065427432199E-2</v>
      </c>
      <c r="L687">
        <v>94186165724</v>
      </c>
      <c r="M687" s="2" t="s">
        <v>12</v>
      </c>
    </row>
    <row r="688" spans="1:13" x14ac:dyDescent="0.3">
      <c r="A688" s="1">
        <v>45979</v>
      </c>
      <c r="B688" s="2" t="s">
        <v>11</v>
      </c>
      <c r="C688">
        <v>92094.53125</v>
      </c>
      <c r="D688">
        <v>93745.078129999994</v>
      </c>
      <c r="E688">
        <v>89300.460940000004</v>
      </c>
      <c r="F688">
        <v>92948.875</v>
      </c>
      <c r="G688">
        <f>_xlfn.MAXIFS(Crypto[Close],Crypto[Name],Crypto[[#This Row],[Name]],Crypto[Date],"&lt;="&amp;Crypto[[#This Row],[Date]])</f>
        <v>124752.5313</v>
      </c>
      <c r="H688" s="3">
        <f>(Crypto[[#This Row],[Close]]/Crypto[[#This Row],[Peak Close]])-1</f>
        <v>-0.25493395579701561</v>
      </c>
      <c r="I688">
        <v>92093.875</v>
      </c>
      <c r="J688" s="1">
        <v>45978</v>
      </c>
      <c r="K688" s="3">
        <v>9.2840050437664797E-3</v>
      </c>
      <c r="L688">
        <v>101000000000</v>
      </c>
      <c r="M688" s="2" t="s">
        <v>12</v>
      </c>
    </row>
    <row r="689" spans="1:13" x14ac:dyDescent="0.3">
      <c r="A689" s="1">
        <v>45980</v>
      </c>
      <c r="B689" s="2" t="s">
        <v>11</v>
      </c>
      <c r="C689">
        <v>92946.164059999996</v>
      </c>
      <c r="D689">
        <v>92946.164059999996</v>
      </c>
      <c r="E689">
        <v>88526.828129999994</v>
      </c>
      <c r="F689">
        <v>91465.992190000004</v>
      </c>
      <c r="G689">
        <f>_xlfn.MAXIFS(Crypto[Close],Crypto[Name],Crypto[[#This Row],[Name]],Crypto[Date],"&lt;="&amp;Crypto[[#This Row],[Date]])</f>
        <v>124752.5313</v>
      </c>
      <c r="H689" s="3">
        <f>(Crypto[[#This Row],[Close]]/Crypto[[#This Row],[Peak Close]])-1</f>
        <v>-0.2668205507586362</v>
      </c>
      <c r="I689">
        <v>92948.875</v>
      </c>
      <c r="J689" s="1">
        <v>45979</v>
      </c>
      <c r="K689" s="3">
        <v>-1.5953746723669299E-2</v>
      </c>
      <c r="L689">
        <v>80350354656</v>
      </c>
      <c r="M689" s="2" t="s">
        <v>12</v>
      </c>
    </row>
    <row r="690" spans="1:13" x14ac:dyDescent="0.3">
      <c r="A690" s="1">
        <v>45981</v>
      </c>
      <c r="B690" s="2" t="s">
        <v>11</v>
      </c>
      <c r="C690">
        <v>91459.351559999996</v>
      </c>
      <c r="D690">
        <v>93025.070309999996</v>
      </c>
      <c r="E690">
        <v>86040.796879999994</v>
      </c>
      <c r="F690">
        <v>86631.898440000004</v>
      </c>
      <c r="G690">
        <f>_xlfn.MAXIFS(Crypto[Close],Crypto[Name],Crypto[[#This Row],[Name]],Crypto[Date],"&lt;="&amp;Crypto[[#This Row],[Date]])</f>
        <v>124752.5313</v>
      </c>
      <c r="H690" s="3">
        <f>(Crypto[[#This Row],[Close]]/Crypto[[#This Row],[Peak Close]])-1</f>
        <v>-0.30557001499495828</v>
      </c>
      <c r="I690">
        <v>91465.992190000004</v>
      </c>
      <c r="J690" s="1">
        <v>45980</v>
      </c>
      <c r="K690" s="3">
        <v>-5.2851268917066603E-2</v>
      </c>
      <c r="L690">
        <v>97970645638</v>
      </c>
      <c r="M690" s="2" t="s">
        <v>12</v>
      </c>
    </row>
    <row r="691" spans="1:13" x14ac:dyDescent="0.3">
      <c r="A691" s="1">
        <v>45982</v>
      </c>
      <c r="B691" s="2" t="s">
        <v>11</v>
      </c>
      <c r="C691">
        <v>86528.773440000004</v>
      </c>
      <c r="D691">
        <v>87380.804690000004</v>
      </c>
      <c r="E691">
        <v>80659.8125</v>
      </c>
      <c r="F691">
        <v>85090.6875</v>
      </c>
      <c r="G691">
        <f>_xlfn.MAXIFS(Crypto[Close],Crypto[Name],Crypto[[#This Row],[Name]],Crypto[Date],"&lt;="&amp;Crypto[[#This Row],[Date]])</f>
        <v>124752.5313</v>
      </c>
      <c r="H691" s="3">
        <f>(Crypto[[#This Row],[Close]]/Crypto[[#This Row],[Peak Close]])-1</f>
        <v>-0.3179241606298373</v>
      </c>
      <c r="I691">
        <v>86631.898440000004</v>
      </c>
      <c r="J691" s="1">
        <v>45981</v>
      </c>
      <c r="K691" s="3">
        <v>-1.7790340137442798E-2</v>
      </c>
      <c r="L691">
        <v>129000000000</v>
      </c>
      <c r="M691" s="2" t="s">
        <v>12</v>
      </c>
    </row>
    <row r="692" spans="1:13" x14ac:dyDescent="0.3">
      <c r="A692" s="1">
        <v>45983</v>
      </c>
      <c r="B692" s="2" t="s">
        <v>11</v>
      </c>
      <c r="C692">
        <v>85098.5625</v>
      </c>
      <c r="D692">
        <v>85503.007809999996</v>
      </c>
      <c r="E692">
        <v>83490.898440000004</v>
      </c>
      <c r="F692">
        <v>84648.359379999994</v>
      </c>
      <c r="G692">
        <f>_xlfn.MAXIFS(Crypto[Close],Crypto[Name],Crypto[[#This Row],[Name]],Crypto[Date],"&lt;="&amp;Crypto[[#This Row],[Date]])</f>
        <v>124752.5313</v>
      </c>
      <c r="H692" s="3">
        <f>(Crypto[[#This Row],[Close]]/Crypto[[#This Row],[Peak Close]])-1</f>
        <v>-0.32146980507801537</v>
      </c>
      <c r="I692">
        <v>85090.6875</v>
      </c>
      <c r="J692" s="1">
        <v>45982</v>
      </c>
      <c r="K692" s="3">
        <v>-5.1983140928319E-3</v>
      </c>
      <c r="L692">
        <v>40793099246</v>
      </c>
      <c r="M692" s="2" t="s">
        <v>12</v>
      </c>
    </row>
    <row r="693" spans="1:13" x14ac:dyDescent="0.3">
      <c r="A693" s="1">
        <v>45984</v>
      </c>
      <c r="B693" s="2" t="s">
        <v>11</v>
      </c>
      <c r="C693">
        <v>84648.609379999994</v>
      </c>
      <c r="D693">
        <v>88038.46875</v>
      </c>
      <c r="E693">
        <v>84641.773440000004</v>
      </c>
      <c r="F693">
        <v>86805.007809999996</v>
      </c>
      <c r="G693">
        <f>_xlfn.MAXIFS(Crypto[Close],Crypto[Name],Crypto[[#This Row],[Name]],Crypto[Date],"&lt;="&amp;Crypto[[#This Row],[Date]])</f>
        <v>124752.5313</v>
      </c>
      <c r="H693" s="3">
        <f>(Crypto[[#This Row],[Close]]/Crypto[[#This Row],[Peak Close]])-1</f>
        <v>-0.30418239289065241</v>
      </c>
      <c r="I693">
        <v>84648.359379999994</v>
      </c>
      <c r="J693" s="1">
        <v>45983</v>
      </c>
      <c r="K693" s="3">
        <v>2.5477734545550499E-2</v>
      </c>
      <c r="L693">
        <v>58083435576</v>
      </c>
      <c r="M693" s="2" t="s">
        <v>12</v>
      </c>
    </row>
    <row r="694" spans="1:13" x14ac:dyDescent="0.3">
      <c r="A694" s="1">
        <v>45985</v>
      </c>
      <c r="B694" s="2" t="s">
        <v>11</v>
      </c>
      <c r="C694">
        <v>86798.773440000004</v>
      </c>
      <c r="D694">
        <v>89206.335940000004</v>
      </c>
      <c r="E694">
        <v>85272.195309999996</v>
      </c>
      <c r="F694">
        <v>88270.5625</v>
      </c>
      <c r="G694">
        <f>_xlfn.MAXIFS(Crypto[Close],Crypto[Name],Crypto[[#This Row],[Name]],Crypto[Date],"&lt;="&amp;Crypto[[#This Row],[Date]])</f>
        <v>124752.5313</v>
      </c>
      <c r="H694" s="3">
        <f>(Crypto[[#This Row],[Close]]/Crypto[[#This Row],[Peak Close]])-1</f>
        <v>-0.2924346978761464</v>
      </c>
      <c r="I694">
        <v>86805.007809999996</v>
      </c>
      <c r="J694" s="1">
        <v>45984</v>
      </c>
      <c r="K694" s="3">
        <v>1.68832965628876E-2</v>
      </c>
      <c r="L694">
        <v>74433896110</v>
      </c>
      <c r="M694" s="2" t="s">
        <v>12</v>
      </c>
    </row>
    <row r="695" spans="1:13" x14ac:dyDescent="0.3">
      <c r="A695" s="1">
        <v>45986</v>
      </c>
      <c r="B695" s="2" t="s">
        <v>11</v>
      </c>
      <c r="C695">
        <v>88269.960940000004</v>
      </c>
      <c r="D695">
        <v>88457.335940000004</v>
      </c>
      <c r="E695">
        <v>86131.429690000004</v>
      </c>
      <c r="F695">
        <v>87341.890629999994</v>
      </c>
      <c r="G695">
        <f>_xlfn.MAXIFS(Crypto[Close],Crypto[Name],Crypto[[#This Row],[Name]],Crypto[Date],"&lt;="&amp;Crypto[[#This Row],[Date]])</f>
        <v>124752.5313</v>
      </c>
      <c r="H695" s="3">
        <f>(Crypto[[#This Row],[Close]]/Crypto[[#This Row],[Peak Close]])-1</f>
        <v>-0.29987881031476915</v>
      </c>
      <c r="I695">
        <v>88270.5625</v>
      </c>
      <c r="J695" s="1">
        <v>45985</v>
      </c>
      <c r="K695" s="3">
        <v>-1.0520742631497401E-2</v>
      </c>
      <c r="L695">
        <v>64837343545</v>
      </c>
      <c r="M695" s="2" t="s">
        <v>12</v>
      </c>
    </row>
    <row r="696" spans="1:13" x14ac:dyDescent="0.3">
      <c r="A696" s="1">
        <v>45987</v>
      </c>
      <c r="B696" s="2" t="s">
        <v>11</v>
      </c>
      <c r="C696">
        <v>87345.585940000004</v>
      </c>
      <c r="D696">
        <v>90581.15625</v>
      </c>
      <c r="E696">
        <v>86316.898440000004</v>
      </c>
      <c r="F696">
        <v>90518.367190000004</v>
      </c>
      <c r="G696">
        <f>_xlfn.MAXIFS(Crypto[Close],Crypto[Name],Crypto[[#This Row],[Name]],Crypto[Date],"&lt;="&amp;Crypto[[#This Row],[Date]])</f>
        <v>124752.5313</v>
      </c>
      <c r="H696" s="3">
        <f>(Crypto[[#This Row],[Close]]/Crypto[[#This Row],[Peak Close]])-1</f>
        <v>-0.27441658901233046</v>
      </c>
      <c r="I696">
        <v>87341.890629999994</v>
      </c>
      <c r="J696" s="1">
        <v>45986</v>
      </c>
      <c r="K696" s="3">
        <v>3.6368305484206699E-2</v>
      </c>
      <c r="L696">
        <v>66496301869</v>
      </c>
      <c r="M696" s="2" t="s">
        <v>12</v>
      </c>
    </row>
    <row r="697" spans="1:13" x14ac:dyDescent="0.3">
      <c r="A697" s="1">
        <v>45988</v>
      </c>
      <c r="B697" s="2" t="s">
        <v>11</v>
      </c>
      <c r="C697">
        <v>90517.765629999994</v>
      </c>
      <c r="D697">
        <v>91897.578129999994</v>
      </c>
      <c r="E697">
        <v>90089.515629999994</v>
      </c>
      <c r="F697">
        <v>91285.375</v>
      </c>
      <c r="G697">
        <f>_xlfn.MAXIFS(Crypto[Close],Crypto[Name],Crypto[[#This Row],[Name]],Crypto[Date],"&lt;="&amp;Crypto[[#This Row],[Date]])</f>
        <v>124752.5313</v>
      </c>
      <c r="H697" s="3">
        <f>(Crypto[[#This Row],[Close]]/Crypto[[#This Row],[Peak Close]])-1</f>
        <v>-0.26826835456764797</v>
      </c>
      <c r="I697">
        <v>90518.367190000004</v>
      </c>
      <c r="J697" s="1">
        <v>45987</v>
      </c>
      <c r="K697" s="3">
        <v>8.4735047019797605E-3</v>
      </c>
      <c r="L697">
        <v>57040622845</v>
      </c>
      <c r="M697" s="2" t="s">
        <v>12</v>
      </c>
    </row>
    <row r="698" spans="1:13" x14ac:dyDescent="0.3">
      <c r="A698" s="1">
        <v>45989</v>
      </c>
      <c r="B698" s="2" t="s">
        <v>11</v>
      </c>
      <c r="C698">
        <v>91285.382809999996</v>
      </c>
      <c r="D698">
        <v>92969.085940000004</v>
      </c>
      <c r="E698">
        <v>90257.117190000004</v>
      </c>
      <c r="F698">
        <v>90919.265629999994</v>
      </c>
      <c r="G698">
        <f>_xlfn.MAXIFS(Crypto[Close],Crypto[Name],Crypto[[#This Row],[Name]],Crypto[Date],"&lt;="&amp;Crypto[[#This Row],[Date]])</f>
        <v>124752.5313</v>
      </c>
      <c r="H698" s="3">
        <f>(Crypto[[#This Row],[Close]]/Crypto[[#This Row],[Peak Close]])-1</f>
        <v>-0.27120303946890745</v>
      </c>
      <c r="I698">
        <v>91285.375</v>
      </c>
      <c r="J698" s="1">
        <v>45988</v>
      </c>
      <c r="K698" s="3">
        <v>-4.0106026841649697E-3</v>
      </c>
      <c r="L698">
        <v>60895830289</v>
      </c>
      <c r="M698" s="2" t="s">
        <v>12</v>
      </c>
    </row>
    <row r="699" spans="1:13" x14ac:dyDescent="0.3">
      <c r="A699" s="1">
        <v>45990</v>
      </c>
      <c r="B699" s="2" t="s">
        <v>11</v>
      </c>
      <c r="C699">
        <v>90918.742190000004</v>
      </c>
      <c r="D699">
        <v>91187.617190000004</v>
      </c>
      <c r="E699">
        <v>90260.1875</v>
      </c>
      <c r="F699">
        <v>90851.757809999996</v>
      </c>
      <c r="G699">
        <f>_xlfn.MAXIFS(Crypto[Close],Crypto[Name],Crypto[[#This Row],[Name]],Crypto[Date],"&lt;="&amp;Crypto[[#This Row],[Date]])</f>
        <v>124752.5313</v>
      </c>
      <c r="H699" s="3">
        <f>(Crypto[[#This Row],[Close]]/Crypto[[#This Row],[Peak Close]])-1</f>
        <v>-0.27174417333846923</v>
      </c>
      <c r="I699">
        <v>90919.265629999994</v>
      </c>
      <c r="J699" s="1">
        <v>45989</v>
      </c>
      <c r="K699" s="3">
        <v>-7.4250291764041496E-4</v>
      </c>
      <c r="L699">
        <v>37921773455</v>
      </c>
      <c r="M699" s="2" t="s">
        <v>12</v>
      </c>
    </row>
    <row r="700" spans="1:13" x14ac:dyDescent="0.3">
      <c r="A700" s="1">
        <v>45991</v>
      </c>
      <c r="B700" s="2" t="s">
        <v>11</v>
      </c>
      <c r="C700">
        <v>90838.210940000004</v>
      </c>
      <c r="D700">
        <v>91965.046879999994</v>
      </c>
      <c r="E700">
        <v>90394.3125</v>
      </c>
      <c r="F700">
        <v>90394.3125</v>
      </c>
      <c r="G700">
        <f>_xlfn.MAXIFS(Crypto[Close],Crypto[Name],Crypto[[#This Row],[Name]],Crypto[Date],"&lt;="&amp;Crypto[[#This Row],[Date]])</f>
        <v>124752.5313</v>
      </c>
      <c r="H700" s="3">
        <f>(Crypto[[#This Row],[Close]]/Crypto[[#This Row],[Peak Close]])-1</f>
        <v>-0.27541099520759782</v>
      </c>
      <c r="I700">
        <v>90851.757809999996</v>
      </c>
      <c r="J700" s="1">
        <v>45990</v>
      </c>
      <c r="K700" s="3">
        <v>-5.0350738502678103E-3</v>
      </c>
      <c r="L700">
        <v>38497902869</v>
      </c>
      <c r="M700" s="2" t="s">
        <v>12</v>
      </c>
    </row>
    <row r="701" spans="1:13" x14ac:dyDescent="0.3">
      <c r="A701" s="1">
        <v>45992</v>
      </c>
      <c r="B701" s="2" t="s">
        <v>11</v>
      </c>
      <c r="C701">
        <v>90389.109379999994</v>
      </c>
      <c r="D701">
        <v>90398.15625</v>
      </c>
      <c r="E701">
        <v>83862.25</v>
      </c>
      <c r="F701">
        <v>86321.570309999996</v>
      </c>
      <c r="G701">
        <f>_xlfn.MAXIFS(Crypto[Close],Crypto[Name],Crypto[[#This Row],[Name]],Crypto[Date],"&lt;="&amp;Crypto[[#This Row],[Date]])</f>
        <v>124752.5313</v>
      </c>
      <c r="H701" s="3">
        <f>(Crypto[[#This Row],[Close]]/Crypto[[#This Row],[Peak Close]])-1</f>
        <v>-0.30805756476061186</v>
      </c>
      <c r="I701">
        <v>90394.3125</v>
      </c>
      <c r="J701" s="1">
        <v>45991</v>
      </c>
      <c r="K701" s="3">
        <v>-4.5055292499735597E-2</v>
      </c>
      <c r="L701">
        <v>87962894424</v>
      </c>
      <c r="M701" s="2" t="s">
        <v>12</v>
      </c>
    </row>
    <row r="702" spans="1:13" x14ac:dyDescent="0.3">
      <c r="A702" s="1">
        <v>45993</v>
      </c>
      <c r="B702" s="2" t="s">
        <v>11</v>
      </c>
      <c r="C702">
        <v>86322.539059999996</v>
      </c>
      <c r="D702">
        <v>92316.632809999996</v>
      </c>
      <c r="E702">
        <v>86202.195309999996</v>
      </c>
      <c r="F702">
        <v>91350.203129999994</v>
      </c>
      <c r="G702">
        <f>_xlfn.MAXIFS(Crypto[Close],Crypto[Name],Crypto[[#This Row],[Name]],Crypto[Date],"&lt;="&amp;Crypto[[#This Row],[Date]])</f>
        <v>124752.5313</v>
      </c>
      <c r="H702" s="3">
        <f>(Crypto[[#This Row],[Close]]/Crypto[[#This Row],[Peak Close]])-1</f>
        <v>-0.2677487007431969</v>
      </c>
      <c r="I702">
        <v>86321.570309999996</v>
      </c>
      <c r="J702" s="1">
        <v>45992</v>
      </c>
      <c r="K702" s="3">
        <v>5.82546494687372E-2</v>
      </c>
      <c r="L702">
        <v>78546798211</v>
      </c>
      <c r="M702" s="2" t="s">
        <v>12</v>
      </c>
    </row>
    <row r="703" spans="1:13" x14ac:dyDescent="0.3">
      <c r="A703" s="1">
        <v>45994</v>
      </c>
      <c r="B703" s="2" t="s">
        <v>11</v>
      </c>
      <c r="C703">
        <v>91345.09375</v>
      </c>
      <c r="D703">
        <v>94060.773440000004</v>
      </c>
      <c r="E703">
        <v>91056.390629999994</v>
      </c>
      <c r="F703">
        <v>93527.804690000004</v>
      </c>
      <c r="G703">
        <f>_xlfn.MAXIFS(Crypto[Close],Crypto[Name],Crypto[[#This Row],[Name]],Crypto[Date],"&lt;="&amp;Crypto[[#This Row],[Date]])</f>
        <v>124752.5313</v>
      </c>
      <c r="H703" s="3">
        <f>(Crypto[[#This Row],[Close]]/Crypto[[#This Row],[Peak Close]])-1</f>
        <v>-0.25029333100193374</v>
      </c>
      <c r="I703">
        <v>91350.203129999994</v>
      </c>
      <c r="J703" s="1">
        <v>45993</v>
      </c>
      <c r="K703" s="3">
        <v>2.38379498390505E-2</v>
      </c>
      <c r="L703">
        <v>77650204986</v>
      </c>
      <c r="M703" s="2" t="s">
        <v>12</v>
      </c>
    </row>
    <row r="704" spans="1:13" x14ac:dyDescent="0.3">
      <c r="A704" s="1">
        <v>45995</v>
      </c>
      <c r="B704" s="2" t="s">
        <v>11</v>
      </c>
      <c r="C704">
        <v>93454.257809999996</v>
      </c>
      <c r="D704">
        <v>94038.242190000004</v>
      </c>
      <c r="E704">
        <v>90976.101559999996</v>
      </c>
      <c r="F704">
        <v>92141.625</v>
      </c>
      <c r="G704">
        <f>_xlfn.MAXIFS(Crypto[Close],Crypto[Name],Crypto[[#This Row],[Name]],Crypto[Date],"&lt;="&amp;Crypto[[#This Row],[Date]])</f>
        <v>124752.5313</v>
      </c>
      <c r="H704" s="3">
        <f>(Crypto[[#This Row],[Close]]/Crypto[[#This Row],[Peak Close]])-1</f>
        <v>-0.2614047663816822</v>
      </c>
      <c r="I704">
        <v>93527.804690000004</v>
      </c>
      <c r="J704" s="1">
        <v>45994</v>
      </c>
      <c r="K704" s="3">
        <v>-1.48210438018355E-2</v>
      </c>
      <c r="L704">
        <v>64538402681</v>
      </c>
      <c r="M704" s="2" t="s">
        <v>12</v>
      </c>
    </row>
    <row r="705" spans="1:13" x14ac:dyDescent="0.3">
      <c r="A705" s="1">
        <v>45996</v>
      </c>
      <c r="B705" s="2" t="s">
        <v>11</v>
      </c>
      <c r="C705">
        <v>92133.648440000004</v>
      </c>
      <c r="D705">
        <v>92702.640629999994</v>
      </c>
      <c r="E705">
        <v>88152.140629999994</v>
      </c>
      <c r="F705">
        <v>89387.757809999996</v>
      </c>
      <c r="G705">
        <f>_xlfn.MAXIFS(Crypto[Close],Crypto[Name],Crypto[[#This Row],[Name]],Crypto[Date],"&lt;="&amp;Crypto[[#This Row],[Date]])</f>
        <v>124752.5313</v>
      </c>
      <c r="H705" s="3">
        <f>(Crypto[[#This Row],[Close]]/Crypto[[#This Row],[Peak Close]])-1</f>
        <v>-0.28347940616095546</v>
      </c>
      <c r="I705">
        <v>92141.625</v>
      </c>
      <c r="J705" s="1">
        <v>45995</v>
      </c>
      <c r="K705" s="3">
        <v>-2.98873304003484E-2</v>
      </c>
      <c r="L705">
        <v>63256398633</v>
      </c>
      <c r="M705" s="2" t="s">
        <v>12</v>
      </c>
    </row>
    <row r="706" spans="1:13" x14ac:dyDescent="0.3">
      <c r="A706" s="1">
        <v>45997</v>
      </c>
      <c r="B706" s="2" t="s">
        <v>11</v>
      </c>
      <c r="C706">
        <v>89389.359379999994</v>
      </c>
      <c r="D706">
        <v>90267.460940000004</v>
      </c>
      <c r="E706">
        <v>88951.664059999996</v>
      </c>
      <c r="F706">
        <v>89272.375</v>
      </c>
      <c r="G706">
        <f>_xlfn.MAXIFS(Crypto[Close],Crypto[Name],Crypto[[#This Row],[Name]],Crypto[Date],"&lt;="&amp;Crypto[[#This Row],[Date]])</f>
        <v>124752.5313</v>
      </c>
      <c r="H706" s="3">
        <f>(Crypto[[#This Row],[Close]]/Crypto[[#This Row],[Peak Close]])-1</f>
        <v>-0.28440429969856651</v>
      </c>
      <c r="I706">
        <v>89387.757809999996</v>
      </c>
      <c r="J706" s="1">
        <v>45996</v>
      </c>
      <c r="K706" s="3">
        <v>-1.2908122188862801E-3</v>
      </c>
      <c r="L706">
        <v>37994042405</v>
      </c>
      <c r="M706" s="2" t="s">
        <v>12</v>
      </c>
    </row>
    <row r="707" spans="1:13" x14ac:dyDescent="0.3">
      <c r="A707" s="1">
        <v>45998</v>
      </c>
      <c r="B707" s="2" t="s">
        <v>11</v>
      </c>
      <c r="C707">
        <v>89277.8125</v>
      </c>
      <c r="D707">
        <v>91740.84375</v>
      </c>
      <c r="E707">
        <v>87799.5625</v>
      </c>
      <c r="F707">
        <v>90405.640629999994</v>
      </c>
      <c r="G707">
        <f>_xlfn.MAXIFS(Crypto[Close],Crypto[Name],Crypto[[#This Row],[Name]],Crypto[Date],"&lt;="&amp;Crypto[[#This Row],[Date]])</f>
        <v>124752.5313</v>
      </c>
      <c r="H707" s="3">
        <f>(Crypto[[#This Row],[Close]]/Crypto[[#This Row],[Peak Close]])-1</f>
        <v>-0.2753201903968101</v>
      </c>
      <c r="I707">
        <v>89272.375</v>
      </c>
      <c r="J707" s="1">
        <v>45997</v>
      </c>
      <c r="K707" s="3">
        <v>1.2694471610058501E-2</v>
      </c>
      <c r="L707">
        <v>47394898960</v>
      </c>
      <c r="M707" s="2" t="s">
        <v>12</v>
      </c>
    </row>
    <row r="708" spans="1:13" x14ac:dyDescent="0.3">
      <c r="A708" s="1">
        <v>45999</v>
      </c>
      <c r="B708" s="2" t="s">
        <v>11</v>
      </c>
      <c r="C708">
        <v>90424.585940000004</v>
      </c>
      <c r="D708">
        <v>92267.117190000004</v>
      </c>
      <c r="E708">
        <v>89644.890629999994</v>
      </c>
      <c r="F708">
        <v>90640.203129999994</v>
      </c>
      <c r="G708">
        <f>_xlfn.MAXIFS(Crypto[Close],Crypto[Name],Crypto[[#This Row],[Name]],Crypto[Date],"&lt;="&amp;Crypto[[#This Row],[Date]])</f>
        <v>124752.5313</v>
      </c>
      <c r="H708" s="3">
        <f>(Crypto[[#This Row],[Close]]/Crypto[[#This Row],[Peak Close]])-1</f>
        <v>-0.27343996802732617</v>
      </c>
      <c r="I708">
        <v>90405.640629999994</v>
      </c>
      <c r="J708" s="1">
        <v>45998</v>
      </c>
      <c r="K708" s="3">
        <v>2.5945560295290199E-3</v>
      </c>
      <c r="L708">
        <v>57394099056</v>
      </c>
      <c r="M708" s="2" t="s">
        <v>12</v>
      </c>
    </row>
    <row r="709" spans="1:13" x14ac:dyDescent="0.3">
      <c r="A709" s="1">
        <v>46000</v>
      </c>
      <c r="B709" s="2" t="s">
        <v>11</v>
      </c>
      <c r="C709">
        <v>90639.703129999994</v>
      </c>
      <c r="D709">
        <v>94601.570309999996</v>
      </c>
      <c r="E709">
        <v>89586.976559999996</v>
      </c>
      <c r="F709">
        <v>92691.710940000004</v>
      </c>
      <c r="G709">
        <f>_xlfn.MAXIFS(Crypto[Close],Crypto[Name],Crypto[[#This Row],[Name]],Crypto[Date],"&lt;="&amp;Crypto[[#This Row],[Date]])</f>
        <v>124752.5313</v>
      </c>
      <c r="H709" s="3">
        <f>(Crypto[[#This Row],[Close]]/Crypto[[#This Row],[Peak Close]])-1</f>
        <v>-0.25699534932001811</v>
      </c>
      <c r="I709">
        <v>90640.203129999994</v>
      </c>
      <c r="J709" s="1">
        <v>45999</v>
      </c>
      <c r="K709" s="3">
        <v>2.2633530587499399E-2</v>
      </c>
      <c r="L709">
        <v>66861721440</v>
      </c>
      <c r="M709" s="2" t="s">
        <v>12</v>
      </c>
    </row>
    <row r="710" spans="1:13" x14ac:dyDescent="0.3">
      <c r="A710" s="1">
        <v>46001</v>
      </c>
      <c r="B710" s="2" t="s">
        <v>11</v>
      </c>
      <c r="C710">
        <v>92695.234379999994</v>
      </c>
      <c r="D710">
        <v>94477.15625</v>
      </c>
      <c r="E710">
        <v>91640.132809999996</v>
      </c>
      <c r="F710">
        <v>92020.945309999996</v>
      </c>
      <c r="G710">
        <f>_xlfn.MAXIFS(Crypto[Close],Crypto[Name],Crypto[[#This Row],[Name]],Crypto[Date],"&lt;="&amp;Crypto[[#This Row],[Date]])</f>
        <v>124752.5313</v>
      </c>
      <c r="H710" s="3">
        <f>(Crypto[[#This Row],[Close]]/Crypto[[#This Row],[Peak Close]])-1</f>
        <v>-0.26237211901767643</v>
      </c>
      <c r="I710">
        <v>92691.710940000004</v>
      </c>
      <c r="J710" s="1">
        <v>46000</v>
      </c>
      <c r="K710" s="3">
        <v>-7.23652226501893E-3</v>
      </c>
      <c r="L710">
        <v>65420694513</v>
      </c>
      <c r="M710" s="2" t="s">
        <v>12</v>
      </c>
    </row>
    <row r="711" spans="1:13" x14ac:dyDescent="0.3">
      <c r="A711" s="1">
        <v>46002</v>
      </c>
      <c r="B711" s="2" t="s">
        <v>11</v>
      </c>
      <c r="C711">
        <v>92011.304690000004</v>
      </c>
      <c r="D711">
        <v>93554.265629999994</v>
      </c>
      <c r="E711">
        <v>89335.296879999994</v>
      </c>
      <c r="F711">
        <v>92511.335940000004</v>
      </c>
      <c r="G711">
        <f>_xlfn.MAXIFS(Crypto[Close],Crypto[Name],Crypto[[#This Row],[Name]],Crypto[Date],"&lt;="&amp;Crypto[[#This Row],[Date]])</f>
        <v>124752.5313</v>
      </c>
      <c r="H711" s="3">
        <f>(Crypto[[#This Row],[Close]]/Crypto[[#This Row],[Peak Close]])-1</f>
        <v>-0.25844121176561652</v>
      </c>
      <c r="I711">
        <v>92020.945309999996</v>
      </c>
      <c r="J711" s="1">
        <v>46001</v>
      </c>
      <c r="K711" s="3">
        <v>5.32911967322202E-3</v>
      </c>
      <c r="L711">
        <v>64532834621</v>
      </c>
      <c r="M711" s="2" t="s">
        <v>12</v>
      </c>
    </row>
    <row r="712" spans="1:13" x14ac:dyDescent="0.3">
      <c r="A712" s="1">
        <v>46003</v>
      </c>
      <c r="B712" s="2" t="s">
        <v>11</v>
      </c>
      <c r="C712">
        <v>92513.664059999996</v>
      </c>
      <c r="D712">
        <v>92747.929690000004</v>
      </c>
      <c r="E712">
        <v>89532.601559999996</v>
      </c>
      <c r="F712">
        <v>90270.414059999996</v>
      </c>
      <c r="G712">
        <f>_xlfn.MAXIFS(Crypto[Close],Crypto[Name],Crypto[[#This Row],[Name]],Crypto[Date],"&lt;="&amp;Crypto[[#This Row],[Date]])</f>
        <v>124752.5313</v>
      </c>
      <c r="H712" s="3">
        <f>(Crypto[[#This Row],[Close]]/Crypto[[#This Row],[Peak Close]])-1</f>
        <v>-0.27640414892326926</v>
      </c>
      <c r="I712">
        <v>92511.335940000004</v>
      </c>
      <c r="J712" s="1">
        <v>46002</v>
      </c>
      <c r="K712" s="3">
        <v>-2.4223213914599601E-2</v>
      </c>
      <c r="L712">
        <v>80275884583</v>
      </c>
      <c r="M712" s="2" t="s">
        <v>12</v>
      </c>
    </row>
    <row r="713" spans="1:13" x14ac:dyDescent="0.3">
      <c r="A713" s="1">
        <v>46004</v>
      </c>
      <c r="B713" s="2" t="s">
        <v>11</v>
      </c>
      <c r="C713">
        <v>90257.796879999994</v>
      </c>
      <c r="D713">
        <v>90647.570309999996</v>
      </c>
      <c r="E713">
        <v>89800.992190000004</v>
      </c>
      <c r="F713">
        <v>90298.710940000004</v>
      </c>
      <c r="G713">
        <f>_xlfn.MAXIFS(Crypto[Close],Crypto[Name],Crypto[[#This Row],[Name]],Crypto[Date],"&lt;="&amp;Crypto[[#This Row],[Date]])</f>
        <v>124752.5313</v>
      </c>
      <c r="H713" s="3">
        <f>(Crypto[[#This Row],[Close]]/Crypto[[#This Row],[Peak Close]])-1</f>
        <v>-0.276177324828358</v>
      </c>
      <c r="I713">
        <v>90270.414059999996</v>
      </c>
      <c r="J713" s="1">
        <v>46003</v>
      </c>
      <c r="K713" s="3">
        <v>3.1346793182094999E-4</v>
      </c>
      <c r="L713">
        <v>64237748110</v>
      </c>
      <c r="M713" s="2" t="s">
        <v>12</v>
      </c>
    </row>
    <row r="714" spans="1:13" x14ac:dyDescent="0.3">
      <c r="A714" s="1">
        <v>46005</v>
      </c>
      <c r="B714" s="2" t="s">
        <v>11</v>
      </c>
      <c r="C714">
        <v>90296.4375</v>
      </c>
      <c r="D714">
        <v>90498.109379999994</v>
      </c>
      <c r="E714">
        <v>87634.9375</v>
      </c>
      <c r="F714">
        <v>88175.179690000004</v>
      </c>
      <c r="G714">
        <f>_xlfn.MAXIFS(Crypto[Close],Crypto[Name],Crypto[[#This Row],[Name]],Crypto[Date],"&lt;="&amp;Crypto[[#This Row],[Date]])</f>
        <v>124752.5313</v>
      </c>
      <c r="H714" s="3">
        <f>(Crypto[[#This Row],[Close]]/Crypto[[#This Row],[Peak Close]])-1</f>
        <v>-0.29319927402547219</v>
      </c>
      <c r="I714">
        <v>90298.710940000004</v>
      </c>
      <c r="J714" s="1">
        <v>46004</v>
      </c>
      <c r="K714" s="3">
        <v>-2.3516739363101301E-2</v>
      </c>
      <c r="L714">
        <v>50465972205</v>
      </c>
      <c r="M714" s="2" t="s">
        <v>12</v>
      </c>
    </row>
    <row r="715" spans="1:13" x14ac:dyDescent="0.3">
      <c r="A715" s="1">
        <v>46006</v>
      </c>
      <c r="B715" s="2" t="s">
        <v>11</v>
      </c>
      <c r="C715">
        <v>88171.078129999994</v>
      </c>
      <c r="D715">
        <v>89983.921879999994</v>
      </c>
      <c r="E715">
        <v>85304.078129999994</v>
      </c>
      <c r="F715">
        <v>86419.78125</v>
      </c>
      <c r="G715">
        <f>_xlfn.MAXIFS(Crypto[Close],Crypto[Name],Crypto[[#This Row],[Name]],Crypto[Date],"&lt;="&amp;Crypto[[#This Row],[Date]])</f>
        <v>124752.5313</v>
      </c>
      <c r="H715" s="3">
        <f>(Crypto[[#This Row],[Close]]/Crypto[[#This Row],[Peak Close]])-1</f>
        <v>-0.30727031869051946</v>
      </c>
      <c r="I715">
        <v>88175.179690000004</v>
      </c>
      <c r="J715" s="1">
        <v>46005</v>
      </c>
      <c r="K715" s="3">
        <v>-1.9908078964755299E-2</v>
      </c>
      <c r="L715">
        <v>45559514323</v>
      </c>
      <c r="M715" s="2" t="s">
        <v>12</v>
      </c>
    </row>
    <row r="716" spans="1:13" x14ac:dyDescent="0.3">
      <c r="A716" s="1">
        <v>46007</v>
      </c>
      <c r="B716" s="2" t="s">
        <v>11</v>
      </c>
      <c r="C716">
        <v>86424.40625</v>
      </c>
      <c r="D716">
        <v>88170.09375</v>
      </c>
      <c r="E716">
        <v>85381.6875</v>
      </c>
      <c r="F716">
        <v>87843.984379999994</v>
      </c>
      <c r="G716">
        <f>_xlfn.MAXIFS(Crypto[Close],Crypto[Name],Crypto[[#This Row],[Name]],Crypto[Date],"&lt;="&amp;Crypto[[#This Row],[Date]])</f>
        <v>124752.5313</v>
      </c>
      <c r="H716" s="3">
        <f>(Crypto[[#This Row],[Close]]/Crypto[[#This Row],[Peak Close]])-1</f>
        <v>-0.29585409238104976</v>
      </c>
      <c r="I716">
        <v>86419.78125</v>
      </c>
      <c r="J716" s="1">
        <v>46006</v>
      </c>
      <c r="K716" s="3">
        <v>1.6480059419266301E-2</v>
      </c>
      <c r="L716">
        <v>41262178223</v>
      </c>
      <c r="M716" s="2" t="s">
        <v>12</v>
      </c>
    </row>
    <row r="717" spans="1:13" x14ac:dyDescent="0.3">
      <c r="A717" s="1">
        <v>46008</v>
      </c>
      <c r="B717" s="2" t="s">
        <v>11</v>
      </c>
      <c r="C717">
        <v>87847.617190000004</v>
      </c>
      <c r="D717">
        <v>90264.570309999996</v>
      </c>
      <c r="E717">
        <v>85316.265629999994</v>
      </c>
      <c r="F717">
        <v>86143.757809999996</v>
      </c>
      <c r="G717">
        <f>_xlfn.MAXIFS(Crypto[Close],Crypto[Name],Crypto[[#This Row],[Name]],Crypto[Date],"&lt;="&amp;Crypto[[#This Row],[Date]])</f>
        <v>124752.5313</v>
      </c>
      <c r="H717" s="3">
        <f>(Crypto[[#This Row],[Close]]/Crypto[[#This Row],[Peak Close]])-1</f>
        <v>-0.30948288654083611</v>
      </c>
      <c r="I717">
        <v>87843.984379999994</v>
      </c>
      <c r="J717" s="1">
        <v>46007</v>
      </c>
      <c r="K717" s="3">
        <v>-1.93550711753359E-2</v>
      </c>
      <c r="L717">
        <v>44243392914</v>
      </c>
      <c r="M717" s="2" t="s">
        <v>12</v>
      </c>
    </row>
    <row r="718" spans="1:13" x14ac:dyDescent="0.3">
      <c r="A718" s="1">
        <v>46009</v>
      </c>
      <c r="B718" s="2" t="s">
        <v>11</v>
      </c>
      <c r="C718">
        <v>86144.367190000004</v>
      </c>
      <c r="D718">
        <v>89412.664059999996</v>
      </c>
      <c r="E718">
        <v>84436.3125</v>
      </c>
      <c r="F718">
        <v>85462.507809999996</v>
      </c>
      <c r="G718">
        <f>_xlfn.MAXIFS(Crypto[Close],Crypto[Name],Crypto[[#This Row],[Name]],Crypto[Date],"&lt;="&amp;Crypto[[#This Row],[Date]])</f>
        <v>124752.5313</v>
      </c>
      <c r="H718" s="3">
        <f>(Crypto[[#This Row],[Close]]/Crypto[[#This Row],[Peak Close]])-1</f>
        <v>-0.31494369757930518</v>
      </c>
      <c r="I718">
        <v>86143.757809999996</v>
      </c>
      <c r="J718" s="1">
        <v>46008</v>
      </c>
      <c r="K718" s="3">
        <v>-7.9082921075091205E-3</v>
      </c>
      <c r="L718">
        <v>52667115348</v>
      </c>
      <c r="M718" s="2" t="s">
        <v>12</v>
      </c>
    </row>
    <row r="719" spans="1:13" x14ac:dyDescent="0.3">
      <c r="A719" s="1">
        <v>46010</v>
      </c>
      <c r="B719" s="2" t="s">
        <v>11</v>
      </c>
      <c r="C719">
        <v>85476.132809999996</v>
      </c>
      <c r="D719">
        <v>89339.117190000004</v>
      </c>
      <c r="E719">
        <v>85107.664059999996</v>
      </c>
      <c r="F719">
        <v>88103.382809999996</v>
      </c>
      <c r="G719">
        <f>_xlfn.MAXIFS(Crypto[Close],Crypto[Name],Crypto[[#This Row],[Name]],Crypto[Date],"&lt;="&amp;Crypto[[#This Row],[Date]])</f>
        <v>124752.5313</v>
      </c>
      <c r="H719" s="3">
        <f>(Crypto[[#This Row],[Close]]/Crypto[[#This Row],[Peak Close]])-1</f>
        <v>-0.29377478843990401</v>
      </c>
      <c r="I719">
        <v>85462.507809999996</v>
      </c>
      <c r="J719" s="1">
        <v>46009</v>
      </c>
      <c r="K719" s="3">
        <v>3.0900977138082399E-2</v>
      </c>
      <c r="L719">
        <v>46733310561</v>
      </c>
      <c r="M719" s="2" t="s">
        <v>12</v>
      </c>
    </row>
    <row r="720" spans="1:13" x14ac:dyDescent="0.3">
      <c r="A720" s="1">
        <v>46011</v>
      </c>
      <c r="B720" s="2" t="s">
        <v>11</v>
      </c>
      <c r="C720">
        <v>88101.671879999994</v>
      </c>
      <c r="D720">
        <v>88497.203129999994</v>
      </c>
      <c r="E720">
        <v>87924.875</v>
      </c>
      <c r="F720">
        <v>88344</v>
      </c>
      <c r="G720">
        <f>_xlfn.MAXIFS(Crypto[Close],Crypto[Name],Crypto[[#This Row],[Name]],Crypto[Date],"&lt;="&amp;Crypto[[#This Row],[Date]])</f>
        <v>124752.5313</v>
      </c>
      <c r="H720" s="3">
        <f>(Crypto[[#This Row],[Close]]/Crypto[[#This Row],[Peak Close]])-1</f>
        <v>-0.29184603246603624</v>
      </c>
      <c r="I720">
        <v>88103.382809999996</v>
      </c>
      <c r="J720" s="1">
        <v>46010</v>
      </c>
      <c r="K720" s="3">
        <v>2.7310777671149E-3</v>
      </c>
      <c r="L720">
        <v>14688196659</v>
      </c>
      <c r="M720" s="2" t="s">
        <v>12</v>
      </c>
    </row>
    <row r="721" spans="1:13" x14ac:dyDescent="0.3">
      <c r="A721" s="1">
        <v>46012</v>
      </c>
      <c r="B721" s="2" t="s">
        <v>11</v>
      </c>
      <c r="C721">
        <v>88344.703129999994</v>
      </c>
      <c r="D721">
        <v>89027.953129999994</v>
      </c>
      <c r="E721">
        <v>87613.203129999994</v>
      </c>
      <c r="F721">
        <v>88621.75</v>
      </c>
      <c r="G721">
        <f>_xlfn.MAXIFS(Crypto[Close],Crypto[Name],Crypto[[#This Row],[Name]],Crypto[Date],"&lt;="&amp;Crypto[[#This Row],[Date]])</f>
        <v>124752.5313</v>
      </c>
      <c r="H721" s="3">
        <f>(Crypto[[#This Row],[Close]]/Crypto[[#This Row],[Peak Close]])-1</f>
        <v>-0.28961962473622371</v>
      </c>
      <c r="I721">
        <v>88344</v>
      </c>
      <c r="J721" s="1">
        <v>46011</v>
      </c>
      <c r="K721" s="3">
        <v>3.1439599746445699E-3</v>
      </c>
      <c r="L721">
        <v>19845522660</v>
      </c>
      <c r="M721" s="2" t="s">
        <v>12</v>
      </c>
    </row>
    <row r="722" spans="1:13" x14ac:dyDescent="0.3">
      <c r="A722" s="1">
        <v>46013</v>
      </c>
      <c r="B722" s="2" t="s">
        <v>11</v>
      </c>
      <c r="C722">
        <v>88621.398440000004</v>
      </c>
      <c r="D722">
        <v>90501.929690000004</v>
      </c>
      <c r="E722">
        <v>87908.070309999996</v>
      </c>
      <c r="F722">
        <v>88490.015629999994</v>
      </c>
      <c r="G722">
        <f>_xlfn.MAXIFS(Crypto[Close],Crypto[Name],Crypto[[#This Row],[Name]],Crypto[Date],"&lt;="&amp;Crypto[[#This Row],[Date]])</f>
        <v>124752.5313</v>
      </c>
      <c r="H722" s="3">
        <f>(Crypto[[#This Row],[Close]]/Crypto[[#This Row],[Peak Close]])-1</f>
        <v>-0.29067559024351441</v>
      </c>
      <c r="I722">
        <v>88621.75</v>
      </c>
      <c r="J722" s="1">
        <v>46012</v>
      </c>
      <c r="K722" s="3">
        <v>-1.48647899640896E-3</v>
      </c>
      <c r="L722">
        <v>38047472118</v>
      </c>
      <c r="M722" s="2" t="s">
        <v>12</v>
      </c>
    </row>
    <row r="723" spans="1:13" x14ac:dyDescent="0.3">
      <c r="A723" s="1">
        <v>46014</v>
      </c>
      <c r="B723" s="2" t="s">
        <v>11</v>
      </c>
      <c r="C723">
        <v>88490.03125</v>
      </c>
      <c r="D723">
        <v>88898.382809999996</v>
      </c>
      <c r="E723">
        <v>86606.976559999996</v>
      </c>
      <c r="F723">
        <v>87414</v>
      </c>
      <c r="G723">
        <f>_xlfn.MAXIFS(Crypto[Close],Crypto[Name],Crypto[[#This Row],[Name]],Crypto[Date],"&lt;="&amp;Crypto[[#This Row],[Date]])</f>
        <v>124752.5313</v>
      </c>
      <c r="H723" s="3">
        <f>(Crypto[[#This Row],[Close]]/Crypto[[#This Row],[Peak Close]])-1</f>
        <v>-0.29930079102130414</v>
      </c>
      <c r="I723">
        <v>88490.015629999994</v>
      </c>
      <c r="J723" s="1">
        <v>46013</v>
      </c>
      <c r="K723" s="3">
        <v>-1.2159740535012399E-2</v>
      </c>
      <c r="L723">
        <v>43683011533</v>
      </c>
      <c r="M723" s="2" t="s">
        <v>12</v>
      </c>
    </row>
    <row r="724" spans="1:13" x14ac:dyDescent="0.3">
      <c r="A724" s="1">
        <v>46015</v>
      </c>
      <c r="B724" s="2" t="s">
        <v>11</v>
      </c>
      <c r="C724">
        <v>87404.320309999996</v>
      </c>
      <c r="D724">
        <v>87956.882809999996</v>
      </c>
      <c r="E724">
        <v>86411.796879999994</v>
      </c>
      <c r="F724">
        <v>87611.960940000004</v>
      </c>
      <c r="G724">
        <f>_xlfn.MAXIFS(Crypto[Close],Crypto[Name],Crypto[[#This Row],[Name]],Crypto[Date],"&lt;="&amp;Crypto[[#This Row],[Date]])</f>
        <v>124752.5313</v>
      </c>
      <c r="H724" s="3">
        <f>(Crypto[[#This Row],[Close]]/Crypto[[#This Row],[Peak Close]])-1</f>
        <v>-0.29771396197713862</v>
      </c>
      <c r="I724">
        <v>87414</v>
      </c>
      <c r="J724" s="1">
        <v>46014</v>
      </c>
      <c r="K724" s="3">
        <v>2.2646365570732898E-3</v>
      </c>
      <c r="L724">
        <v>25550297986</v>
      </c>
      <c r="M724" s="2" t="s">
        <v>12</v>
      </c>
    </row>
    <row r="725" spans="1:13" x14ac:dyDescent="0.3">
      <c r="A725" s="1">
        <v>46016</v>
      </c>
      <c r="B725" s="2" t="s">
        <v>11</v>
      </c>
      <c r="C725">
        <v>87608.320309999996</v>
      </c>
      <c r="D725">
        <v>88501.789059999996</v>
      </c>
      <c r="E725">
        <v>86949.257809999996</v>
      </c>
      <c r="F725">
        <v>87234.742190000004</v>
      </c>
      <c r="G725">
        <f>_xlfn.MAXIFS(Crypto[Close],Crypto[Name],Crypto[[#This Row],[Name]],Crypto[Date],"&lt;="&amp;Crypto[[#This Row],[Date]])</f>
        <v>124752.5313</v>
      </c>
      <c r="H725" s="3">
        <f>(Crypto[[#This Row],[Close]]/Crypto[[#This Row],[Peak Close]])-1</f>
        <v>-0.30073769821775154</v>
      </c>
      <c r="I725">
        <v>87611.960940000004</v>
      </c>
      <c r="J725" s="1">
        <v>46015</v>
      </c>
      <c r="K725" s="3">
        <v>-4.3055622309188298E-3</v>
      </c>
      <c r="L725">
        <v>19953216347</v>
      </c>
      <c r="M725" s="2" t="s">
        <v>12</v>
      </c>
    </row>
    <row r="726" spans="1:13" x14ac:dyDescent="0.3">
      <c r="A726" s="1">
        <v>46017</v>
      </c>
      <c r="B726" s="2" t="s">
        <v>11</v>
      </c>
      <c r="C726">
        <v>87235.507809999996</v>
      </c>
      <c r="D726">
        <v>89459.429690000004</v>
      </c>
      <c r="E726">
        <v>86628.140629999994</v>
      </c>
      <c r="F726">
        <v>87301.429690000004</v>
      </c>
      <c r="G726">
        <f>_xlfn.MAXIFS(Crypto[Close],Crypto[Name],Crypto[[#This Row],[Name]],Crypto[Date],"&lt;="&amp;Crypto[[#This Row],[Date]])</f>
        <v>124752.5313</v>
      </c>
      <c r="H726" s="3">
        <f>(Crypto[[#This Row],[Close]]/Crypto[[#This Row],[Peak Close]])-1</f>
        <v>-0.30020313992618763</v>
      </c>
      <c r="I726">
        <v>87234.742190000004</v>
      </c>
      <c r="J726" s="1">
        <v>46016</v>
      </c>
      <c r="K726" s="3">
        <v>7.6446033226936698E-4</v>
      </c>
      <c r="L726">
        <v>42455674908</v>
      </c>
      <c r="M726" s="2" t="s">
        <v>12</v>
      </c>
    </row>
    <row r="727" spans="1:13" x14ac:dyDescent="0.3">
      <c r="A727" s="1">
        <v>46018</v>
      </c>
      <c r="B727" s="2" t="s">
        <v>11</v>
      </c>
      <c r="C727">
        <v>87301.429690000004</v>
      </c>
      <c r="D727">
        <v>87874.78125</v>
      </c>
      <c r="E727">
        <v>87182.976559999996</v>
      </c>
      <c r="F727">
        <v>87802.15625</v>
      </c>
      <c r="G727">
        <f>_xlfn.MAXIFS(Crypto[Close],Crypto[Name],Crypto[[#This Row],[Name]],Crypto[Date],"&lt;="&amp;Crypto[[#This Row],[Date]])</f>
        <v>124752.5313</v>
      </c>
      <c r="H727" s="3">
        <f>(Crypto[[#This Row],[Close]]/Crypto[[#This Row],[Peak Close]])-1</f>
        <v>-0.29618938120897276</v>
      </c>
      <c r="I727">
        <v>87301.429690000004</v>
      </c>
      <c r="J727" s="1">
        <v>46017</v>
      </c>
      <c r="K727" s="3">
        <v>5.7356054967030098E-3</v>
      </c>
      <c r="L727">
        <v>13741199310</v>
      </c>
      <c r="M727" s="2" t="s">
        <v>12</v>
      </c>
    </row>
    <row r="728" spans="1:13" x14ac:dyDescent="0.3">
      <c r="A728" s="1">
        <v>46019</v>
      </c>
      <c r="B728" s="2" t="s">
        <v>11</v>
      </c>
      <c r="C728">
        <v>87799.34375</v>
      </c>
      <c r="D728">
        <v>87986.890629999994</v>
      </c>
      <c r="E728">
        <v>87394.953129999994</v>
      </c>
      <c r="F728">
        <v>87835.835940000004</v>
      </c>
      <c r="G728">
        <f>_xlfn.MAXIFS(Crypto[Close],Crypto[Name],Crypto[[#This Row],[Name]],Crypto[Date],"&lt;="&amp;Crypto[[#This Row],[Date]])</f>
        <v>124752.5313</v>
      </c>
      <c r="H728" s="3">
        <f>(Crypto[[#This Row],[Close]]/Crypto[[#This Row],[Peak Close]])-1</f>
        <v>-0.29591940921201976</v>
      </c>
      <c r="I728">
        <v>87802.15625</v>
      </c>
      <c r="J728" s="1">
        <v>46018</v>
      </c>
      <c r="K728" s="3">
        <v>3.8358613772659499E-4</v>
      </c>
      <c r="L728">
        <v>15156557929</v>
      </c>
      <c r="M728" s="2" t="s">
        <v>12</v>
      </c>
    </row>
    <row r="729" spans="1:13" x14ac:dyDescent="0.3">
      <c r="A729" s="1">
        <v>46020</v>
      </c>
      <c r="B729" s="2" t="s">
        <v>11</v>
      </c>
      <c r="C729">
        <v>87835.789059999996</v>
      </c>
      <c r="D729">
        <v>90299.15625</v>
      </c>
      <c r="E729">
        <v>86717.914059999996</v>
      </c>
      <c r="F729">
        <v>87138.140629999994</v>
      </c>
      <c r="G729">
        <f>_xlfn.MAXIFS(Crypto[Close],Crypto[Name],Crypto[[#This Row],[Name]],Crypto[Date],"&lt;="&amp;Crypto[[#This Row],[Date]])</f>
        <v>124752.5313</v>
      </c>
      <c r="H729" s="3">
        <f>(Crypto[[#This Row],[Close]]/Crypto[[#This Row],[Peak Close]])-1</f>
        <v>-0.30151204370792606</v>
      </c>
      <c r="I729">
        <v>87835.835940000004</v>
      </c>
      <c r="J729" s="1">
        <v>46019</v>
      </c>
      <c r="K729" s="3">
        <v>-7.9431737915786494E-3</v>
      </c>
      <c r="L729">
        <v>48411625849</v>
      </c>
      <c r="M729" s="2" t="s">
        <v>12</v>
      </c>
    </row>
    <row r="730" spans="1:13" x14ac:dyDescent="0.3">
      <c r="A730" s="1">
        <v>46021</v>
      </c>
      <c r="B730" s="2" t="s">
        <v>11</v>
      </c>
      <c r="C730">
        <v>87134.351559999996</v>
      </c>
      <c r="D730">
        <v>89297.9375</v>
      </c>
      <c r="E730">
        <v>86735.546879999994</v>
      </c>
      <c r="F730">
        <v>88430.132809999996</v>
      </c>
      <c r="G730">
        <f>_xlfn.MAXIFS(Crypto[Close],Crypto[Name],Crypto[[#This Row],[Name]],Crypto[Date],"&lt;="&amp;Crypto[[#This Row],[Date]])</f>
        <v>124752.5313</v>
      </c>
      <c r="H730" s="3">
        <f>(Crypto[[#This Row],[Close]]/Crypto[[#This Row],[Peak Close]])-1</f>
        <v>-0.2911556031087924</v>
      </c>
      <c r="I730">
        <v>87138.140629999994</v>
      </c>
      <c r="J730" s="1">
        <v>46020</v>
      </c>
      <c r="K730" s="3">
        <v>1.48269422626995E-2</v>
      </c>
      <c r="L730">
        <v>35586356225</v>
      </c>
      <c r="M730" s="2" t="s">
        <v>12</v>
      </c>
    </row>
    <row r="731" spans="1:13" x14ac:dyDescent="0.3">
      <c r="A731" s="1">
        <v>46022</v>
      </c>
      <c r="B731" s="2" t="s">
        <v>11</v>
      </c>
      <c r="C731">
        <v>88407.726559999996</v>
      </c>
      <c r="D731">
        <v>89012.414059999996</v>
      </c>
      <c r="E731">
        <v>87334.125</v>
      </c>
      <c r="F731">
        <v>87520.132809999996</v>
      </c>
      <c r="G731">
        <f>_xlfn.MAXIFS(Crypto[Close],Crypto[Name],Crypto[[#This Row],[Name]],Crypto[Date],"&lt;="&amp;Crypto[[#This Row],[Date]])</f>
        <v>124752.5313</v>
      </c>
      <c r="H731" s="3">
        <f>(Crypto[[#This Row],[Close]]/Crypto[[#This Row],[Peak Close]])-1</f>
        <v>-0.29845004427577504</v>
      </c>
      <c r="I731">
        <v>88430.132809999996</v>
      </c>
      <c r="J731" s="1">
        <v>46021</v>
      </c>
      <c r="K731" s="3">
        <v>-1.02906098982709E-2</v>
      </c>
      <c r="L731">
        <v>33016963072</v>
      </c>
      <c r="M731" s="2" t="s">
        <v>12</v>
      </c>
    </row>
    <row r="732" spans="1:13" x14ac:dyDescent="0.3">
      <c r="A732" s="1">
        <v>45658</v>
      </c>
      <c r="B732" s="2" t="s">
        <v>9</v>
      </c>
      <c r="C732">
        <v>0.84377000000000002</v>
      </c>
      <c r="D732">
        <v>0.92942000000000002</v>
      </c>
      <c r="E732">
        <v>0.83892999999999995</v>
      </c>
      <c r="F732">
        <v>0.91759000000000002</v>
      </c>
      <c r="G732">
        <f>_xlfn.MAXIFS(Crypto[Close],Crypto[Name],Crypto[[#This Row],[Name]],Crypto[Date],"&lt;="&amp;Crypto[[#This Row],[Date]])</f>
        <v>0.91759000000000002</v>
      </c>
      <c r="H732" s="3">
        <f>(Crypto[[#This Row],[Close]]/Crypto[[#This Row],[Peak Close]])-1</f>
        <v>0</v>
      </c>
      <c r="J732" s="1">
        <v>45657</v>
      </c>
      <c r="L732">
        <v>926095054</v>
      </c>
      <c r="M732" s="2" t="s">
        <v>10</v>
      </c>
    </row>
    <row r="733" spans="1:13" x14ac:dyDescent="0.3">
      <c r="A733" s="1">
        <v>45659</v>
      </c>
      <c r="B733" s="2" t="s">
        <v>9</v>
      </c>
      <c r="C733">
        <v>0.91764999999999997</v>
      </c>
      <c r="D733">
        <v>0.97907999999999995</v>
      </c>
      <c r="E733">
        <v>0.91759999999999997</v>
      </c>
      <c r="F733">
        <v>0.96135000000000004</v>
      </c>
      <c r="G733">
        <f>_xlfn.MAXIFS(Crypto[Close],Crypto[Name],Crypto[[#This Row],[Name]],Crypto[Date],"&lt;="&amp;Crypto[[#This Row],[Date]])</f>
        <v>0.96135000000000004</v>
      </c>
      <c r="H733" s="3">
        <f>(Crypto[[#This Row],[Close]]/Crypto[[#This Row],[Peak Close]])-1</f>
        <v>0</v>
      </c>
      <c r="I733">
        <v>0.91759000000000002</v>
      </c>
      <c r="J733" s="1">
        <v>45658</v>
      </c>
      <c r="K733" s="3">
        <v>4.7690144835928899E-2</v>
      </c>
      <c r="L733">
        <v>1199916914</v>
      </c>
      <c r="M733" s="2" t="s">
        <v>10</v>
      </c>
    </row>
    <row r="734" spans="1:13" x14ac:dyDescent="0.3">
      <c r="A734" s="1">
        <v>45660</v>
      </c>
      <c r="B734" s="2" t="s">
        <v>9</v>
      </c>
      <c r="C734">
        <v>0.96135000000000004</v>
      </c>
      <c r="D734">
        <v>1.1161000000000001</v>
      </c>
      <c r="E734">
        <v>0.96004</v>
      </c>
      <c r="F734">
        <v>1.0903799999999999</v>
      </c>
      <c r="G734">
        <f>_xlfn.MAXIFS(Crypto[Close],Crypto[Name],Crypto[[#This Row],[Name]],Crypto[Date],"&lt;="&amp;Crypto[[#This Row],[Date]])</f>
        <v>1.0903799999999999</v>
      </c>
      <c r="H734" s="3">
        <f>(Crypto[[#This Row],[Close]]/Crypto[[#This Row],[Peak Close]])-1</f>
        <v>0</v>
      </c>
      <c r="I734">
        <v>0.96135000000000004</v>
      </c>
      <c r="J734" s="1">
        <v>45659</v>
      </c>
      <c r="K734" s="3">
        <v>0.1342175066313</v>
      </c>
      <c r="L734">
        <v>2503146669</v>
      </c>
      <c r="M734" s="2" t="s">
        <v>10</v>
      </c>
    </row>
    <row r="735" spans="1:13" x14ac:dyDescent="0.3">
      <c r="A735" s="1">
        <v>45661</v>
      </c>
      <c r="B735" s="2" t="s">
        <v>9</v>
      </c>
      <c r="C735">
        <v>1.0903499999999999</v>
      </c>
      <c r="D735">
        <v>1.10792</v>
      </c>
      <c r="E735">
        <v>1.0588500000000001</v>
      </c>
      <c r="F735">
        <v>1.0713999999999999</v>
      </c>
      <c r="G735">
        <f>_xlfn.MAXIFS(Crypto[Close],Crypto[Name],Crypto[[#This Row],[Name]],Crypto[Date],"&lt;="&amp;Crypto[[#This Row],[Date]])</f>
        <v>1.0903799999999999</v>
      </c>
      <c r="H735" s="3">
        <f>(Crypto[[#This Row],[Close]]/Crypto[[#This Row],[Peak Close]])-1</f>
        <v>-1.7406775619508763E-2</v>
      </c>
      <c r="I735">
        <v>1.0903799999999999</v>
      </c>
      <c r="J735" s="1">
        <v>45660</v>
      </c>
      <c r="K735" s="3">
        <v>-1.7406775619508801E-2</v>
      </c>
      <c r="L735">
        <v>1175730814</v>
      </c>
      <c r="M735" s="2" t="s">
        <v>10</v>
      </c>
    </row>
    <row r="736" spans="1:13" x14ac:dyDescent="0.3">
      <c r="A736" s="1">
        <v>45662</v>
      </c>
      <c r="B736" s="2" t="s">
        <v>9</v>
      </c>
      <c r="C736">
        <v>1.0713999999999999</v>
      </c>
      <c r="D736">
        <v>1.1078699999999999</v>
      </c>
      <c r="E736">
        <v>1.05528</v>
      </c>
      <c r="F736">
        <v>1.0934699999999999</v>
      </c>
      <c r="G736">
        <f>_xlfn.MAXIFS(Crypto[Close],Crypto[Name],Crypto[[#This Row],[Name]],Crypto[Date],"&lt;="&amp;Crypto[[#This Row],[Date]])</f>
        <v>1.0934699999999999</v>
      </c>
      <c r="H736" s="3">
        <f>(Crypto[[#This Row],[Close]]/Crypto[[#This Row],[Peak Close]])-1</f>
        <v>0</v>
      </c>
      <c r="I736">
        <v>1.0713999999999999</v>
      </c>
      <c r="J736" s="1">
        <v>45661</v>
      </c>
      <c r="K736" s="3">
        <v>2.05992159790928E-2</v>
      </c>
      <c r="L736">
        <v>1241263862</v>
      </c>
      <c r="M736" s="2" t="s">
        <v>10</v>
      </c>
    </row>
    <row r="737" spans="1:13" x14ac:dyDescent="0.3">
      <c r="A737" s="1">
        <v>45663</v>
      </c>
      <c r="B737" s="2" t="s">
        <v>9</v>
      </c>
      <c r="C737">
        <v>1.0934600000000001</v>
      </c>
      <c r="D737">
        <v>1.11259</v>
      </c>
      <c r="E737">
        <v>1.0681</v>
      </c>
      <c r="F737">
        <v>1.09412</v>
      </c>
      <c r="G737">
        <f>_xlfn.MAXIFS(Crypto[Close],Crypto[Name],Crypto[[#This Row],[Name]],Crypto[Date],"&lt;="&amp;Crypto[[#This Row],[Date]])</f>
        <v>1.09412</v>
      </c>
      <c r="H737" s="3">
        <f>(Crypto[[#This Row],[Close]]/Crypto[[#This Row],[Peak Close]])-1</f>
        <v>0</v>
      </c>
      <c r="I737">
        <v>1.0934699999999999</v>
      </c>
      <c r="J737" s="1">
        <v>45662</v>
      </c>
      <c r="K737" s="3">
        <v>5.9443789038568897E-4</v>
      </c>
      <c r="L737">
        <v>1303664168</v>
      </c>
      <c r="M737" s="2" t="s">
        <v>10</v>
      </c>
    </row>
    <row r="738" spans="1:13" x14ac:dyDescent="0.3">
      <c r="A738" s="1">
        <v>45664</v>
      </c>
      <c r="B738" s="2" t="s">
        <v>9</v>
      </c>
      <c r="C738">
        <v>1.09412</v>
      </c>
      <c r="D738">
        <v>1.1501600000000001</v>
      </c>
      <c r="E738">
        <v>0.99195999999999995</v>
      </c>
      <c r="F738">
        <v>0.99200999999999995</v>
      </c>
      <c r="G738">
        <f>_xlfn.MAXIFS(Crypto[Close],Crypto[Name],Crypto[[#This Row],[Name]],Crypto[Date],"&lt;="&amp;Crypto[[#This Row],[Date]])</f>
        <v>1.09412</v>
      </c>
      <c r="H738" s="3">
        <f>(Crypto[[#This Row],[Close]]/Crypto[[#This Row],[Peak Close]])-1</f>
        <v>-9.3326143384637961E-2</v>
      </c>
      <c r="I738">
        <v>1.09412</v>
      </c>
      <c r="J738" s="1">
        <v>45663</v>
      </c>
      <c r="K738" s="3">
        <v>-9.3326143384637905E-2</v>
      </c>
      <c r="L738">
        <v>2238100221</v>
      </c>
      <c r="M738" s="2" t="s">
        <v>10</v>
      </c>
    </row>
    <row r="739" spans="1:13" x14ac:dyDescent="0.3">
      <c r="A739" s="1">
        <v>45665</v>
      </c>
      <c r="B739" s="2" t="s">
        <v>9</v>
      </c>
      <c r="C739">
        <v>0.99202000000000001</v>
      </c>
      <c r="D739">
        <v>1.02128</v>
      </c>
      <c r="E739">
        <v>0.91359000000000001</v>
      </c>
      <c r="F739">
        <v>0.94803000000000004</v>
      </c>
      <c r="G739">
        <f>_xlfn.MAXIFS(Crypto[Close],Crypto[Name],Crypto[[#This Row],[Name]],Crypto[Date],"&lt;="&amp;Crypto[[#This Row],[Date]])</f>
        <v>1.09412</v>
      </c>
      <c r="H739" s="3">
        <f>(Crypto[[#This Row],[Close]]/Crypto[[#This Row],[Peak Close]])-1</f>
        <v>-0.13352283113369645</v>
      </c>
      <c r="I739">
        <v>0.99200999999999995</v>
      </c>
      <c r="J739" s="1">
        <v>45664</v>
      </c>
      <c r="K739" s="3">
        <v>-4.4334230501708601E-2</v>
      </c>
      <c r="L739">
        <v>1978552965</v>
      </c>
      <c r="M739" s="2" t="s">
        <v>10</v>
      </c>
    </row>
    <row r="740" spans="1:13" x14ac:dyDescent="0.3">
      <c r="A740" s="1">
        <v>45666</v>
      </c>
      <c r="B740" s="2" t="s">
        <v>9</v>
      </c>
      <c r="C740">
        <v>0.94801999999999997</v>
      </c>
      <c r="D740">
        <v>0.95828000000000002</v>
      </c>
      <c r="E740">
        <v>0.88375999999999999</v>
      </c>
      <c r="F740">
        <v>0.90598999999999996</v>
      </c>
      <c r="G740">
        <f>_xlfn.MAXIFS(Crypto[Close],Crypto[Name],Crypto[[#This Row],[Name]],Crypto[Date],"&lt;="&amp;Crypto[[#This Row],[Date]])</f>
        <v>1.09412</v>
      </c>
      <c r="H740" s="3">
        <f>(Crypto[[#This Row],[Close]]/Crypto[[#This Row],[Peak Close]])-1</f>
        <v>-0.17194640441633458</v>
      </c>
      <c r="I740">
        <v>0.94803000000000004</v>
      </c>
      <c r="J740" s="1">
        <v>45665</v>
      </c>
      <c r="K740" s="3">
        <v>-4.4344588251426703E-2</v>
      </c>
      <c r="L740">
        <v>1351715573</v>
      </c>
      <c r="M740" s="2" t="s">
        <v>10</v>
      </c>
    </row>
    <row r="741" spans="1:13" x14ac:dyDescent="0.3">
      <c r="A741" s="1">
        <v>45667</v>
      </c>
      <c r="B741" s="2" t="s">
        <v>9</v>
      </c>
      <c r="C741">
        <v>0.90598999999999996</v>
      </c>
      <c r="D741">
        <v>0.97177000000000002</v>
      </c>
      <c r="E741">
        <v>0.90564999999999996</v>
      </c>
      <c r="F741">
        <v>0.93145</v>
      </c>
      <c r="G741">
        <f>_xlfn.MAXIFS(Crypto[Close],Crypto[Name],Crypto[[#This Row],[Name]],Crypto[Date],"&lt;="&amp;Crypto[[#This Row],[Date]])</f>
        <v>1.09412</v>
      </c>
      <c r="H741" s="3">
        <f>(Crypto[[#This Row],[Close]]/Crypto[[#This Row],[Peak Close]])-1</f>
        <v>-0.14867656198588819</v>
      </c>
      <c r="I741">
        <v>0.90598999999999996</v>
      </c>
      <c r="J741" s="1">
        <v>45666</v>
      </c>
      <c r="K741" s="3">
        <v>2.8101855428867901E-2</v>
      </c>
      <c r="L741">
        <v>1252358898</v>
      </c>
      <c r="M741" s="2" t="s">
        <v>10</v>
      </c>
    </row>
    <row r="742" spans="1:13" x14ac:dyDescent="0.3">
      <c r="A742" s="1">
        <v>45668</v>
      </c>
      <c r="B742" s="2" t="s">
        <v>9</v>
      </c>
      <c r="C742">
        <v>0.93145</v>
      </c>
      <c r="D742">
        <v>1.01294</v>
      </c>
      <c r="E742">
        <v>0.91644999999999999</v>
      </c>
      <c r="F742">
        <v>0.99451999999999996</v>
      </c>
      <c r="G742">
        <f>_xlfn.MAXIFS(Crypto[Close],Crypto[Name],Crypto[[#This Row],[Name]],Crypto[Date],"&lt;="&amp;Crypto[[#This Row],[Date]])</f>
        <v>1.09412</v>
      </c>
      <c r="H742" s="3">
        <f>(Crypto[[#This Row],[Close]]/Crypto[[#This Row],[Peak Close]])-1</f>
        <v>-9.1032062296640293E-2</v>
      </c>
      <c r="I742">
        <v>0.93145</v>
      </c>
      <c r="J742" s="1">
        <v>45667</v>
      </c>
      <c r="K742" s="3">
        <v>6.7711632401094998E-2</v>
      </c>
      <c r="L742">
        <v>888877434</v>
      </c>
      <c r="M742" s="2" t="s">
        <v>10</v>
      </c>
    </row>
    <row r="743" spans="1:13" x14ac:dyDescent="0.3">
      <c r="A743" s="1">
        <v>45669</v>
      </c>
      <c r="B743" s="2" t="s">
        <v>9</v>
      </c>
      <c r="C743">
        <v>0.99448999999999999</v>
      </c>
      <c r="D743">
        <v>1.03457</v>
      </c>
      <c r="E743">
        <v>0.96367000000000003</v>
      </c>
      <c r="F743">
        <v>0.96855000000000002</v>
      </c>
      <c r="G743">
        <f>_xlfn.MAXIFS(Crypto[Close],Crypto[Name],Crypto[[#This Row],[Name]],Crypto[Date],"&lt;="&amp;Crypto[[#This Row],[Date]])</f>
        <v>1.09412</v>
      </c>
      <c r="H743" s="3">
        <f>(Crypto[[#This Row],[Close]]/Crypto[[#This Row],[Peak Close]])-1</f>
        <v>-0.11476803275691871</v>
      </c>
      <c r="I743">
        <v>0.99451999999999996</v>
      </c>
      <c r="J743" s="1">
        <v>45668</v>
      </c>
      <c r="K743" s="3">
        <v>-2.6113099786831798E-2</v>
      </c>
      <c r="L743">
        <v>1120377628</v>
      </c>
      <c r="M743" s="2" t="s">
        <v>10</v>
      </c>
    </row>
    <row r="744" spans="1:13" x14ac:dyDescent="0.3">
      <c r="A744" s="1">
        <v>45670</v>
      </c>
      <c r="B744" s="2" t="s">
        <v>9</v>
      </c>
      <c r="C744">
        <v>0.96853</v>
      </c>
      <c r="D744">
        <v>0.99104999999999999</v>
      </c>
      <c r="E744">
        <v>0.88934000000000002</v>
      </c>
      <c r="F744">
        <v>0.94474000000000002</v>
      </c>
      <c r="G744">
        <f>_xlfn.MAXIFS(Crypto[Close],Crypto[Name],Crypto[[#This Row],[Name]],Crypto[Date],"&lt;="&amp;Crypto[[#This Row],[Date]])</f>
        <v>1.09412</v>
      </c>
      <c r="H744" s="3">
        <f>(Crypto[[#This Row],[Close]]/Crypto[[#This Row],[Peak Close]])-1</f>
        <v>-0.13652981391437868</v>
      </c>
      <c r="I744">
        <v>0.96855000000000002</v>
      </c>
      <c r="J744" s="1">
        <v>45669</v>
      </c>
      <c r="K744" s="3">
        <v>-2.4583139744979599E-2</v>
      </c>
      <c r="L744">
        <v>1532120555</v>
      </c>
      <c r="M744" s="2" t="s">
        <v>10</v>
      </c>
    </row>
    <row r="745" spans="1:13" x14ac:dyDescent="0.3">
      <c r="A745" s="1">
        <v>45671</v>
      </c>
      <c r="B745" s="2" t="s">
        <v>9</v>
      </c>
      <c r="C745">
        <v>0.94474000000000002</v>
      </c>
      <c r="D745">
        <v>1.0068999999999999</v>
      </c>
      <c r="E745">
        <v>0.94011999999999996</v>
      </c>
      <c r="F745">
        <v>0.99490999999999996</v>
      </c>
      <c r="G745">
        <f>_xlfn.MAXIFS(Crypto[Close],Crypto[Name],Crypto[[#This Row],[Name]],Crypto[Date],"&lt;="&amp;Crypto[[#This Row],[Date]])</f>
        <v>1.09412</v>
      </c>
      <c r="H745" s="3">
        <f>(Crypto[[#This Row],[Close]]/Crypto[[#This Row],[Peak Close]])-1</f>
        <v>-9.067561145029801E-2</v>
      </c>
      <c r="I745">
        <v>0.94474000000000002</v>
      </c>
      <c r="J745" s="1">
        <v>45670</v>
      </c>
      <c r="K745" s="3">
        <v>5.31045578677731E-2</v>
      </c>
      <c r="L745">
        <v>1119015701</v>
      </c>
      <c r="M745" s="2" t="s">
        <v>10</v>
      </c>
    </row>
    <row r="746" spans="1:13" x14ac:dyDescent="0.3">
      <c r="A746" s="1">
        <v>45672</v>
      </c>
      <c r="B746" s="2" t="s">
        <v>9</v>
      </c>
      <c r="C746">
        <v>0.99490999999999996</v>
      </c>
      <c r="D746">
        <v>1.0837699999999999</v>
      </c>
      <c r="E746">
        <v>0.99097999999999997</v>
      </c>
      <c r="F746">
        <v>1.0791500000000001</v>
      </c>
      <c r="G746">
        <f>_xlfn.MAXIFS(Crypto[Close],Crypto[Name],Crypto[[#This Row],[Name]],Crypto[Date],"&lt;="&amp;Crypto[[#This Row],[Date]])</f>
        <v>1.09412</v>
      </c>
      <c r="H746" s="3">
        <f>(Crypto[[#This Row],[Close]]/Crypto[[#This Row],[Peak Close]])-1</f>
        <v>-1.3682228640368499E-2</v>
      </c>
      <c r="I746">
        <v>0.99490999999999996</v>
      </c>
      <c r="J746" s="1">
        <v>45671</v>
      </c>
      <c r="K746" s="3">
        <v>8.4670975264094395E-2</v>
      </c>
      <c r="L746">
        <v>2210962210</v>
      </c>
      <c r="M746" s="2" t="s">
        <v>10</v>
      </c>
    </row>
    <row r="747" spans="1:13" x14ac:dyDescent="0.3">
      <c r="A747" s="1">
        <v>45673</v>
      </c>
      <c r="B747" s="2" t="s">
        <v>9</v>
      </c>
      <c r="C747">
        <v>1.0790900000000001</v>
      </c>
      <c r="D747">
        <v>1.13961</v>
      </c>
      <c r="E747">
        <v>1.0301800000000001</v>
      </c>
      <c r="F747">
        <v>1.0901000000000001</v>
      </c>
      <c r="G747">
        <f>_xlfn.MAXIFS(Crypto[Close],Crypto[Name],Crypto[[#This Row],[Name]],Crypto[Date],"&lt;="&amp;Crypto[[#This Row],[Date]])</f>
        <v>1.09412</v>
      </c>
      <c r="H747" s="3">
        <f>(Crypto[[#This Row],[Close]]/Crypto[[#This Row],[Peak Close]])-1</f>
        <v>-3.6741856469124645E-3</v>
      </c>
      <c r="I747">
        <v>1.0791500000000001</v>
      </c>
      <c r="J747" s="1">
        <v>45672</v>
      </c>
      <c r="K747" s="3">
        <v>1.0146874855210101E-2</v>
      </c>
      <c r="L747">
        <v>2245926187</v>
      </c>
      <c r="M747" s="2" t="s">
        <v>10</v>
      </c>
    </row>
    <row r="748" spans="1:13" x14ac:dyDescent="0.3">
      <c r="A748" s="1">
        <v>45674</v>
      </c>
      <c r="B748" s="2" t="s">
        <v>9</v>
      </c>
      <c r="C748">
        <v>1.09009</v>
      </c>
      <c r="D748">
        <v>1.16367</v>
      </c>
      <c r="E748">
        <v>1.08822</v>
      </c>
      <c r="F748">
        <v>1.1351199999999999</v>
      </c>
      <c r="G748">
        <f>_xlfn.MAXIFS(Crypto[Close],Crypto[Name],Crypto[[#This Row],[Name]],Crypto[Date],"&lt;="&amp;Crypto[[#This Row],[Date]])</f>
        <v>1.1351199999999999</v>
      </c>
      <c r="H748" s="3">
        <f>(Crypto[[#This Row],[Close]]/Crypto[[#This Row],[Peak Close]])-1</f>
        <v>0</v>
      </c>
      <c r="I748">
        <v>1.0901000000000001</v>
      </c>
      <c r="J748" s="1">
        <v>45673</v>
      </c>
      <c r="K748" s="3">
        <v>4.12989633978533E-2</v>
      </c>
      <c r="L748">
        <v>1819221213</v>
      </c>
      <c r="M748" s="2" t="s">
        <v>10</v>
      </c>
    </row>
    <row r="749" spans="1:13" x14ac:dyDescent="0.3">
      <c r="A749" s="1">
        <v>45675</v>
      </c>
      <c r="B749" s="2" t="s">
        <v>9</v>
      </c>
      <c r="C749">
        <v>1.1351100000000001</v>
      </c>
      <c r="D749">
        <v>1.14361</v>
      </c>
      <c r="E749">
        <v>1.05263</v>
      </c>
      <c r="F749">
        <v>1.1020700000000001</v>
      </c>
      <c r="G749">
        <f>_xlfn.MAXIFS(Crypto[Close],Crypto[Name],Crypto[[#This Row],[Name]],Crypto[Date],"&lt;="&amp;Crypto[[#This Row],[Date]])</f>
        <v>1.1351199999999999</v>
      </c>
      <c r="H749" s="3">
        <f>(Crypto[[#This Row],[Close]]/Crypto[[#This Row],[Peak Close]])-1</f>
        <v>-2.9115864402001423E-2</v>
      </c>
      <c r="I749">
        <v>1.1351199999999999</v>
      </c>
      <c r="J749" s="1">
        <v>45674</v>
      </c>
      <c r="K749" s="3">
        <v>-2.9115864402001399E-2</v>
      </c>
      <c r="L749">
        <v>1614350854</v>
      </c>
      <c r="M749" s="2" t="s">
        <v>10</v>
      </c>
    </row>
    <row r="750" spans="1:13" x14ac:dyDescent="0.3">
      <c r="A750" s="1">
        <v>45676</v>
      </c>
      <c r="B750" s="2" t="s">
        <v>9</v>
      </c>
      <c r="C750">
        <v>1.10205</v>
      </c>
      <c r="D750">
        <v>1.1474599999999999</v>
      </c>
      <c r="E750">
        <v>0.97811000000000003</v>
      </c>
      <c r="F750">
        <v>0.99119000000000002</v>
      </c>
      <c r="G750">
        <f>_xlfn.MAXIFS(Crypto[Close],Crypto[Name],Crypto[[#This Row],[Name]],Crypto[Date],"&lt;="&amp;Crypto[[#This Row],[Date]])</f>
        <v>1.1351199999999999</v>
      </c>
      <c r="H750" s="3">
        <f>(Crypto[[#This Row],[Close]]/Crypto[[#This Row],[Peak Close]])-1</f>
        <v>-0.12679716681936704</v>
      </c>
      <c r="I750">
        <v>1.1020700000000001</v>
      </c>
      <c r="J750" s="1">
        <v>45675</v>
      </c>
      <c r="K750" s="3">
        <v>-0.100610669013765</v>
      </c>
      <c r="L750">
        <v>2978644563</v>
      </c>
      <c r="M750" s="2" t="s">
        <v>10</v>
      </c>
    </row>
    <row r="751" spans="1:13" x14ac:dyDescent="0.3">
      <c r="A751" s="1">
        <v>45677</v>
      </c>
      <c r="B751" s="2" t="s">
        <v>9</v>
      </c>
      <c r="C751">
        <v>0.99117</v>
      </c>
      <c r="D751">
        <v>1.0967</v>
      </c>
      <c r="E751">
        <v>0.96884999999999999</v>
      </c>
      <c r="F751">
        <v>1.00864</v>
      </c>
      <c r="G751">
        <f>_xlfn.MAXIFS(Crypto[Close],Crypto[Name],Crypto[[#This Row],[Name]],Crypto[Date],"&lt;="&amp;Crypto[[#This Row],[Date]])</f>
        <v>1.1351199999999999</v>
      </c>
      <c r="H751" s="3">
        <f>(Crypto[[#This Row],[Close]]/Crypto[[#This Row],[Peak Close]])-1</f>
        <v>-0.11142434280076108</v>
      </c>
      <c r="I751">
        <v>0.99119000000000002</v>
      </c>
      <c r="J751" s="1">
        <v>45676</v>
      </c>
      <c r="K751" s="3">
        <v>1.7605100939275E-2</v>
      </c>
      <c r="L751">
        <v>2754988266</v>
      </c>
      <c r="M751" s="2" t="s">
        <v>10</v>
      </c>
    </row>
    <row r="752" spans="1:13" x14ac:dyDescent="0.3">
      <c r="A752" s="1">
        <v>45678</v>
      </c>
      <c r="B752" s="2" t="s">
        <v>9</v>
      </c>
      <c r="C752">
        <v>1.0086599999999999</v>
      </c>
      <c r="D752">
        <v>1.0269299999999999</v>
      </c>
      <c r="E752">
        <v>0.95509999999999995</v>
      </c>
      <c r="F752">
        <v>1.00465</v>
      </c>
      <c r="G752">
        <f>_xlfn.MAXIFS(Crypto[Close],Crypto[Name],Crypto[[#This Row],[Name]],Crypto[Date],"&lt;="&amp;Crypto[[#This Row],[Date]])</f>
        <v>1.1351199999999999</v>
      </c>
      <c r="H752" s="3">
        <f>(Crypto[[#This Row],[Close]]/Crypto[[#This Row],[Peak Close]])-1</f>
        <v>-0.11493938966805262</v>
      </c>
      <c r="I752">
        <v>1.00864</v>
      </c>
      <c r="J752" s="1">
        <v>45677</v>
      </c>
      <c r="K752" s="3">
        <v>-3.9558217005075504E-3</v>
      </c>
      <c r="L752">
        <v>1689540931</v>
      </c>
      <c r="M752" s="2" t="s">
        <v>10</v>
      </c>
    </row>
    <row r="753" spans="1:13" x14ac:dyDescent="0.3">
      <c r="A753" s="1">
        <v>45679</v>
      </c>
      <c r="B753" s="2" t="s">
        <v>9</v>
      </c>
      <c r="C753">
        <v>1.00465</v>
      </c>
      <c r="D753">
        <v>1.0159899999999999</v>
      </c>
      <c r="E753">
        <v>0.97943000000000002</v>
      </c>
      <c r="F753">
        <v>0.98163999999999996</v>
      </c>
      <c r="G753">
        <f>_xlfn.MAXIFS(Crypto[Close],Crypto[Name],Crypto[[#This Row],[Name]],Crypto[Date],"&lt;="&amp;Crypto[[#This Row],[Date]])</f>
        <v>1.1351199999999999</v>
      </c>
      <c r="H753" s="3">
        <f>(Crypto[[#This Row],[Close]]/Crypto[[#This Row],[Peak Close]])-1</f>
        <v>-0.13521037423356119</v>
      </c>
      <c r="I753">
        <v>1.00465</v>
      </c>
      <c r="J753" s="1">
        <v>45678</v>
      </c>
      <c r="K753" s="3">
        <v>-2.29034987309014E-2</v>
      </c>
      <c r="L753">
        <v>973043309</v>
      </c>
      <c r="M753" s="2" t="s">
        <v>10</v>
      </c>
    </row>
    <row r="754" spans="1:13" x14ac:dyDescent="0.3">
      <c r="A754" s="1">
        <v>45680</v>
      </c>
      <c r="B754" s="2" t="s">
        <v>9</v>
      </c>
      <c r="C754">
        <v>0.98163999999999996</v>
      </c>
      <c r="D754">
        <v>1.00664</v>
      </c>
      <c r="E754">
        <v>0.95374999999999999</v>
      </c>
      <c r="F754">
        <v>0.98748999999999998</v>
      </c>
      <c r="G754">
        <f>_xlfn.MAXIFS(Crypto[Close],Crypto[Name],Crypto[[#This Row],[Name]],Crypto[Date],"&lt;="&amp;Crypto[[#This Row],[Date]])</f>
        <v>1.1351199999999999</v>
      </c>
      <c r="H754" s="3">
        <f>(Crypto[[#This Row],[Close]]/Crypto[[#This Row],[Peak Close]])-1</f>
        <v>-0.1300567340897878</v>
      </c>
      <c r="I754">
        <v>0.98163999999999996</v>
      </c>
      <c r="J754" s="1">
        <v>45679</v>
      </c>
      <c r="K754" s="3">
        <v>5.9594148567703202E-3</v>
      </c>
      <c r="L754">
        <v>1176052467</v>
      </c>
      <c r="M754" s="2" t="s">
        <v>10</v>
      </c>
    </row>
    <row r="755" spans="1:13" x14ac:dyDescent="0.3">
      <c r="A755" s="1">
        <v>45681</v>
      </c>
      <c r="B755" s="2" t="s">
        <v>9</v>
      </c>
      <c r="C755">
        <v>0.98746</v>
      </c>
      <c r="D755">
        <v>1.0071099999999999</v>
      </c>
      <c r="E755">
        <v>0.96619999999999995</v>
      </c>
      <c r="F755">
        <v>0.97148999999999996</v>
      </c>
      <c r="G755">
        <f>_xlfn.MAXIFS(Crypto[Close],Crypto[Name],Crypto[[#This Row],[Name]],Crypto[Date],"&lt;="&amp;Crypto[[#This Row],[Date]])</f>
        <v>1.1351199999999999</v>
      </c>
      <c r="H755" s="3">
        <f>(Crypto[[#This Row],[Close]]/Crypto[[#This Row],[Peak Close]])-1</f>
        <v>-0.14415216012403975</v>
      </c>
      <c r="I755">
        <v>0.98748999999999998</v>
      </c>
      <c r="J755" s="1">
        <v>45680</v>
      </c>
      <c r="K755" s="3">
        <v>-1.6202695723500998E-2</v>
      </c>
      <c r="L755">
        <v>899623660</v>
      </c>
      <c r="M755" s="2" t="s">
        <v>10</v>
      </c>
    </row>
    <row r="756" spans="1:13" x14ac:dyDescent="0.3">
      <c r="A756" s="1">
        <v>45682</v>
      </c>
      <c r="B756" s="2" t="s">
        <v>9</v>
      </c>
      <c r="C756">
        <v>0.97150000000000003</v>
      </c>
      <c r="D756">
        <v>0.99021000000000003</v>
      </c>
      <c r="E756">
        <v>0.96618000000000004</v>
      </c>
      <c r="F756">
        <v>0.97726999999999997</v>
      </c>
      <c r="G756">
        <f>_xlfn.MAXIFS(Crypto[Close],Crypto[Name],Crypto[[#This Row],[Name]],Crypto[Date],"&lt;="&amp;Crypto[[#This Row],[Date]])</f>
        <v>1.1351199999999999</v>
      </c>
      <c r="H756" s="3">
        <f>(Crypto[[#This Row],[Close]]/Crypto[[#This Row],[Peak Close]])-1</f>
        <v>-0.13906018746916626</v>
      </c>
      <c r="I756">
        <v>0.97148999999999996</v>
      </c>
      <c r="J756" s="1">
        <v>45681</v>
      </c>
      <c r="K756" s="3">
        <v>5.94962377379078E-3</v>
      </c>
      <c r="L756">
        <v>518321010</v>
      </c>
      <c r="M756" s="2" t="s">
        <v>10</v>
      </c>
    </row>
    <row r="757" spans="1:13" x14ac:dyDescent="0.3">
      <c r="A757" s="1">
        <v>45683</v>
      </c>
      <c r="B757" s="2" t="s">
        <v>9</v>
      </c>
      <c r="C757">
        <v>0.97726999999999997</v>
      </c>
      <c r="D757">
        <v>0.99921000000000004</v>
      </c>
      <c r="E757">
        <v>0.95486000000000004</v>
      </c>
      <c r="F757">
        <v>0.95486000000000004</v>
      </c>
      <c r="G757">
        <f>_xlfn.MAXIFS(Crypto[Close],Crypto[Name],Crypto[[#This Row],[Name]],Crypto[Date],"&lt;="&amp;Crypto[[#This Row],[Date]])</f>
        <v>1.1351199999999999</v>
      </c>
      <c r="H757" s="3">
        <f>(Crypto[[#This Row],[Close]]/Crypto[[#This Row],[Peak Close]])-1</f>
        <v>-0.15880259355839021</v>
      </c>
      <c r="I757">
        <v>0.97726999999999997</v>
      </c>
      <c r="J757" s="1">
        <v>45682</v>
      </c>
      <c r="K757" s="3">
        <v>-2.29312267848189E-2</v>
      </c>
      <c r="L757">
        <v>558478883</v>
      </c>
      <c r="M757" s="2" t="s">
        <v>10</v>
      </c>
    </row>
    <row r="758" spans="1:13" x14ac:dyDescent="0.3">
      <c r="A758" s="1">
        <v>45684</v>
      </c>
      <c r="B758" s="2" t="s">
        <v>9</v>
      </c>
      <c r="C758">
        <v>0.95482</v>
      </c>
      <c r="D758">
        <v>0.95681000000000005</v>
      </c>
      <c r="E758">
        <v>0.86877000000000004</v>
      </c>
      <c r="F758">
        <v>0.93293999999999999</v>
      </c>
      <c r="G758">
        <f>_xlfn.MAXIFS(Crypto[Close],Crypto[Name],Crypto[[#This Row],[Name]],Crypto[Date],"&lt;="&amp;Crypto[[#This Row],[Date]])</f>
        <v>1.1351199999999999</v>
      </c>
      <c r="H758" s="3">
        <f>(Crypto[[#This Row],[Close]]/Crypto[[#This Row],[Peak Close]])-1</f>
        <v>-0.17811332722531537</v>
      </c>
      <c r="I758">
        <v>0.95486000000000004</v>
      </c>
      <c r="J758" s="1">
        <v>45683</v>
      </c>
      <c r="K758" s="3">
        <v>-2.2956244894539599E-2</v>
      </c>
      <c r="L758">
        <v>1388103697</v>
      </c>
      <c r="M758" s="2" t="s">
        <v>10</v>
      </c>
    </row>
    <row r="759" spans="1:13" x14ac:dyDescent="0.3">
      <c r="A759" s="1">
        <v>45685</v>
      </c>
      <c r="B759" s="2" t="s">
        <v>9</v>
      </c>
      <c r="C759">
        <v>0.93294999999999995</v>
      </c>
      <c r="D759">
        <v>0.96706999999999999</v>
      </c>
      <c r="E759">
        <v>0.90505000000000002</v>
      </c>
      <c r="F759">
        <v>0.91610999999999998</v>
      </c>
      <c r="G759">
        <f>_xlfn.MAXIFS(Crypto[Close],Crypto[Name],Crypto[[#This Row],[Name]],Crypto[Date],"&lt;="&amp;Crypto[[#This Row],[Date]])</f>
        <v>1.1351199999999999</v>
      </c>
      <c r="H759" s="3">
        <f>(Crypto[[#This Row],[Close]]/Crypto[[#This Row],[Peak Close]])-1</f>
        <v>-0.19293995348509407</v>
      </c>
      <c r="I759">
        <v>0.93293999999999999</v>
      </c>
      <c r="J759" s="1">
        <v>45684</v>
      </c>
      <c r="K759" s="3">
        <v>-1.8039745321242501E-2</v>
      </c>
      <c r="L759">
        <v>768281216</v>
      </c>
      <c r="M759" s="2" t="s">
        <v>10</v>
      </c>
    </row>
    <row r="760" spans="1:13" x14ac:dyDescent="0.3">
      <c r="A760" s="1">
        <v>45686</v>
      </c>
      <c r="B760" s="2" t="s">
        <v>9</v>
      </c>
      <c r="C760">
        <v>0.91610999999999998</v>
      </c>
      <c r="D760">
        <v>0.95835999999999999</v>
      </c>
      <c r="E760">
        <v>0.90522000000000002</v>
      </c>
      <c r="F760">
        <v>0.94113000000000002</v>
      </c>
      <c r="G760">
        <f>_xlfn.MAXIFS(Crypto[Close],Crypto[Name],Crypto[[#This Row],[Name]],Crypto[Date],"&lt;="&amp;Crypto[[#This Row],[Date]])</f>
        <v>1.1351199999999999</v>
      </c>
      <c r="H760" s="3">
        <f>(Crypto[[#This Row],[Close]]/Crypto[[#This Row],[Peak Close]])-1</f>
        <v>-0.17089823102403257</v>
      </c>
      <c r="I760">
        <v>0.91610999999999998</v>
      </c>
      <c r="J760" s="1">
        <v>45685</v>
      </c>
      <c r="K760" s="3">
        <v>2.73111307594067E-2</v>
      </c>
      <c r="L760">
        <v>819481985</v>
      </c>
      <c r="M760" s="2" t="s">
        <v>10</v>
      </c>
    </row>
    <row r="761" spans="1:13" x14ac:dyDescent="0.3">
      <c r="A761" s="1">
        <v>45687</v>
      </c>
      <c r="B761" s="2" t="s">
        <v>9</v>
      </c>
      <c r="C761">
        <v>0.94113999999999998</v>
      </c>
      <c r="D761">
        <v>0.98624999999999996</v>
      </c>
      <c r="E761">
        <v>0.93869999999999998</v>
      </c>
      <c r="F761">
        <v>0.96101000000000003</v>
      </c>
      <c r="G761">
        <f>_xlfn.MAXIFS(Crypto[Close],Crypto[Name],Crypto[[#This Row],[Name]],Crypto[Date],"&lt;="&amp;Crypto[[#This Row],[Date]])</f>
        <v>1.1351199999999999</v>
      </c>
      <c r="H761" s="3">
        <f>(Crypto[[#This Row],[Close]]/Crypto[[#This Row],[Peak Close]])-1</f>
        <v>-0.15338466417647467</v>
      </c>
      <c r="I761">
        <v>0.94113000000000002</v>
      </c>
      <c r="J761" s="1">
        <v>45686</v>
      </c>
      <c r="K761" s="3">
        <v>2.1123542974934399E-2</v>
      </c>
      <c r="L761">
        <v>626612172</v>
      </c>
      <c r="M761" s="2" t="s">
        <v>10</v>
      </c>
    </row>
    <row r="762" spans="1:13" x14ac:dyDescent="0.3">
      <c r="A762" s="1">
        <v>45688</v>
      </c>
      <c r="B762" s="2" t="s">
        <v>9</v>
      </c>
      <c r="C762">
        <v>0.96101000000000003</v>
      </c>
      <c r="D762">
        <v>0.9819</v>
      </c>
      <c r="E762">
        <v>0.93686000000000003</v>
      </c>
      <c r="F762">
        <v>0.94223000000000001</v>
      </c>
      <c r="G762">
        <f>_xlfn.MAXIFS(Crypto[Close],Crypto[Name],Crypto[[#This Row],[Name]],Crypto[Date],"&lt;="&amp;Crypto[[#This Row],[Date]])</f>
        <v>1.1351199999999999</v>
      </c>
      <c r="H762" s="3">
        <f>(Crypto[[#This Row],[Close]]/Crypto[[#This Row],[Peak Close]])-1</f>
        <v>-0.16992917048417777</v>
      </c>
      <c r="I762">
        <v>0.96101000000000003</v>
      </c>
      <c r="J762" s="1">
        <v>45687</v>
      </c>
      <c r="K762" s="3">
        <v>-1.95419402503616E-2</v>
      </c>
      <c r="L762">
        <v>700669655</v>
      </c>
      <c r="M762" s="2" t="s">
        <v>10</v>
      </c>
    </row>
    <row r="763" spans="1:13" x14ac:dyDescent="0.3">
      <c r="A763" s="1">
        <v>45689</v>
      </c>
      <c r="B763" s="2" t="s">
        <v>9</v>
      </c>
      <c r="C763">
        <v>0.94223000000000001</v>
      </c>
      <c r="D763">
        <v>0.95604999999999996</v>
      </c>
      <c r="E763">
        <v>0.89093999999999995</v>
      </c>
      <c r="F763">
        <v>0.89793999999999996</v>
      </c>
      <c r="G763">
        <f>_xlfn.MAXIFS(Crypto[Close],Crypto[Name],Crypto[[#This Row],[Name]],Crypto[Date],"&lt;="&amp;Crypto[[#This Row],[Date]])</f>
        <v>1.1351199999999999</v>
      </c>
      <c r="H763" s="3">
        <f>(Crypto[[#This Row],[Close]]/Crypto[[#This Row],[Peak Close]])-1</f>
        <v>-0.2089470716752414</v>
      </c>
      <c r="I763">
        <v>0.94223000000000001</v>
      </c>
      <c r="J763" s="1">
        <v>45688</v>
      </c>
      <c r="K763" s="3">
        <v>-4.7005508209248301E-2</v>
      </c>
      <c r="L763">
        <v>576044613</v>
      </c>
      <c r="M763" s="2" t="s">
        <v>10</v>
      </c>
    </row>
    <row r="764" spans="1:13" x14ac:dyDescent="0.3">
      <c r="A764" s="1">
        <v>45690</v>
      </c>
      <c r="B764" s="2" t="s">
        <v>9</v>
      </c>
      <c r="C764">
        <v>0.89793000000000001</v>
      </c>
      <c r="D764">
        <v>0.90973000000000004</v>
      </c>
      <c r="E764">
        <v>0.77107999999999999</v>
      </c>
      <c r="F764">
        <v>0.80174000000000001</v>
      </c>
      <c r="G764">
        <f>_xlfn.MAXIFS(Crypto[Close],Crypto[Name],Crypto[[#This Row],[Name]],Crypto[Date],"&lt;="&amp;Crypto[[#This Row],[Date]])</f>
        <v>1.1351199999999999</v>
      </c>
      <c r="H764" s="3">
        <f>(Crypto[[#This Row],[Close]]/Crypto[[#This Row],[Peak Close]])-1</f>
        <v>-0.29369582070618083</v>
      </c>
      <c r="I764">
        <v>0.89793999999999996</v>
      </c>
      <c r="J764" s="1">
        <v>45689</v>
      </c>
      <c r="K764" s="3">
        <v>-0.107134106955921</v>
      </c>
      <c r="L764">
        <v>1554294076</v>
      </c>
      <c r="M764" s="2" t="s">
        <v>10</v>
      </c>
    </row>
    <row r="765" spans="1:13" x14ac:dyDescent="0.3">
      <c r="A765" s="1">
        <v>45691</v>
      </c>
      <c r="B765" s="2" t="s">
        <v>9</v>
      </c>
      <c r="C765">
        <v>0.80174999999999996</v>
      </c>
      <c r="D765">
        <v>0.82299999999999995</v>
      </c>
      <c r="E765">
        <v>0.56484000000000001</v>
      </c>
      <c r="F765">
        <v>0.81155999999999995</v>
      </c>
      <c r="G765">
        <f>_xlfn.MAXIFS(Crypto[Close],Crypto[Name],Crypto[[#This Row],[Name]],Crypto[Date],"&lt;="&amp;Crypto[[#This Row],[Date]])</f>
        <v>1.1351199999999999</v>
      </c>
      <c r="H765" s="3">
        <f>(Crypto[[#This Row],[Close]]/Crypto[[#This Row],[Peak Close]])-1</f>
        <v>-0.28504475297765874</v>
      </c>
      <c r="I765">
        <v>0.80174000000000001</v>
      </c>
      <c r="J765" s="1">
        <v>45690</v>
      </c>
      <c r="K765" s="3">
        <v>1.22483598173971E-2</v>
      </c>
      <c r="L765">
        <v>4694160143</v>
      </c>
      <c r="M765" s="2" t="s">
        <v>10</v>
      </c>
    </row>
    <row r="766" spans="1:13" x14ac:dyDescent="0.3">
      <c r="A766" s="1">
        <v>45692</v>
      </c>
      <c r="B766" s="2" t="s">
        <v>9</v>
      </c>
      <c r="C766">
        <v>0.81155999999999995</v>
      </c>
      <c r="D766">
        <v>0.81842999999999999</v>
      </c>
      <c r="E766">
        <v>0.71902999999999995</v>
      </c>
      <c r="F766">
        <v>0.74634</v>
      </c>
      <c r="G766">
        <f>_xlfn.MAXIFS(Crypto[Close],Crypto[Name],Crypto[[#This Row],[Name]],Crypto[Date],"&lt;="&amp;Crypto[[#This Row],[Date]])</f>
        <v>1.1351199999999999</v>
      </c>
      <c r="H766" s="3">
        <f>(Crypto[[#This Row],[Close]]/Crypto[[#This Row],[Peak Close]])-1</f>
        <v>-0.34250123334977789</v>
      </c>
      <c r="I766">
        <v>0.81155999999999995</v>
      </c>
      <c r="J766" s="1">
        <v>45691</v>
      </c>
      <c r="K766" s="3">
        <v>-8.0363743900635803E-2</v>
      </c>
      <c r="L766">
        <v>1601678503</v>
      </c>
      <c r="M766" s="2" t="s">
        <v>10</v>
      </c>
    </row>
    <row r="767" spans="1:13" x14ac:dyDescent="0.3">
      <c r="A767" s="1">
        <v>45693</v>
      </c>
      <c r="B767" s="2" t="s">
        <v>9</v>
      </c>
      <c r="C767">
        <v>0.74633000000000005</v>
      </c>
      <c r="D767">
        <v>0.77408999999999994</v>
      </c>
      <c r="E767">
        <v>0.72894999999999999</v>
      </c>
      <c r="F767">
        <v>0.73321000000000003</v>
      </c>
      <c r="G767">
        <f>_xlfn.MAXIFS(Crypto[Close],Crypto[Name],Crypto[[#This Row],[Name]],Crypto[Date],"&lt;="&amp;Crypto[[#This Row],[Date]])</f>
        <v>1.1351199999999999</v>
      </c>
      <c r="H767" s="3">
        <f>(Crypto[[#This Row],[Close]]/Crypto[[#This Row],[Peak Close]])-1</f>
        <v>-0.35406829233913584</v>
      </c>
      <c r="I767">
        <v>0.74634</v>
      </c>
      <c r="J767" s="1">
        <v>45692</v>
      </c>
      <c r="K767" s="3">
        <v>-1.7592518155264299E-2</v>
      </c>
      <c r="L767">
        <v>840128547</v>
      </c>
      <c r="M767" s="2" t="s">
        <v>10</v>
      </c>
    </row>
    <row r="768" spans="1:13" x14ac:dyDescent="0.3">
      <c r="A768" s="1">
        <v>45694</v>
      </c>
      <c r="B768" s="2" t="s">
        <v>9</v>
      </c>
      <c r="C768">
        <v>0.73312999999999995</v>
      </c>
      <c r="D768">
        <v>0.76465000000000005</v>
      </c>
      <c r="E768">
        <v>0.70213000000000003</v>
      </c>
      <c r="F768">
        <v>0.70506000000000002</v>
      </c>
      <c r="G768">
        <f>_xlfn.MAXIFS(Crypto[Close],Crypto[Name],Crypto[[#This Row],[Name]],Crypto[Date],"&lt;="&amp;Crypto[[#This Row],[Date]])</f>
        <v>1.1351199999999999</v>
      </c>
      <c r="H768" s="3">
        <f>(Crypto[[#This Row],[Close]]/Crypto[[#This Row],[Peak Close]])-1</f>
        <v>-0.37886743251814781</v>
      </c>
      <c r="I768">
        <v>0.73321000000000003</v>
      </c>
      <c r="J768" s="1">
        <v>45693</v>
      </c>
      <c r="K768" s="3">
        <v>-3.8392820610739099E-2</v>
      </c>
      <c r="L768">
        <v>844784492</v>
      </c>
      <c r="M768" s="2" t="s">
        <v>10</v>
      </c>
    </row>
    <row r="769" spans="1:13" x14ac:dyDescent="0.3">
      <c r="A769" s="1">
        <v>45695</v>
      </c>
      <c r="B769" s="2" t="s">
        <v>9</v>
      </c>
      <c r="C769">
        <v>0.70504999999999995</v>
      </c>
      <c r="D769">
        <v>0.75002000000000002</v>
      </c>
      <c r="E769">
        <v>0.69247999999999998</v>
      </c>
      <c r="F769">
        <v>0.70709</v>
      </c>
      <c r="G769">
        <f>_xlfn.MAXIFS(Crypto[Close],Crypto[Name],Crypto[[#This Row],[Name]],Crypto[Date],"&lt;="&amp;Crypto[[#This Row],[Date]])</f>
        <v>1.1351199999999999</v>
      </c>
      <c r="H769" s="3">
        <f>(Crypto[[#This Row],[Close]]/Crypto[[#This Row],[Peak Close]])-1</f>
        <v>-0.37707907534005214</v>
      </c>
      <c r="I769">
        <v>0.70506000000000002</v>
      </c>
      <c r="J769" s="1">
        <v>45694</v>
      </c>
      <c r="K769" s="3">
        <v>2.8791875868720098E-3</v>
      </c>
      <c r="L769">
        <v>940384129</v>
      </c>
      <c r="M769" s="2" t="s">
        <v>10</v>
      </c>
    </row>
    <row r="770" spans="1:13" x14ac:dyDescent="0.3">
      <c r="A770" s="1">
        <v>45696</v>
      </c>
      <c r="B770" s="2" t="s">
        <v>9</v>
      </c>
      <c r="C770">
        <v>0.70709999999999995</v>
      </c>
      <c r="D770">
        <v>0.71486000000000005</v>
      </c>
      <c r="E770">
        <v>0.68474999999999997</v>
      </c>
      <c r="F770">
        <v>0.70184999999999997</v>
      </c>
      <c r="G770">
        <f>_xlfn.MAXIFS(Crypto[Close],Crypto[Name],Crypto[[#This Row],[Name]],Crypto[Date],"&lt;="&amp;Crypto[[#This Row],[Date]])</f>
        <v>1.1351199999999999</v>
      </c>
      <c r="H770" s="3">
        <f>(Crypto[[#This Row],[Close]]/Crypto[[#This Row],[Peak Close]])-1</f>
        <v>-0.38169532736626965</v>
      </c>
      <c r="I770">
        <v>0.70709</v>
      </c>
      <c r="J770" s="1">
        <v>45695</v>
      </c>
      <c r="K770" s="3">
        <v>-7.4106549378438703E-3</v>
      </c>
      <c r="L770">
        <v>553879408</v>
      </c>
      <c r="M770" s="2" t="s">
        <v>10</v>
      </c>
    </row>
    <row r="771" spans="1:13" x14ac:dyDescent="0.3">
      <c r="A771" s="1">
        <v>45697</v>
      </c>
      <c r="B771" s="2" t="s">
        <v>9</v>
      </c>
      <c r="C771">
        <v>0.70177999999999996</v>
      </c>
      <c r="D771">
        <v>0.71264000000000005</v>
      </c>
      <c r="E771">
        <v>0.65405999999999997</v>
      </c>
      <c r="F771">
        <v>0.68269999999999997</v>
      </c>
      <c r="G771">
        <f>_xlfn.MAXIFS(Crypto[Close],Crypto[Name],Crypto[[#This Row],[Name]],Crypto[Date],"&lt;="&amp;Crypto[[#This Row],[Date]])</f>
        <v>1.1351199999999999</v>
      </c>
      <c r="H771" s="3">
        <f>(Crypto[[#This Row],[Close]]/Crypto[[#This Row],[Peak Close]])-1</f>
        <v>-0.39856579040101481</v>
      </c>
      <c r="I771">
        <v>0.70184999999999997</v>
      </c>
      <c r="J771" s="1">
        <v>45696</v>
      </c>
      <c r="K771" s="3">
        <v>-2.7285032414333499E-2</v>
      </c>
      <c r="L771">
        <v>679645670</v>
      </c>
      <c r="M771" s="2" t="s">
        <v>10</v>
      </c>
    </row>
    <row r="772" spans="1:13" x14ac:dyDescent="0.3">
      <c r="A772" s="1">
        <v>45698</v>
      </c>
      <c r="B772" s="2" t="s">
        <v>9</v>
      </c>
      <c r="C772">
        <v>0.68276999999999999</v>
      </c>
      <c r="D772">
        <v>0.71628000000000003</v>
      </c>
      <c r="E772">
        <v>0.66559999999999997</v>
      </c>
      <c r="F772">
        <v>0.71069000000000004</v>
      </c>
      <c r="G772">
        <f>_xlfn.MAXIFS(Crypto[Close],Crypto[Name],Crypto[[#This Row],[Name]],Crypto[Date],"&lt;="&amp;Crypto[[#This Row],[Date]])</f>
        <v>1.1351199999999999</v>
      </c>
      <c r="H772" s="3">
        <f>(Crypto[[#This Row],[Close]]/Crypto[[#This Row],[Peak Close]])-1</f>
        <v>-0.37390760448234539</v>
      </c>
      <c r="I772">
        <v>0.68269999999999997</v>
      </c>
      <c r="J772" s="1">
        <v>45697</v>
      </c>
      <c r="K772" s="3">
        <v>4.09989746594406E-2</v>
      </c>
      <c r="L772">
        <v>751114200</v>
      </c>
      <c r="M772" s="2" t="s">
        <v>10</v>
      </c>
    </row>
    <row r="773" spans="1:13" x14ac:dyDescent="0.3">
      <c r="A773" s="1">
        <v>45699</v>
      </c>
      <c r="B773" s="2" t="s">
        <v>9</v>
      </c>
      <c r="C773">
        <v>0.71074000000000004</v>
      </c>
      <c r="D773">
        <v>0.81591999999999998</v>
      </c>
      <c r="E773">
        <v>0.71074000000000004</v>
      </c>
      <c r="F773">
        <v>0.77939999999999998</v>
      </c>
      <c r="G773">
        <f>_xlfn.MAXIFS(Crypto[Close],Crypto[Name],Crypto[[#This Row],[Name]],Crypto[Date],"&lt;="&amp;Crypto[[#This Row],[Date]])</f>
        <v>1.1351199999999999</v>
      </c>
      <c r="H773" s="3">
        <f>(Crypto[[#This Row],[Close]]/Crypto[[#This Row],[Peak Close]])-1</f>
        <v>-0.31337655930650499</v>
      </c>
      <c r="I773">
        <v>0.71069000000000004</v>
      </c>
      <c r="J773" s="1">
        <v>45698</v>
      </c>
      <c r="K773" s="3">
        <v>9.6680690596462504E-2</v>
      </c>
      <c r="L773">
        <v>1813731044</v>
      </c>
      <c r="M773" s="2" t="s">
        <v>10</v>
      </c>
    </row>
    <row r="774" spans="1:13" x14ac:dyDescent="0.3">
      <c r="A774" s="1">
        <v>45700</v>
      </c>
      <c r="B774" s="2" t="s">
        <v>9</v>
      </c>
      <c r="C774">
        <v>0.77939000000000003</v>
      </c>
      <c r="D774">
        <v>0.80506999999999995</v>
      </c>
      <c r="E774">
        <v>0.75280000000000002</v>
      </c>
      <c r="F774">
        <v>0.79922000000000004</v>
      </c>
      <c r="G774">
        <f>_xlfn.MAXIFS(Crypto[Close],Crypto[Name],Crypto[[#This Row],[Name]],Crypto[Date],"&lt;="&amp;Crypto[[#This Row],[Date]])</f>
        <v>1.1351199999999999</v>
      </c>
      <c r="H774" s="3">
        <f>(Crypto[[#This Row],[Close]]/Crypto[[#This Row],[Peak Close]])-1</f>
        <v>-0.29591585030657541</v>
      </c>
      <c r="I774">
        <v>0.77939999999999998</v>
      </c>
      <c r="J774" s="1">
        <v>45699</v>
      </c>
      <c r="K774" s="3">
        <v>2.5429817808570801E-2</v>
      </c>
      <c r="L774">
        <v>1231175669</v>
      </c>
      <c r="M774" s="2" t="s">
        <v>10</v>
      </c>
    </row>
    <row r="775" spans="1:13" x14ac:dyDescent="0.3">
      <c r="A775" s="1">
        <v>45701</v>
      </c>
      <c r="B775" s="2" t="s">
        <v>9</v>
      </c>
      <c r="C775">
        <v>0.79923999999999995</v>
      </c>
      <c r="D775">
        <v>0.82689999999999997</v>
      </c>
      <c r="E775">
        <v>0.77202000000000004</v>
      </c>
      <c r="F775">
        <v>0.81074000000000002</v>
      </c>
      <c r="G775">
        <f>_xlfn.MAXIFS(Crypto[Close],Crypto[Name],Crypto[[#This Row],[Name]],Crypto[Date],"&lt;="&amp;Crypto[[#This Row],[Date]])</f>
        <v>1.1351199999999999</v>
      </c>
      <c r="H775" s="3">
        <f>(Crypto[[#This Row],[Close]]/Crypto[[#This Row],[Peak Close]])-1</f>
        <v>-0.28576714356191413</v>
      </c>
      <c r="I775">
        <v>0.79922000000000004</v>
      </c>
      <c r="J775" s="1">
        <v>45700</v>
      </c>
      <c r="K775" s="3">
        <v>1.44140537023598E-2</v>
      </c>
      <c r="L775">
        <v>840300501</v>
      </c>
      <c r="M775" s="2" t="s">
        <v>10</v>
      </c>
    </row>
    <row r="776" spans="1:13" x14ac:dyDescent="0.3">
      <c r="A776" s="1">
        <v>45702</v>
      </c>
      <c r="B776" s="2" t="s">
        <v>9</v>
      </c>
      <c r="C776">
        <v>0.81071000000000004</v>
      </c>
      <c r="D776">
        <v>0.82708000000000004</v>
      </c>
      <c r="E776">
        <v>0.79313999999999996</v>
      </c>
      <c r="F776">
        <v>0.80051000000000005</v>
      </c>
      <c r="G776">
        <f>_xlfn.MAXIFS(Crypto[Close],Crypto[Name],Crypto[[#This Row],[Name]],Crypto[Date],"&lt;="&amp;Crypto[[#This Row],[Date]])</f>
        <v>1.1351199999999999</v>
      </c>
      <c r="H776" s="3">
        <f>(Crypto[[#This Row],[Close]]/Crypto[[#This Row],[Peak Close]])-1</f>
        <v>-0.29477940658256385</v>
      </c>
      <c r="I776">
        <v>0.81074000000000002</v>
      </c>
      <c r="J776" s="1">
        <v>45701</v>
      </c>
      <c r="K776" s="3">
        <v>-1.26181019809063E-2</v>
      </c>
      <c r="L776">
        <v>787635175</v>
      </c>
      <c r="M776" s="2" t="s">
        <v>10</v>
      </c>
    </row>
    <row r="777" spans="1:13" x14ac:dyDescent="0.3">
      <c r="A777" s="1">
        <v>45703</v>
      </c>
      <c r="B777" s="2" t="s">
        <v>9</v>
      </c>
      <c r="C777">
        <v>0.80051000000000005</v>
      </c>
      <c r="D777">
        <v>0.81294</v>
      </c>
      <c r="E777">
        <v>0.7772</v>
      </c>
      <c r="F777">
        <v>0.78110999999999997</v>
      </c>
      <c r="G777">
        <f>_xlfn.MAXIFS(Crypto[Close],Crypto[Name],Crypto[[#This Row],[Name]],Crypto[Date],"&lt;="&amp;Crypto[[#This Row],[Date]])</f>
        <v>1.1351199999999999</v>
      </c>
      <c r="H777" s="3">
        <f>(Crypto[[#This Row],[Close]]/Crypto[[#This Row],[Peak Close]])-1</f>
        <v>-0.31187011064909431</v>
      </c>
      <c r="I777">
        <v>0.80051000000000005</v>
      </c>
      <c r="J777" s="1">
        <v>45702</v>
      </c>
      <c r="K777" s="3">
        <v>-2.42345504740729E-2</v>
      </c>
      <c r="L777">
        <v>493874835</v>
      </c>
      <c r="M777" s="2" t="s">
        <v>10</v>
      </c>
    </row>
    <row r="778" spans="1:13" x14ac:dyDescent="0.3">
      <c r="A778" s="1">
        <v>45704</v>
      </c>
      <c r="B778" s="2" t="s">
        <v>9</v>
      </c>
      <c r="C778">
        <v>0.78110999999999997</v>
      </c>
      <c r="D778">
        <v>0.78680000000000005</v>
      </c>
      <c r="E778">
        <v>0.76473999999999998</v>
      </c>
      <c r="F778">
        <v>0.77200999999999997</v>
      </c>
      <c r="G778">
        <f>_xlfn.MAXIFS(Crypto[Close],Crypto[Name],Crypto[[#This Row],[Name]],Crypto[Date],"&lt;="&amp;Crypto[[#This Row],[Date]])</f>
        <v>1.1351199999999999</v>
      </c>
      <c r="H778" s="3">
        <f>(Crypto[[#This Row],[Close]]/Crypto[[#This Row],[Peak Close]])-1</f>
        <v>-0.31988688420607514</v>
      </c>
      <c r="I778">
        <v>0.78110999999999997</v>
      </c>
      <c r="J778" s="1">
        <v>45703</v>
      </c>
      <c r="K778" s="3">
        <v>-1.16500876957151E-2</v>
      </c>
      <c r="L778">
        <v>448477194</v>
      </c>
      <c r="M778" s="2" t="s">
        <v>10</v>
      </c>
    </row>
    <row r="779" spans="1:13" x14ac:dyDescent="0.3">
      <c r="A779" s="1">
        <v>45705</v>
      </c>
      <c r="B779" s="2" t="s">
        <v>9</v>
      </c>
      <c r="C779">
        <v>0.77200000000000002</v>
      </c>
      <c r="D779">
        <v>0.82691999999999999</v>
      </c>
      <c r="E779">
        <v>0.77185999999999999</v>
      </c>
      <c r="F779">
        <v>0.80803000000000003</v>
      </c>
      <c r="G779">
        <f>_xlfn.MAXIFS(Crypto[Close],Crypto[Name],Crypto[[#This Row],[Name]],Crypto[Date],"&lt;="&amp;Crypto[[#This Row],[Date]])</f>
        <v>1.1351199999999999</v>
      </c>
      <c r="H779" s="3">
        <f>(Crypto[[#This Row],[Close]]/Crypto[[#This Row],[Peak Close]])-1</f>
        <v>-0.28815455634646547</v>
      </c>
      <c r="I779">
        <v>0.77200999999999997</v>
      </c>
      <c r="J779" s="1">
        <v>45704</v>
      </c>
      <c r="K779" s="3">
        <v>4.6657426717270599E-2</v>
      </c>
      <c r="L779">
        <v>1041802036</v>
      </c>
      <c r="M779" s="2" t="s">
        <v>10</v>
      </c>
    </row>
    <row r="780" spans="1:13" x14ac:dyDescent="0.3">
      <c r="A780" s="1">
        <v>45706</v>
      </c>
      <c r="B780" s="2" t="s">
        <v>9</v>
      </c>
      <c r="C780">
        <v>0.80810999999999999</v>
      </c>
      <c r="D780">
        <v>0.81254000000000004</v>
      </c>
      <c r="E780">
        <v>0.73817999999999995</v>
      </c>
      <c r="F780">
        <v>0.75236000000000003</v>
      </c>
      <c r="G780">
        <f>_xlfn.MAXIFS(Crypto[Close],Crypto[Name],Crypto[[#This Row],[Name]],Crypto[Date],"&lt;="&amp;Crypto[[#This Row],[Date]])</f>
        <v>1.1351199999999999</v>
      </c>
      <c r="H780" s="3">
        <f>(Crypto[[#This Row],[Close]]/Crypto[[#This Row],[Peak Close]])-1</f>
        <v>-0.33719782930439068</v>
      </c>
      <c r="I780">
        <v>0.80803000000000003</v>
      </c>
      <c r="J780" s="1">
        <v>45705</v>
      </c>
      <c r="K780" s="3">
        <v>-6.8895956833285907E-2</v>
      </c>
      <c r="L780">
        <v>905917139</v>
      </c>
      <c r="M780" s="2" t="s">
        <v>10</v>
      </c>
    </row>
    <row r="781" spans="1:13" x14ac:dyDescent="0.3">
      <c r="A781" s="1">
        <v>45707</v>
      </c>
      <c r="B781" s="2" t="s">
        <v>9</v>
      </c>
      <c r="C781">
        <v>0.75236000000000003</v>
      </c>
      <c r="D781">
        <v>0.77471999999999996</v>
      </c>
      <c r="E781">
        <v>0.73724999999999996</v>
      </c>
      <c r="F781">
        <v>0.77293999999999996</v>
      </c>
      <c r="G781">
        <f>_xlfn.MAXIFS(Crypto[Close],Crypto[Name],Crypto[[#This Row],[Name]],Crypto[Date],"&lt;="&amp;Crypto[[#This Row],[Date]])</f>
        <v>1.1351199999999999</v>
      </c>
      <c r="H781" s="3">
        <f>(Crypto[[#This Row],[Close]]/Crypto[[#This Row],[Peak Close]])-1</f>
        <v>-0.31906758756783427</v>
      </c>
      <c r="I781">
        <v>0.75236000000000003</v>
      </c>
      <c r="J781" s="1">
        <v>45706</v>
      </c>
      <c r="K781" s="3">
        <v>2.73539263118719E-2</v>
      </c>
      <c r="L781">
        <v>706077594</v>
      </c>
      <c r="M781" s="2" t="s">
        <v>10</v>
      </c>
    </row>
    <row r="782" spans="1:13" x14ac:dyDescent="0.3">
      <c r="A782" s="1">
        <v>45708</v>
      </c>
      <c r="B782" s="2" t="s">
        <v>9</v>
      </c>
      <c r="C782">
        <v>0.77293999999999996</v>
      </c>
      <c r="D782">
        <v>0.81042999999999998</v>
      </c>
      <c r="E782">
        <v>0.77171999999999996</v>
      </c>
      <c r="F782">
        <v>0.80447000000000002</v>
      </c>
      <c r="G782">
        <f>_xlfn.MAXIFS(Crypto[Close],Crypto[Name],Crypto[[#This Row],[Name]],Crypto[Date],"&lt;="&amp;Crypto[[#This Row],[Date]])</f>
        <v>1.1351199999999999</v>
      </c>
      <c r="H782" s="3">
        <f>(Crypto[[#This Row],[Close]]/Crypto[[#This Row],[Peak Close]])-1</f>
        <v>-0.29129078863908653</v>
      </c>
      <c r="I782">
        <v>0.77293999999999996</v>
      </c>
      <c r="J782" s="1">
        <v>45707</v>
      </c>
      <c r="K782" s="3">
        <v>4.0792299531658402E-2</v>
      </c>
      <c r="L782">
        <v>688006862</v>
      </c>
      <c r="M782" s="2" t="s">
        <v>10</v>
      </c>
    </row>
    <row r="783" spans="1:13" x14ac:dyDescent="0.3">
      <c r="A783" s="1">
        <v>45709</v>
      </c>
      <c r="B783" s="2" t="s">
        <v>9</v>
      </c>
      <c r="C783">
        <v>0.80445999999999995</v>
      </c>
      <c r="D783">
        <v>0.81694</v>
      </c>
      <c r="E783">
        <v>0.75212000000000001</v>
      </c>
      <c r="F783">
        <v>0.76136999999999999</v>
      </c>
      <c r="G783">
        <f>_xlfn.MAXIFS(Crypto[Close],Crypto[Name],Crypto[[#This Row],[Name]],Crypto[Date],"&lt;="&amp;Crypto[[#This Row],[Date]])</f>
        <v>1.1351199999999999</v>
      </c>
      <c r="H783" s="3">
        <f>(Crypto[[#This Row],[Close]]/Crypto[[#This Row],[Peak Close]])-1</f>
        <v>-0.32926034251885261</v>
      </c>
      <c r="I783">
        <v>0.80447000000000002</v>
      </c>
      <c r="J783" s="1">
        <v>45708</v>
      </c>
      <c r="K783" s="3">
        <v>-5.3575646077541797E-2</v>
      </c>
      <c r="L783">
        <v>951661847</v>
      </c>
      <c r="M783" s="2" t="s">
        <v>10</v>
      </c>
    </row>
    <row r="784" spans="1:13" x14ac:dyDescent="0.3">
      <c r="A784" s="1">
        <v>45710</v>
      </c>
      <c r="B784" s="2" t="s">
        <v>9</v>
      </c>
      <c r="C784">
        <v>0.76136999999999999</v>
      </c>
      <c r="D784">
        <v>0.78266000000000002</v>
      </c>
      <c r="E784">
        <v>0.75858999999999999</v>
      </c>
      <c r="F784">
        <v>0.77444999999999997</v>
      </c>
      <c r="G784">
        <f>_xlfn.MAXIFS(Crypto[Close],Crypto[Name],Crypto[[#This Row],[Name]],Crypto[Date],"&lt;="&amp;Crypto[[#This Row],[Date]])</f>
        <v>1.1351199999999999</v>
      </c>
      <c r="H784" s="3">
        <f>(Crypto[[#This Row],[Close]]/Crypto[[#This Row],[Peak Close]])-1</f>
        <v>-0.31773733173585172</v>
      </c>
      <c r="I784">
        <v>0.76136999999999999</v>
      </c>
      <c r="J784" s="1">
        <v>45709</v>
      </c>
      <c r="K784" s="3">
        <v>1.7179557902202599E-2</v>
      </c>
      <c r="L784">
        <v>530696926</v>
      </c>
      <c r="M784" s="2" t="s">
        <v>10</v>
      </c>
    </row>
    <row r="785" spans="1:13" x14ac:dyDescent="0.3">
      <c r="A785" s="1">
        <v>45711</v>
      </c>
      <c r="B785" s="2" t="s">
        <v>9</v>
      </c>
      <c r="C785">
        <v>0.77444999999999997</v>
      </c>
      <c r="D785">
        <v>0.78700000000000003</v>
      </c>
      <c r="E785">
        <v>0.76146999999999998</v>
      </c>
      <c r="F785">
        <v>0.77003999999999995</v>
      </c>
      <c r="G785">
        <f>_xlfn.MAXIFS(Crypto[Close],Crypto[Name],Crypto[[#This Row],[Name]],Crypto[Date],"&lt;="&amp;Crypto[[#This Row],[Date]])</f>
        <v>1.1351199999999999</v>
      </c>
      <c r="H785" s="3">
        <f>(Crypto[[#This Row],[Close]]/Crypto[[#This Row],[Peak Close]])-1</f>
        <v>-0.32162238353654238</v>
      </c>
      <c r="I785">
        <v>0.77444999999999997</v>
      </c>
      <c r="J785" s="1">
        <v>45710</v>
      </c>
      <c r="K785" s="3">
        <v>-5.6943637420104904E-3</v>
      </c>
      <c r="L785">
        <v>495111534</v>
      </c>
      <c r="M785" s="2" t="s">
        <v>10</v>
      </c>
    </row>
    <row r="786" spans="1:13" x14ac:dyDescent="0.3">
      <c r="A786" s="1">
        <v>45712</v>
      </c>
      <c r="B786" s="2" t="s">
        <v>9</v>
      </c>
      <c r="C786">
        <v>0.77003999999999995</v>
      </c>
      <c r="D786">
        <v>0.77559</v>
      </c>
      <c r="E786">
        <v>0.68067</v>
      </c>
      <c r="F786">
        <v>0.68220000000000003</v>
      </c>
      <c r="G786">
        <f>_xlfn.MAXIFS(Crypto[Close],Crypto[Name],Crypto[[#This Row],[Name]],Crypto[Date],"&lt;="&amp;Crypto[[#This Row],[Date]])</f>
        <v>1.1351199999999999</v>
      </c>
      <c r="H786" s="3">
        <f>(Crypto[[#This Row],[Close]]/Crypto[[#This Row],[Peak Close]])-1</f>
        <v>-0.3990062724645852</v>
      </c>
      <c r="I786">
        <v>0.77003999999999995</v>
      </c>
      <c r="J786" s="1">
        <v>45711</v>
      </c>
      <c r="K786" s="3">
        <v>-0.114071996259934</v>
      </c>
      <c r="L786">
        <v>960897545</v>
      </c>
      <c r="M786" s="2" t="s">
        <v>10</v>
      </c>
    </row>
    <row r="787" spans="1:13" x14ac:dyDescent="0.3">
      <c r="A787" s="1">
        <v>45713</v>
      </c>
      <c r="B787" s="2" t="s">
        <v>9</v>
      </c>
      <c r="C787">
        <v>0.68220999999999998</v>
      </c>
      <c r="D787">
        <v>0.69303999999999999</v>
      </c>
      <c r="E787">
        <v>0.63380999999999998</v>
      </c>
      <c r="F787">
        <v>0.68257999999999996</v>
      </c>
      <c r="G787">
        <f>_xlfn.MAXIFS(Crypto[Close],Crypto[Name],Crypto[[#This Row],[Name]],Crypto[Date],"&lt;="&amp;Crypto[[#This Row],[Date]])</f>
        <v>1.1351199999999999</v>
      </c>
      <c r="H787" s="3">
        <f>(Crypto[[#This Row],[Close]]/Crypto[[#This Row],[Peak Close]])-1</f>
        <v>-0.39867150609627178</v>
      </c>
      <c r="I787">
        <v>0.68220000000000003</v>
      </c>
      <c r="J787" s="1">
        <v>45712</v>
      </c>
      <c r="K787" s="3">
        <v>5.5702140134848395E-4</v>
      </c>
      <c r="L787">
        <v>1317817123</v>
      </c>
      <c r="M787" s="2" t="s">
        <v>10</v>
      </c>
    </row>
    <row r="788" spans="1:13" x14ac:dyDescent="0.3">
      <c r="A788" s="1">
        <v>45714</v>
      </c>
      <c r="B788" s="2" t="s">
        <v>9</v>
      </c>
      <c r="C788">
        <v>0.68259000000000003</v>
      </c>
      <c r="D788">
        <v>0.69357999999999997</v>
      </c>
      <c r="E788">
        <v>0.63497999999999999</v>
      </c>
      <c r="F788">
        <v>0.64503999999999995</v>
      </c>
      <c r="G788">
        <f>_xlfn.MAXIFS(Crypto[Close],Crypto[Name],Crypto[[#This Row],[Name]],Crypto[Date],"&lt;="&amp;Crypto[[#This Row],[Date]])</f>
        <v>1.1351199999999999</v>
      </c>
      <c r="H788" s="3">
        <f>(Crypto[[#This Row],[Close]]/Crypto[[#This Row],[Peak Close]])-1</f>
        <v>-0.43174289942913524</v>
      </c>
      <c r="I788">
        <v>0.68257999999999996</v>
      </c>
      <c r="J788" s="1">
        <v>45713</v>
      </c>
      <c r="K788" s="3">
        <v>-5.4997216443493799E-2</v>
      </c>
      <c r="L788">
        <v>869010894</v>
      </c>
      <c r="M788" s="2" t="s">
        <v>10</v>
      </c>
    </row>
    <row r="789" spans="1:13" x14ac:dyDescent="0.3">
      <c r="A789" s="1">
        <v>45715</v>
      </c>
      <c r="B789" s="2" t="s">
        <v>9</v>
      </c>
      <c r="C789">
        <v>0.64505000000000001</v>
      </c>
      <c r="D789">
        <v>0.67810999999999999</v>
      </c>
      <c r="E789">
        <v>0.62841999999999998</v>
      </c>
      <c r="F789">
        <v>0.64559</v>
      </c>
      <c r="G789">
        <f>_xlfn.MAXIFS(Crypto[Close],Crypto[Name],Crypto[[#This Row],[Name]],Crypto[Date],"&lt;="&amp;Crypto[[#This Row],[Date]])</f>
        <v>1.1351199999999999</v>
      </c>
      <c r="H789" s="3">
        <f>(Crypto[[#This Row],[Close]]/Crypto[[#This Row],[Peak Close]])-1</f>
        <v>-0.43125836915920779</v>
      </c>
      <c r="I789">
        <v>0.64503999999999995</v>
      </c>
      <c r="J789" s="1">
        <v>45714</v>
      </c>
      <c r="K789" s="3">
        <v>8.5266030013650396E-4</v>
      </c>
      <c r="L789">
        <v>683537664</v>
      </c>
      <c r="M789" s="2" t="s">
        <v>10</v>
      </c>
    </row>
    <row r="790" spans="1:13" x14ac:dyDescent="0.3">
      <c r="A790" s="1">
        <v>45716</v>
      </c>
      <c r="B790" s="2" t="s">
        <v>9</v>
      </c>
      <c r="C790">
        <v>0.64558000000000004</v>
      </c>
      <c r="D790">
        <v>0.64561000000000002</v>
      </c>
      <c r="E790">
        <v>0.58218999999999999</v>
      </c>
      <c r="F790">
        <v>0.63305</v>
      </c>
      <c r="G790">
        <f>_xlfn.MAXIFS(Crypto[Close],Crypto[Name],Crypto[[#This Row],[Name]],Crypto[Date],"&lt;="&amp;Crypto[[#This Row],[Date]])</f>
        <v>1.1351199999999999</v>
      </c>
      <c r="H790" s="3">
        <f>(Crypto[[#This Row],[Close]]/Crypto[[#This Row],[Peak Close]])-1</f>
        <v>-0.4423056593135527</v>
      </c>
      <c r="I790">
        <v>0.64559</v>
      </c>
      <c r="J790" s="1">
        <v>45715</v>
      </c>
      <c r="K790" s="3">
        <v>-1.9424092690407201E-2</v>
      </c>
      <c r="L790">
        <v>1102255137</v>
      </c>
      <c r="M790" s="2" t="s">
        <v>10</v>
      </c>
    </row>
    <row r="791" spans="1:13" x14ac:dyDescent="0.3">
      <c r="A791" s="1">
        <v>45717</v>
      </c>
      <c r="B791" s="2" t="s">
        <v>9</v>
      </c>
      <c r="C791">
        <v>0.63305</v>
      </c>
      <c r="D791">
        <v>0.67464999999999997</v>
      </c>
      <c r="E791">
        <v>0.62673000000000001</v>
      </c>
      <c r="F791">
        <v>0.65925999999999996</v>
      </c>
      <c r="G791">
        <f>_xlfn.MAXIFS(Crypto[Close],Crypto[Name],Crypto[[#This Row],[Name]],Crypto[Date],"&lt;="&amp;Crypto[[#This Row],[Date]])</f>
        <v>1.1351199999999999</v>
      </c>
      <c r="H791" s="3">
        <f>(Crypto[[#This Row],[Close]]/Crypto[[#This Row],[Peak Close]])-1</f>
        <v>-0.41921558954119387</v>
      </c>
      <c r="I791">
        <v>0.63305</v>
      </c>
      <c r="J791" s="1">
        <v>45716</v>
      </c>
      <c r="K791" s="3">
        <v>4.14027328015164E-2</v>
      </c>
      <c r="L791">
        <v>585631597</v>
      </c>
      <c r="M791" s="2" t="s">
        <v>10</v>
      </c>
    </row>
    <row r="792" spans="1:13" x14ac:dyDescent="0.3">
      <c r="A792" s="1">
        <v>45718</v>
      </c>
      <c r="B792" s="2" t="s">
        <v>9</v>
      </c>
      <c r="C792">
        <v>0.65927999999999998</v>
      </c>
      <c r="D792">
        <v>1.1342699999999999</v>
      </c>
      <c r="E792">
        <v>0.64612000000000003</v>
      </c>
      <c r="F792">
        <v>1.1294999999999999</v>
      </c>
      <c r="G792">
        <f>_xlfn.MAXIFS(Crypto[Close],Crypto[Name],Crypto[[#This Row],[Name]],Crypto[Date],"&lt;="&amp;Crypto[[#This Row],[Date]])</f>
        <v>1.1351199999999999</v>
      </c>
      <c r="H792" s="3">
        <f>(Crypto[[#This Row],[Close]]/Crypto[[#This Row],[Peak Close]])-1</f>
        <v>-4.9510183945309372E-3</v>
      </c>
      <c r="I792">
        <v>0.65925999999999996</v>
      </c>
      <c r="J792" s="1">
        <v>45717</v>
      </c>
      <c r="K792" s="3">
        <v>0.71328459181506598</v>
      </c>
      <c r="L792">
        <v>7647921820</v>
      </c>
      <c r="M792" s="2" t="s">
        <v>10</v>
      </c>
    </row>
    <row r="793" spans="1:13" x14ac:dyDescent="0.3">
      <c r="A793" s="1">
        <v>45719</v>
      </c>
      <c r="B793" s="2" t="s">
        <v>9</v>
      </c>
      <c r="C793">
        <v>1.1295299999999999</v>
      </c>
      <c r="D793">
        <v>1.1342099999999999</v>
      </c>
      <c r="E793">
        <v>0.83818999999999999</v>
      </c>
      <c r="F793">
        <v>0.85526000000000002</v>
      </c>
      <c r="G793">
        <f>_xlfn.MAXIFS(Crypto[Close],Crypto[Name],Crypto[[#This Row],[Name]],Crypto[Date],"&lt;="&amp;Crypto[[#This Row],[Date]])</f>
        <v>1.1351199999999999</v>
      </c>
      <c r="H793" s="3">
        <f>(Crypto[[#This Row],[Close]]/Crypto[[#This Row],[Peak Close]])-1</f>
        <v>-0.24654662062160826</v>
      </c>
      <c r="I793">
        <v>1.1294999999999999</v>
      </c>
      <c r="J793" s="1">
        <v>45718</v>
      </c>
      <c r="K793" s="3">
        <v>-0.24279769809650301</v>
      </c>
      <c r="L793">
        <v>7028104831</v>
      </c>
      <c r="M793" s="2" t="s">
        <v>10</v>
      </c>
    </row>
    <row r="794" spans="1:13" x14ac:dyDescent="0.3">
      <c r="A794" s="1">
        <v>45720</v>
      </c>
      <c r="B794" s="2" t="s">
        <v>9</v>
      </c>
      <c r="C794">
        <v>0.85526000000000002</v>
      </c>
      <c r="D794">
        <v>0.95025999999999999</v>
      </c>
      <c r="E794">
        <v>0.76849000000000001</v>
      </c>
      <c r="F794">
        <v>0.94128000000000001</v>
      </c>
      <c r="G794">
        <f>_xlfn.MAXIFS(Crypto[Close],Crypto[Name],Crypto[[#This Row],[Name]],Crypto[Date],"&lt;="&amp;Crypto[[#This Row],[Date]])</f>
        <v>1.1351199999999999</v>
      </c>
      <c r="H794" s="3">
        <f>(Crypto[[#This Row],[Close]]/Crypto[[#This Row],[Peak Close]])-1</f>
        <v>-0.17076608640496149</v>
      </c>
      <c r="I794">
        <v>0.85526000000000002</v>
      </c>
      <c r="J794" s="1">
        <v>45719</v>
      </c>
      <c r="K794" s="3">
        <v>0.100577602132685</v>
      </c>
      <c r="L794">
        <v>5400303546</v>
      </c>
      <c r="M794" s="2" t="s">
        <v>10</v>
      </c>
    </row>
    <row r="795" spans="1:13" x14ac:dyDescent="0.3">
      <c r="A795" s="1">
        <v>45721</v>
      </c>
      <c r="B795" s="2" t="s">
        <v>9</v>
      </c>
      <c r="C795">
        <v>0.94125000000000003</v>
      </c>
      <c r="D795">
        <v>1.0150600000000001</v>
      </c>
      <c r="E795">
        <v>0.91964999999999997</v>
      </c>
      <c r="F795">
        <v>0.97536</v>
      </c>
      <c r="G795">
        <f>_xlfn.MAXIFS(Crypto[Close],Crypto[Name],Crypto[[#This Row],[Name]],Crypto[Date],"&lt;="&amp;Crypto[[#This Row],[Date]])</f>
        <v>1.1351199999999999</v>
      </c>
      <c r="H795" s="3">
        <f>(Crypto[[#This Row],[Close]]/Crypto[[#This Row],[Peak Close]])-1</f>
        <v>-0.14074282895200496</v>
      </c>
      <c r="I795">
        <v>0.94128000000000001</v>
      </c>
      <c r="J795" s="1">
        <v>45720</v>
      </c>
      <c r="K795" s="3">
        <v>3.6206017338092797E-2</v>
      </c>
      <c r="L795">
        <v>3945666181</v>
      </c>
      <c r="M795" s="2" t="s">
        <v>10</v>
      </c>
    </row>
    <row r="796" spans="1:13" x14ac:dyDescent="0.3">
      <c r="A796" s="1">
        <v>45722</v>
      </c>
      <c r="B796" s="2" t="s">
        <v>9</v>
      </c>
      <c r="C796">
        <v>0.97536</v>
      </c>
      <c r="D796">
        <v>0.97846999999999995</v>
      </c>
      <c r="E796">
        <v>0.88829000000000002</v>
      </c>
      <c r="F796">
        <v>0.90754999999999997</v>
      </c>
      <c r="G796">
        <f>_xlfn.MAXIFS(Crypto[Close],Crypto[Name],Crypto[[#This Row],[Name]],Crypto[Date],"&lt;="&amp;Crypto[[#This Row],[Date]])</f>
        <v>1.1351199999999999</v>
      </c>
      <c r="H796" s="3">
        <f>(Crypto[[#This Row],[Close]]/Crypto[[#This Row],[Peak Close]])-1</f>
        <v>-0.20048100641341882</v>
      </c>
      <c r="I796">
        <v>0.97536</v>
      </c>
      <c r="J796" s="1">
        <v>45721</v>
      </c>
      <c r="K796" s="3">
        <v>-6.9523047900262494E-2</v>
      </c>
      <c r="L796">
        <v>2621972377</v>
      </c>
      <c r="M796" s="2" t="s">
        <v>10</v>
      </c>
    </row>
    <row r="797" spans="1:13" x14ac:dyDescent="0.3">
      <c r="A797" s="1">
        <v>45723</v>
      </c>
      <c r="B797" s="2" t="s">
        <v>9</v>
      </c>
      <c r="C797">
        <v>0.90754999999999997</v>
      </c>
      <c r="D797">
        <v>0.91269</v>
      </c>
      <c r="E797">
        <v>0.81159999999999999</v>
      </c>
      <c r="F797">
        <v>0.81679999999999997</v>
      </c>
      <c r="G797">
        <f>_xlfn.MAXIFS(Crypto[Close],Crypto[Name],Crypto[[#This Row],[Name]],Crypto[Date],"&lt;="&amp;Crypto[[#This Row],[Date]])</f>
        <v>1.1351199999999999</v>
      </c>
      <c r="H797" s="3">
        <f>(Crypto[[#This Row],[Close]]/Crypto[[#This Row],[Peak Close]])-1</f>
        <v>-0.28042850095144123</v>
      </c>
      <c r="I797">
        <v>0.90754999999999997</v>
      </c>
      <c r="J797" s="1">
        <v>45722</v>
      </c>
      <c r="K797" s="3">
        <v>-9.9994490661671501E-2</v>
      </c>
      <c r="L797">
        <v>3480876480</v>
      </c>
      <c r="M797" s="2" t="s">
        <v>10</v>
      </c>
    </row>
    <row r="798" spans="1:13" x14ac:dyDescent="0.3">
      <c r="A798" s="1">
        <v>45724</v>
      </c>
      <c r="B798" s="2" t="s">
        <v>9</v>
      </c>
      <c r="C798">
        <v>0.81679999999999997</v>
      </c>
      <c r="D798">
        <v>0.83621000000000001</v>
      </c>
      <c r="E798">
        <v>0.79683000000000004</v>
      </c>
      <c r="F798">
        <v>0.80469000000000002</v>
      </c>
      <c r="G798">
        <f>_xlfn.MAXIFS(Crypto[Close],Crypto[Name],Crypto[[#This Row],[Name]],Crypto[Date],"&lt;="&amp;Crypto[[#This Row],[Date]])</f>
        <v>1.1351199999999999</v>
      </c>
      <c r="H798" s="3">
        <f>(Crypto[[#This Row],[Close]]/Crypto[[#This Row],[Peak Close]])-1</f>
        <v>-0.29109697653111555</v>
      </c>
      <c r="I798">
        <v>0.81679999999999997</v>
      </c>
      <c r="J798" s="1">
        <v>45723</v>
      </c>
      <c r="K798" s="3">
        <v>-1.48261508325171E-2</v>
      </c>
      <c r="L798">
        <v>1184834509</v>
      </c>
      <c r="M798" s="2" t="s">
        <v>10</v>
      </c>
    </row>
    <row r="799" spans="1:13" x14ac:dyDescent="0.3">
      <c r="A799" s="1">
        <v>45725</v>
      </c>
      <c r="B799" s="2" t="s">
        <v>9</v>
      </c>
      <c r="C799">
        <v>0.80467999999999995</v>
      </c>
      <c r="D799">
        <v>0.81567999999999996</v>
      </c>
      <c r="E799">
        <v>0.71282999999999996</v>
      </c>
      <c r="F799">
        <v>0.72014999999999996</v>
      </c>
      <c r="G799">
        <f>_xlfn.MAXIFS(Crypto[Close],Crypto[Name],Crypto[[#This Row],[Name]],Crypto[Date],"&lt;="&amp;Crypto[[#This Row],[Date]])</f>
        <v>1.1351199999999999</v>
      </c>
      <c r="H799" s="3">
        <f>(Crypto[[#This Row],[Close]]/Crypto[[#This Row],[Peak Close]])-1</f>
        <v>-0.36557368383959399</v>
      </c>
      <c r="I799">
        <v>0.80469000000000002</v>
      </c>
      <c r="J799" s="1">
        <v>45724</v>
      </c>
      <c r="K799" s="3">
        <v>-0.10505909107855201</v>
      </c>
      <c r="L799">
        <v>1597453600</v>
      </c>
      <c r="M799" s="2" t="s">
        <v>10</v>
      </c>
    </row>
    <row r="800" spans="1:13" x14ac:dyDescent="0.3">
      <c r="A800" s="1">
        <v>45726</v>
      </c>
      <c r="B800" s="2" t="s">
        <v>9</v>
      </c>
      <c r="C800">
        <v>0.72014999999999996</v>
      </c>
      <c r="D800">
        <v>0.77376999999999996</v>
      </c>
      <c r="E800">
        <v>0.66110999999999998</v>
      </c>
      <c r="F800">
        <v>0.67259999999999998</v>
      </c>
      <c r="G800">
        <f>_xlfn.MAXIFS(Crypto[Close],Crypto[Name],Crypto[[#This Row],[Name]],Crypto[Date],"&lt;="&amp;Crypto[[#This Row],[Date]])</f>
        <v>1.1351199999999999</v>
      </c>
      <c r="H800" s="3">
        <f>(Crypto[[#This Row],[Close]]/Crypto[[#This Row],[Peak Close]])-1</f>
        <v>-0.40746352808513631</v>
      </c>
      <c r="I800">
        <v>0.72014999999999996</v>
      </c>
      <c r="J800" s="1">
        <v>45725</v>
      </c>
      <c r="K800" s="3">
        <v>-6.6027910851905805E-2</v>
      </c>
      <c r="L800">
        <v>1891557329</v>
      </c>
      <c r="M800" s="2" t="s">
        <v>10</v>
      </c>
    </row>
    <row r="801" spans="1:13" x14ac:dyDescent="0.3">
      <c r="A801" s="1">
        <v>45727</v>
      </c>
      <c r="B801" s="2" t="s">
        <v>9</v>
      </c>
      <c r="C801">
        <v>0.67259000000000002</v>
      </c>
      <c r="D801">
        <v>0.74126999999999998</v>
      </c>
      <c r="E801">
        <v>0.65364</v>
      </c>
      <c r="F801">
        <v>0.72258999999999995</v>
      </c>
      <c r="G801">
        <f>_xlfn.MAXIFS(Crypto[Close],Crypto[Name],Crypto[[#This Row],[Name]],Crypto[Date],"&lt;="&amp;Crypto[[#This Row],[Date]])</f>
        <v>1.1351199999999999</v>
      </c>
      <c r="H801" s="3">
        <f>(Crypto[[#This Row],[Close]]/Crypto[[#This Row],[Peak Close]])-1</f>
        <v>-0.36342413136937057</v>
      </c>
      <c r="I801">
        <v>0.67259999999999998</v>
      </c>
      <c r="J801" s="1">
        <v>45726</v>
      </c>
      <c r="K801" s="3">
        <v>7.4323520666071896E-2</v>
      </c>
      <c r="L801">
        <v>1875965762</v>
      </c>
      <c r="M801" s="2" t="s">
        <v>10</v>
      </c>
    </row>
    <row r="802" spans="1:13" x14ac:dyDescent="0.3">
      <c r="A802" s="1">
        <v>45728</v>
      </c>
      <c r="B802" s="2" t="s">
        <v>9</v>
      </c>
      <c r="C802">
        <v>0.72262999999999999</v>
      </c>
      <c r="D802">
        <v>0.76146999999999998</v>
      </c>
      <c r="E802">
        <v>0.71257999999999999</v>
      </c>
      <c r="F802">
        <v>0.73543999999999998</v>
      </c>
      <c r="G802">
        <f>_xlfn.MAXIFS(Crypto[Close],Crypto[Name],Crypto[[#This Row],[Name]],Crypto[Date],"&lt;="&amp;Crypto[[#This Row],[Date]])</f>
        <v>1.1351199999999999</v>
      </c>
      <c r="H802" s="3">
        <f>(Crypto[[#This Row],[Close]]/Crypto[[#This Row],[Peak Close]])-1</f>
        <v>-0.35210374233561204</v>
      </c>
      <c r="I802">
        <v>0.72258999999999995</v>
      </c>
      <c r="J802" s="1">
        <v>45727</v>
      </c>
      <c r="K802" s="3">
        <v>1.7783251913256502E-2</v>
      </c>
      <c r="L802">
        <v>1355643740</v>
      </c>
      <c r="M802" s="2" t="s">
        <v>10</v>
      </c>
    </row>
    <row r="803" spans="1:13" x14ac:dyDescent="0.3">
      <c r="A803" s="1">
        <v>45729</v>
      </c>
      <c r="B803" s="2" t="s">
        <v>9</v>
      </c>
      <c r="C803">
        <v>0.73543999999999998</v>
      </c>
      <c r="D803">
        <v>0.73838999999999999</v>
      </c>
      <c r="E803">
        <v>0.69255999999999995</v>
      </c>
      <c r="F803">
        <v>0.70228999999999997</v>
      </c>
      <c r="G803">
        <f>_xlfn.MAXIFS(Crypto[Close],Crypto[Name],Crypto[[#This Row],[Name]],Crypto[Date],"&lt;="&amp;Crypto[[#This Row],[Date]])</f>
        <v>1.1351199999999999</v>
      </c>
      <c r="H803" s="3">
        <f>(Crypto[[#This Row],[Close]]/Crypto[[#This Row],[Peak Close]])-1</f>
        <v>-0.38130770315032769</v>
      </c>
      <c r="I803">
        <v>0.73543999999999998</v>
      </c>
      <c r="J803" s="1">
        <v>45728</v>
      </c>
      <c r="K803" s="3">
        <v>-4.50750571086697E-2</v>
      </c>
      <c r="L803">
        <v>1195241317</v>
      </c>
      <c r="M803" s="2" t="s">
        <v>10</v>
      </c>
    </row>
    <row r="804" spans="1:13" x14ac:dyDescent="0.3">
      <c r="A804" s="1">
        <v>45730</v>
      </c>
      <c r="B804" s="2" t="s">
        <v>9</v>
      </c>
      <c r="C804">
        <v>0.70228999999999997</v>
      </c>
      <c r="D804">
        <v>0.74834999999999996</v>
      </c>
      <c r="E804">
        <v>0.69984999999999997</v>
      </c>
      <c r="F804">
        <v>0.73831999999999998</v>
      </c>
      <c r="G804">
        <f>_xlfn.MAXIFS(Crypto[Close],Crypto[Name],Crypto[[#This Row],[Name]],Crypto[Date],"&lt;="&amp;Crypto[[#This Row],[Date]])</f>
        <v>1.1351199999999999</v>
      </c>
      <c r="H804" s="3">
        <f>(Crypto[[#This Row],[Close]]/Crypto[[#This Row],[Peak Close]])-1</f>
        <v>-0.34956656564944677</v>
      </c>
      <c r="I804">
        <v>0.70228999999999997</v>
      </c>
      <c r="J804" s="1">
        <v>45729</v>
      </c>
      <c r="K804" s="3">
        <v>5.1303592532999202E-2</v>
      </c>
      <c r="L804">
        <v>1015277074</v>
      </c>
      <c r="M804" s="2" t="s">
        <v>10</v>
      </c>
    </row>
    <row r="805" spans="1:13" x14ac:dyDescent="0.3">
      <c r="A805" s="1">
        <v>45731</v>
      </c>
      <c r="B805" s="2" t="s">
        <v>9</v>
      </c>
      <c r="C805">
        <v>0.73831000000000002</v>
      </c>
      <c r="D805">
        <v>0.75841999999999998</v>
      </c>
      <c r="E805">
        <v>0.73314000000000001</v>
      </c>
      <c r="F805">
        <v>0.74829000000000001</v>
      </c>
      <c r="G805">
        <f>_xlfn.MAXIFS(Crypto[Close],Crypto[Name],Crypto[[#This Row],[Name]],Crypto[Date],"&lt;="&amp;Crypto[[#This Row],[Date]])</f>
        <v>1.1351199999999999</v>
      </c>
      <c r="H805" s="3">
        <f>(Crypto[[#This Row],[Close]]/Crypto[[#This Row],[Peak Close]])-1</f>
        <v>-0.3407833533018535</v>
      </c>
      <c r="I805">
        <v>0.73831999999999998</v>
      </c>
      <c r="J805" s="1">
        <v>45730</v>
      </c>
      <c r="K805" s="3">
        <v>1.3503629862390299E-2</v>
      </c>
      <c r="L805">
        <v>720758317</v>
      </c>
      <c r="M805" s="2" t="s">
        <v>10</v>
      </c>
    </row>
    <row r="806" spans="1:13" x14ac:dyDescent="0.3">
      <c r="A806" s="1">
        <v>45732</v>
      </c>
      <c r="B806" s="2" t="s">
        <v>9</v>
      </c>
      <c r="C806">
        <v>0.74827999999999995</v>
      </c>
      <c r="D806">
        <v>0.74827999999999995</v>
      </c>
      <c r="E806">
        <v>0.69903999999999999</v>
      </c>
      <c r="F806">
        <v>0.70576000000000005</v>
      </c>
      <c r="G806">
        <f>_xlfn.MAXIFS(Crypto[Close],Crypto[Name],Crypto[[#This Row],[Name]],Crypto[Date],"&lt;="&amp;Crypto[[#This Row],[Date]])</f>
        <v>1.1351199999999999</v>
      </c>
      <c r="H806" s="3">
        <f>(Crypto[[#This Row],[Close]]/Crypto[[#This Row],[Peak Close]])-1</f>
        <v>-0.37825075762914928</v>
      </c>
      <c r="I806">
        <v>0.74829000000000001</v>
      </c>
      <c r="J806" s="1">
        <v>45731</v>
      </c>
      <c r="K806" s="3">
        <v>-5.6836253324245897E-2</v>
      </c>
      <c r="L806">
        <v>807154727</v>
      </c>
      <c r="M806" s="2" t="s">
        <v>10</v>
      </c>
    </row>
    <row r="807" spans="1:13" x14ac:dyDescent="0.3">
      <c r="A807" s="1">
        <v>45733</v>
      </c>
      <c r="B807" s="2" t="s">
        <v>9</v>
      </c>
      <c r="C807">
        <v>0.70574999999999999</v>
      </c>
      <c r="D807">
        <v>0.72911999999999999</v>
      </c>
      <c r="E807">
        <v>0.70526999999999995</v>
      </c>
      <c r="F807">
        <v>0.71809000000000001</v>
      </c>
      <c r="G807">
        <f>_xlfn.MAXIFS(Crypto[Close],Crypto[Name],Crypto[[#This Row],[Name]],Crypto[Date],"&lt;="&amp;Crypto[[#This Row],[Date]])</f>
        <v>1.1351199999999999</v>
      </c>
      <c r="H807" s="3">
        <f>(Crypto[[#This Row],[Close]]/Crypto[[#This Row],[Peak Close]])-1</f>
        <v>-0.36738846994150387</v>
      </c>
      <c r="I807">
        <v>0.70576000000000005</v>
      </c>
      <c r="J807" s="1">
        <v>45732</v>
      </c>
      <c r="K807" s="3">
        <v>1.7470528224892201E-2</v>
      </c>
      <c r="L807">
        <v>756343011</v>
      </c>
      <c r="M807" s="2" t="s">
        <v>10</v>
      </c>
    </row>
    <row r="808" spans="1:13" x14ac:dyDescent="0.3">
      <c r="A808" s="1">
        <v>45734</v>
      </c>
      <c r="B808" s="2" t="s">
        <v>9</v>
      </c>
      <c r="C808">
        <v>0.71809000000000001</v>
      </c>
      <c r="D808">
        <v>0.71813000000000005</v>
      </c>
      <c r="E808">
        <v>0.68398000000000003</v>
      </c>
      <c r="F808">
        <v>0.70208000000000004</v>
      </c>
      <c r="G808">
        <f>_xlfn.MAXIFS(Crypto[Close],Crypto[Name],Crypto[[#This Row],[Name]],Crypto[Date],"&lt;="&amp;Crypto[[#This Row],[Date]])</f>
        <v>1.1351199999999999</v>
      </c>
      <c r="H808" s="3">
        <f>(Crypto[[#This Row],[Close]]/Crypto[[#This Row],[Peak Close]])-1</f>
        <v>-0.38149270561702719</v>
      </c>
      <c r="I808">
        <v>0.71809000000000001</v>
      </c>
      <c r="J808" s="1">
        <v>45733</v>
      </c>
      <c r="K808" s="3">
        <v>-2.2295255469370098E-2</v>
      </c>
      <c r="L808">
        <v>697365412</v>
      </c>
      <c r="M808" s="2" t="s">
        <v>10</v>
      </c>
    </row>
    <row r="809" spans="1:13" x14ac:dyDescent="0.3">
      <c r="A809" s="1">
        <v>45735</v>
      </c>
      <c r="B809" s="2" t="s">
        <v>9</v>
      </c>
      <c r="C809">
        <v>0.70208000000000004</v>
      </c>
      <c r="D809">
        <v>0.74602000000000002</v>
      </c>
      <c r="E809">
        <v>0.70126999999999995</v>
      </c>
      <c r="F809">
        <v>0.74419999999999997</v>
      </c>
      <c r="G809">
        <f>_xlfn.MAXIFS(Crypto[Close],Crypto[Name],Crypto[[#This Row],[Name]],Crypto[Date],"&lt;="&amp;Crypto[[#This Row],[Date]])</f>
        <v>1.1351199999999999</v>
      </c>
      <c r="H809" s="3">
        <f>(Crypto[[#This Row],[Close]]/Crypto[[#This Row],[Peak Close]])-1</f>
        <v>-0.34438649658185916</v>
      </c>
      <c r="I809">
        <v>0.70208000000000004</v>
      </c>
      <c r="J809" s="1">
        <v>45734</v>
      </c>
      <c r="K809" s="3">
        <v>5.9993163172287998E-2</v>
      </c>
      <c r="L809">
        <v>1096739941</v>
      </c>
      <c r="M809" s="2" t="s">
        <v>10</v>
      </c>
    </row>
    <row r="810" spans="1:13" x14ac:dyDescent="0.3">
      <c r="A810" s="1">
        <v>45736</v>
      </c>
      <c r="B810" s="2" t="s">
        <v>9</v>
      </c>
      <c r="C810">
        <v>0.74422999999999995</v>
      </c>
      <c r="D810">
        <v>0.75222999999999995</v>
      </c>
      <c r="E810">
        <v>0.71353999999999995</v>
      </c>
      <c r="F810">
        <v>0.71752000000000005</v>
      </c>
      <c r="G810">
        <f>_xlfn.MAXIFS(Crypto[Close],Crypto[Name],Crypto[[#This Row],[Name]],Crypto[Date],"&lt;="&amp;Crypto[[#This Row],[Date]])</f>
        <v>1.1351199999999999</v>
      </c>
      <c r="H810" s="3">
        <f>(Crypto[[#This Row],[Close]]/Crypto[[#This Row],[Peak Close]])-1</f>
        <v>-0.36789061949397406</v>
      </c>
      <c r="I810">
        <v>0.74419999999999997</v>
      </c>
      <c r="J810" s="1">
        <v>45735</v>
      </c>
      <c r="K810" s="3">
        <v>-3.5850577801666103E-2</v>
      </c>
      <c r="L810">
        <v>850609830</v>
      </c>
      <c r="M810" s="2" t="s">
        <v>10</v>
      </c>
    </row>
    <row r="811" spans="1:13" x14ac:dyDescent="0.3">
      <c r="A811" s="1">
        <v>45737</v>
      </c>
      <c r="B811" s="2" t="s">
        <v>9</v>
      </c>
      <c r="C811">
        <v>0.71748999999999996</v>
      </c>
      <c r="D811">
        <v>0.72609999999999997</v>
      </c>
      <c r="E811">
        <v>0.70174999999999998</v>
      </c>
      <c r="F811">
        <v>0.70511999999999997</v>
      </c>
      <c r="G811">
        <f>_xlfn.MAXIFS(Crypto[Close],Crypto[Name],Crypto[[#This Row],[Name]],Crypto[Date],"&lt;="&amp;Crypto[[#This Row],[Date]])</f>
        <v>1.1351199999999999</v>
      </c>
      <c r="H811" s="3">
        <f>(Crypto[[#This Row],[Close]]/Crypto[[#This Row],[Peak Close]])-1</f>
        <v>-0.37881457467051938</v>
      </c>
      <c r="I811">
        <v>0.71752000000000005</v>
      </c>
      <c r="J811" s="1">
        <v>45736</v>
      </c>
      <c r="K811" s="3">
        <v>-1.7281748243951501E-2</v>
      </c>
      <c r="L811">
        <v>660902108</v>
      </c>
      <c r="M811" s="2" t="s">
        <v>10</v>
      </c>
    </row>
    <row r="812" spans="1:13" x14ac:dyDescent="0.3">
      <c r="A812" s="1">
        <v>45738</v>
      </c>
      <c r="B812" s="2" t="s">
        <v>9</v>
      </c>
      <c r="C812">
        <v>0.70511999999999997</v>
      </c>
      <c r="D812">
        <v>0.71521000000000001</v>
      </c>
      <c r="E812">
        <v>0.69911999999999996</v>
      </c>
      <c r="F812">
        <v>0.70094000000000001</v>
      </c>
      <c r="G812">
        <f>_xlfn.MAXIFS(Crypto[Close],Crypto[Name],Crypto[[#This Row],[Name]],Crypto[Date],"&lt;="&amp;Crypto[[#This Row],[Date]])</f>
        <v>1.1351199999999999</v>
      </c>
      <c r="H812" s="3">
        <f>(Crypto[[#This Row],[Close]]/Crypto[[#This Row],[Peak Close]])-1</f>
        <v>-0.38249700472196768</v>
      </c>
      <c r="I812">
        <v>0.70511999999999997</v>
      </c>
      <c r="J812" s="1">
        <v>45737</v>
      </c>
      <c r="K812" s="3">
        <v>-5.9280689811662696E-3</v>
      </c>
      <c r="L812">
        <v>458125954</v>
      </c>
      <c r="M812" s="2" t="s">
        <v>10</v>
      </c>
    </row>
    <row r="813" spans="1:13" x14ac:dyDescent="0.3">
      <c r="A813" s="1">
        <v>45739</v>
      </c>
      <c r="B813" s="2" t="s">
        <v>9</v>
      </c>
      <c r="C813">
        <v>0.70094000000000001</v>
      </c>
      <c r="D813">
        <v>0.71516999999999997</v>
      </c>
      <c r="E813">
        <v>0.69325000000000003</v>
      </c>
      <c r="F813">
        <v>0.70950999999999997</v>
      </c>
      <c r="G813">
        <f>_xlfn.MAXIFS(Crypto[Close],Crypto[Name],Crypto[[#This Row],[Name]],Crypto[Date],"&lt;="&amp;Crypto[[#This Row],[Date]])</f>
        <v>1.1351199999999999</v>
      </c>
      <c r="H813" s="3">
        <f>(Crypto[[#This Row],[Close]]/Crypto[[#This Row],[Peak Close]])-1</f>
        <v>-0.37494714215237157</v>
      </c>
      <c r="I813">
        <v>0.70094000000000001</v>
      </c>
      <c r="J813" s="1">
        <v>45738</v>
      </c>
      <c r="K813" s="3">
        <v>1.22264387822067E-2</v>
      </c>
      <c r="L813">
        <v>585188487</v>
      </c>
      <c r="M813" s="2" t="s">
        <v>10</v>
      </c>
    </row>
    <row r="814" spans="1:13" x14ac:dyDescent="0.3">
      <c r="A814" s="1">
        <v>45740</v>
      </c>
      <c r="B814" s="2" t="s">
        <v>9</v>
      </c>
      <c r="C814">
        <v>0.70950000000000002</v>
      </c>
      <c r="D814">
        <v>0.74402999999999997</v>
      </c>
      <c r="E814">
        <v>0.70674999999999999</v>
      </c>
      <c r="F814">
        <v>0.73099000000000003</v>
      </c>
      <c r="G814">
        <f>_xlfn.MAXIFS(Crypto[Close],Crypto[Name],Crypto[[#This Row],[Name]],Crypto[Date],"&lt;="&amp;Crypto[[#This Row],[Date]])</f>
        <v>1.1351199999999999</v>
      </c>
      <c r="H814" s="3">
        <f>(Crypto[[#This Row],[Close]]/Crypto[[#This Row],[Peak Close]])-1</f>
        <v>-0.35602403270138827</v>
      </c>
      <c r="I814">
        <v>0.70950999999999997</v>
      </c>
      <c r="J814" s="1">
        <v>45739</v>
      </c>
      <c r="K814" s="3">
        <v>3.02744147369312E-2</v>
      </c>
      <c r="L814">
        <v>894622894</v>
      </c>
      <c r="M814" s="2" t="s">
        <v>10</v>
      </c>
    </row>
    <row r="815" spans="1:13" x14ac:dyDescent="0.3">
      <c r="A815" s="1">
        <v>45741</v>
      </c>
      <c r="B815" s="2" t="s">
        <v>9</v>
      </c>
      <c r="C815">
        <v>0.73099999999999998</v>
      </c>
      <c r="D815">
        <v>0.76534000000000002</v>
      </c>
      <c r="E815">
        <v>0.72223000000000004</v>
      </c>
      <c r="F815">
        <v>0.74519999999999997</v>
      </c>
      <c r="G815">
        <f>_xlfn.MAXIFS(Crypto[Close],Crypto[Name],Crypto[[#This Row],[Name]],Crypto[Date],"&lt;="&amp;Crypto[[#This Row],[Date]])</f>
        <v>1.1351199999999999</v>
      </c>
      <c r="H815" s="3">
        <f>(Crypto[[#This Row],[Close]]/Crypto[[#This Row],[Peak Close]])-1</f>
        <v>-0.34350553245471838</v>
      </c>
      <c r="I815">
        <v>0.73099000000000003</v>
      </c>
      <c r="J815" s="1">
        <v>45740</v>
      </c>
      <c r="K815" s="3">
        <v>1.9439390415737501E-2</v>
      </c>
      <c r="L815">
        <v>1066564498</v>
      </c>
      <c r="M815" s="2" t="s">
        <v>10</v>
      </c>
    </row>
    <row r="816" spans="1:13" x14ac:dyDescent="0.3">
      <c r="A816" s="1">
        <v>45742</v>
      </c>
      <c r="B816" s="2" t="s">
        <v>9</v>
      </c>
      <c r="C816">
        <v>0.74519000000000002</v>
      </c>
      <c r="D816">
        <v>0.77278000000000002</v>
      </c>
      <c r="E816">
        <v>0.72192999999999996</v>
      </c>
      <c r="F816">
        <v>0.72806000000000004</v>
      </c>
      <c r="G816">
        <f>_xlfn.MAXIFS(Crypto[Close],Crypto[Name],Crypto[[#This Row],[Name]],Crypto[Date],"&lt;="&amp;Crypto[[#This Row],[Date]])</f>
        <v>1.1351199999999999</v>
      </c>
      <c r="H816" s="3">
        <f>(Crypto[[#This Row],[Close]]/Crypto[[#This Row],[Peak Close]])-1</f>
        <v>-0.35860525759391071</v>
      </c>
      <c r="I816">
        <v>0.74519999999999997</v>
      </c>
      <c r="J816" s="1">
        <v>45741</v>
      </c>
      <c r="K816" s="3">
        <v>-2.3000536768652598E-2</v>
      </c>
      <c r="L816">
        <v>937295461</v>
      </c>
      <c r="M816" s="2" t="s">
        <v>10</v>
      </c>
    </row>
    <row r="817" spans="1:13" x14ac:dyDescent="0.3">
      <c r="A817" s="1">
        <v>45743</v>
      </c>
      <c r="B817" s="2" t="s">
        <v>9</v>
      </c>
      <c r="C817">
        <v>0.72807999999999995</v>
      </c>
      <c r="D817">
        <v>0.74360000000000004</v>
      </c>
      <c r="E817">
        <v>0.72275999999999996</v>
      </c>
      <c r="F817">
        <v>0.73767000000000005</v>
      </c>
      <c r="G817">
        <f>_xlfn.MAXIFS(Crypto[Close],Crypto[Name],Crypto[[#This Row],[Name]],Crypto[Date],"&lt;="&amp;Crypto[[#This Row],[Date]])</f>
        <v>1.1351199999999999</v>
      </c>
      <c r="H817" s="3">
        <f>(Crypto[[#This Row],[Close]]/Crypto[[#This Row],[Peak Close]])-1</f>
        <v>-0.35013919233208812</v>
      </c>
      <c r="I817">
        <v>0.72806000000000004</v>
      </c>
      <c r="J817" s="1">
        <v>45742</v>
      </c>
      <c r="K817" s="3">
        <v>1.3199461582836599E-2</v>
      </c>
      <c r="L817">
        <v>574512540</v>
      </c>
      <c r="M817" s="2" t="s">
        <v>10</v>
      </c>
    </row>
    <row r="818" spans="1:13" x14ac:dyDescent="0.3">
      <c r="A818" s="1">
        <v>45744</v>
      </c>
      <c r="B818" s="2" t="s">
        <v>9</v>
      </c>
      <c r="C818">
        <v>0.73767000000000005</v>
      </c>
      <c r="D818">
        <v>0.74483999999999995</v>
      </c>
      <c r="E818">
        <v>0.69067000000000001</v>
      </c>
      <c r="F818">
        <v>0.70555000000000001</v>
      </c>
      <c r="G818">
        <f>_xlfn.MAXIFS(Crypto[Close],Crypto[Name],Crypto[[#This Row],[Name]],Crypto[Date],"&lt;="&amp;Crypto[[#This Row],[Date]])</f>
        <v>1.1351199999999999</v>
      </c>
      <c r="H818" s="3">
        <f>(Crypto[[#This Row],[Close]]/Crypto[[#This Row],[Peak Close]])-1</f>
        <v>-0.37843576009584878</v>
      </c>
      <c r="I818">
        <v>0.73767000000000005</v>
      </c>
      <c r="J818" s="1">
        <v>45743</v>
      </c>
      <c r="K818" s="3">
        <v>-4.3542505456369403E-2</v>
      </c>
      <c r="L818">
        <v>789537387</v>
      </c>
      <c r="M818" s="2" t="s">
        <v>10</v>
      </c>
    </row>
    <row r="819" spans="1:13" x14ac:dyDescent="0.3">
      <c r="A819" s="1">
        <v>45745</v>
      </c>
      <c r="B819" s="2" t="s">
        <v>9</v>
      </c>
      <c r="C819">
        <v>0.70555000000000001</v>
      </c>
      <c r="D819">
        <v>0.71118999999999999</v>
      </c>
      <c r="E819">
        <v>0.66119000000000006</v>
      </c>
      <c r="F819">
        <v>0.67391999999999996</v>
      </c>
      <c r="G819">
        <f>_xlfn.MAXIFS(Crypto[Close],Crypto[Name],Crypto[[#This Row],[Name]],Crypto[Date],"&lt;="&amp;Crypto[[#This Row],[Date]])</f>
        <v>1.1351199999999999</v>
      </c>
      <c r="H819" s="3">
        <f>(Crypto[[#This Row],[Close]]/Crypto[[#This Row],[Peak Close]])-1</f>
        <v>-0.40630065543731053</v>
      </c>
      <c r="I819">
        <v>0.70555000000000001</v>
      </c>
      <c r="J819" s="1">
        <v>45744</v>
      </c>
      <c r="K819" s="3">
        <v>-4.4830274254128E-2</v>
      </c>
      <c r="L819">
        <v>643130134</v>
      </c>
      <c r="M819" s="2" t="s">
        <v>10</v>
      </c>
    </row>
    <row r="820" spans="1:13" x14ac:dyDescent="0.3">
      <c r="A820" s="1">
        <v>45746</v>
      </c>
      <c r="B820" s="2" t="s">
        <v>9</v>
      </c>
      <c r="C820">
        <v>0.67391000000000001</v>
      </c>
      <c r="D820">
        <v>0.68672</v>
      </c>
      <c r="E820">
        <v>0.65210000000000001</v>
      </c>
      <c r="F820">
        <v>0.66071000000000002</v>
      </c>
      <c r="G820">
        <f>_xlfn.MAXIFS(Crypto[Close],Crypto[Name],Crypto[[#This Row],[Name]],Crypto[Date],"&lt;="&amp;Crypto[[#This Row],[Date]])</f>
        <v>1.1351199999999999</v>
      </c>
      <c r="H820" s="3">
        <f>(Crypto[[#This Row],[Close]]/Crypto[[#This Row],[Peak Close]])-1</f>
        <v>-0.41793819155683976</v>
      </c>
      <c r="I820">
        <v>0.67391999999999996</v>
      </c>
      <c r="J820" s="1">
        <v>45745</v>
      </c>
      <c r="K820" s="3">
        <v>-1.9601733143399701E-2</v>
      </c>
      <c r="L820">
        <v>489882249</v>
      </c>
      <c r="M820" s="2" t="s">
        <v>10</v>
      </c>
    </row>
    <row r="821" spans="1:13" x14ac:dyDescent="0.3">
      <c r="A821" s="1">
        <v>45747</v>
      </c>
      <c r="B821" s="2" t="s">
        <v>9</v>
      </c>
      <c r="C821">
        <v>0.66069999999999995</v>
      </c>
      <c r="D821">
        <v>0.66371999999999998</v>
      </c>
      <c r="E821">
        <v>0.63121000000000005</v>
      </c>
      <c r="F821">
        <v>0.66144999999999998</v>
      </c>
      <c r="G821">
        <f>_xlfn.MAXIFS(Crypto[Close],Crypto[Name],Crypto[[#This Row],[Name]],Crypto[Date],"&lt;="&amp;Crypto[[#This Row],[Date]])</f>
        <v>1.1351199999999999</v>
      </c>
      <c r="H821" s="3">
        <f>(Crypto[[#This Row],[Close]]/Crypto[[#This Row],[Peak Close]])-1</f>
        <v>-0.41728627810275565</v>
      </c>
      <c r="I821">
        <v>0.66071000000000002</v>
      </c>
      <c r="J821" s="1">
        <v>45746</v>
      </c>
      <c r="K821" s="3">
        <v>1.12000726491193E-3</v>
      </c>
      <c r="L821">
        <v>754677195</v>
      </c>
      <c r="M821" s="2" t="s">
        <v>10</v>
      </c>
    </row>
    <row r="822" spans="1:13" x14ac:dyDescent="0.3">
      <c r="A822" s="1">
        <v>45748</v>
      </c>
      <c r="B822" s="2" t="s">
        <v>9</v>
      </c>
      <c r="C822">
        <v>0.66144999999999998</v>
      </c>
      <c r="D822">
        <v>0.69262999999999997</v>
      </c>
      <c r="E822">
        <v>0.65912000000000004</v>
      </c>
      <c r="F822">
        <v>0.67764999999999997</v>
      </c>
      <c r="G822">
        <f>_xlfn.MAXIFS(Crypto[Close],Crypto[Name],Crypto[[#This Row],[Name]],Crypto[Date],"&lt;="&amp;Crypto[[#This Row],[Date]])</f>
        <v>1.1351199999999999</v>
      </c>
      <c r="H822" s="3">
        <f>(Crypto[[#This Row],[Close]]/Crypto[[#This Row],[Peak Close]])-1</f>
        <v>-0.40301465924307556</v>
      </c>
      <c r="I822">
        <v>0.66144999999999998</v>
      </c>
      <c r="J822" s="1">
        <v>45747</v>
      </c>
      <c r="K822" s="3">
        <v>2.4491647138861601E-2</v>
      </c>
      <c r="L822">
        <v>688019564</v>
      </c>
      <c r="M822" s="2" t="s">
        <v>10</v>
      </c>
    </row>
    <row r="823" spans="1:13" x14ac:dyDescent="0.3">
      <c r="A823" s="1">
        <v>45749</v>
      </c>
      <c r="B823" s="2" t="s">
        <v>9</v>
      </c>
      <c r="C823">
        <v>0.67764999999999997</v>
      </c>
      <c r="D823">
        <v>0.70562999999999998</v>
      </c>
      <c r="E823">
        <v>0.63717999999999997</v>
      </c>
      <c r="F823">
        <v>0.64163999999999999</v>
      </c>
      <c r="G823">
        <f>_xlfn.MAXIFS(Crypto[Close],Crypto[Name],Crypto[[#This Row],[Name]],Crypto[Date],"&lt;="&amp;Crypto[[#This Row],[Date]])</f>
        <v>1.1351199999999999</v>
      </c>
      <c r="H823" s="3">
        <f>(Crypto[[#This Row],[Close]]/Crypto[[#This Row],[Peak Close]])-1</f>
        <v>-0.43473817746141374</v>
      </c>
      <c r="I823">
        <v>0.67764999999999997</v>
      </c>
      <c r="J823" s="1">
        <v>45748</v>
      </c>
      <c r="K823" s="3">
        <v>-5.3139526304139303E-2</v>
      </c>
      <c r="L823">
        <v>969234908</v>
      </c>
      <c r="M823" s="2" t="s">
        <v>10</v>
      </c>
    </row>
    <row r="824" spans="1:13" x14ac:dyDescent="0.3">
      <c r="A824" s="1">
        <v>45750</v>
      </c>
      <c r="B824" s="2" t="s">
        <v>9</v>
      </c>
      <c r="C824">
        <v>0.64159999999999995</v>
      </c>
      <c r="D824">
        <v>0.65624000000000005</v>
      </c>
      <c r="E824">
        <v>0.61521999999999999</v>
      </c>
      <c r="F824">
        <v>0.65005999999999997</v>
      </c>
      <c r="G824">
        <f>_xlfn.MAXIFS(Crypto[Close],Crypto[Name],Crypto[[#This Row],[Name]],Crypto[Date],"&lt;="&amp;Crypto[[#This Row],[Date]])</f>
        <v>1.1351199999999999</v>
      </c>
      <c r="H824" s="3">
        <f>(Crypto[[#This Row],[Close]]/Crypto[[#This Row],[Peak Close]])-1</f>
        <v>-0.42732045951088871</v>
      </c>
      <c r="I824">
        <v>0.64163999999999999</v>
      </c>
      <c r="J824" s="1">
        <v>45749</v>
      </c>
      <c r="K824" s="3">
        <v>1.3122623277850499E-2</v>
      </c>
      <c r="L824">
        <v>873870076</v>
      </c>
      <c r="M824" s="2" t="s">
        <v>10</v>
      </c>
    </row>
    <row r="825" spans="1:13" x14ac:dyDescent="0.3">
      <c r="A825" s="1">
        <v>45751</v>
      </c>
      <c r="B825" s="2" t="s">
        <v>9</v>
      </c>
      <c r="C825">
        <v>0.65005999999999997</v>
      </c>
      <c r="D825">
        <v>0.66852999999999996</v>
      </c>
      <c r="E825">
        <v>0.62968999999999997</v>
      </c>
      <c r="F825">
        <v>0.66044999999999998</v>
      </c>
      <c r="G825">
        <f>_xlfn.MAXIFS(Crypto[Close],Crypto[Name],Crypto[[#This Row],[Name]],Crypto[Date],"&lt;="&amp;Crypto[[#This Row],[Date]])</f>
        <v>1.1351199999999999</v>
      </c>
      <c r="H825" s="3">
        <f>(Crypto[[#This Row],[Close]]/Crypto[[#This Row],[Peak Close]])-1</f>
        <v>-0.41816724222989632</v>
      </c>
      <c r="I825">
        <v>0.65005999999999997</v>
      </c>
      <c r="J825" s="1">
        <v>45750</v>
      </c>
      <c r="K825" s="3">
        <v>1.59831400178445E-2</v>
      </c>
      <c r="L825">
        <v>934938981</v>
      </c>
      <c r="M825" s="2" t="s">
        <v>10</v>
      </c>
    </row>
    <row r="826" spans="1:13" x14ac:dyDescent="0.3">
      <c r="A826" s="1">
        <v>45752</v>
      </c>
      <c r="B826" s="2" t="s">
        <v>9</v>
      </c>
      <c r="C826">
        <v>0.66044000000000003</v>
      </c>
      <c r="D826">
        <v>0.66639999999999999</v>
      </c>
      <c r="E826">
        <v>0.64575000000000005</v>
      </c>
      <c r="F826">
        <v>0.65466999999999997</v>
      </c>
      <c r="G826">
        <f>_xlfn.MAXIFS(Crypto[Close],Crypto[Name],Crypto[[#This Row],[Name]],Crypto[Date],"&lt;="&amp;Crypto[[#This Row],[Date]])</f>
        <v>1.1351199999999999</v>
      </c>
      <c r="H826" s="3">
        <f>(Crypto[[#This Row],[Close]]/Crypto[[#This Row],[Peak Close]])-1</f>
        <v>-0.42325921488476992</v>
      </c>
      <c r="I826">
        <v>0.66044999999999998</v>
      </c>
      <c r="J826" s="1">
        <v>45751</v>
      </c>
      <c r="K826" s="3">
        <v>-8.7516087516087606E-3</v>
      </c>
      <c r="L826">
        <v>403628594</v>
      </c>
      <c r="M826" s="2" t="s">
        <v>10</v>
      </c>
    </row>
    <row r="827" spans="1:13" x14ac:dyDescent="0.3">
      <c r="A827" s="1">
        <v>45753</v>
      </c>
      <c r="B827" s="2" t="s">
        <v>9</v>
      </c>
      <c r="C827">
        <v>0.65466999999999997</v>
      </c>
      <c r="D827">
        <v>0.65476000000000001</v>
      </c>
      <c r="E827">
        <v>0.56179000000000001</v>
      </c>
      <c r="F827">
        <v>0.57279000000000002</v>
      </c>
      <c r="G827">
        <f>_xlfn.MAXIFS(Crypto[Close],Crypto[Name],Crypto[[#This Row],[Name]],Crypto[Date],"&lt;="&amp;Crypto[[#This Row],[Date]])</f>
        <v>1.1351199999999999</v>
      </c>
      <c r="H827" s="3">
        <f>(Crypto[[#This Row],[Close]]/Crypto[[#This Row],[Peak Close]])-1</f>
        <v>-0.49539255761505385</v>
      </c>
      <c r="I827">
        <v>0.65466999999999997</v>
      </c>
      <c r="J827" s="1">
        <v>45752</v>
      </c>
      <c r="K827" s="3">
        <v>-0.12507064627980499</v>
      </c>
      <c r="L827">
        <v>943427756</v>
      </c>
      <c r="M827" s="2" t="s">
        <v>10</v>
      </c>
    </row>
    <row r="828" spans="1:13" x14ac:dyDescent="0.3">
      <c r="A828" s="1">
        <v>45754</v>
      </c>
      <c r="B828" s="2" t="s">
        <v>9</v>
      </c>
      <c r="C828">
        <v>0.57279999999999998</v>
      </c>
      <c r="D828">
        <v>0.59662000000000004</v>
      </c>
      <c r="E828">
        <v>0.51622999999999997</v>
      </c>
      <c r="F828">
        <v>0.58543000000000001</v>
      </c>
      <c r="G828">
        <f>_xlfn.MAXIFS(Crypto[Close],Crypto[Name],Crypto[[#This Row],[Name]],Crypto[Date],"&lt;="&amp;Crypto[[#This Row],[Date]])</f>
        <v>1.1351199999999999</v>
      </c>
      <c r="H828" s="3">
        <f>(Crypto[[#This Row],[Close]]/Crypto[[#This Row],[Peak Close]])-1</f>
        <v>-0.48425717104799493</v>
      </c>
      <c r="I828">
        <v>0.57279000000000002</v>
      </c>
      <c r="J828" s="1">
        <v>45753</v>
      </c>
      <c r="K828" s="3">
        <v>2.2067424361458799E-2</v>
      </c>
      <c r="L828">
        <v>1985606963</v>
      </c>
      <c r="M828" s="2" t="s">
        <v>10</v>
      </c>
    </row>
    <row r="829" spans="1:13" x14ac:dyDescent="0.3">
      <c r="A829" s="1">
        <v>45755</v>
      </c>
      <c r="B829" s="2" t="s">
        <v>9</v>
      </c>
      <c r="C829">
        <v>0.58543000000000001</v>
      </c>
      <c r="D829">
        <v>0.61665999999999999</v>
      </c>
      <c r="E829">
        <v>0.55442999999999998</v>
      </c>
      <c r="F829">
        <v>0.55789</v>
      </c>
      <c r="G829">
        <f>_xlfn.MAXIFS(Crypto[Close],Crypto[Name],Crypto[[#This Row],[Name]],Crypto[Date],"&lt;="&amp;Crypto[[#This Row],[Date]])</f>
        <v>1.1351199999999999</v>
      </c>
      <c r="H829" s="3">
        <f>(Crypto[[#This Row],[Close]]/Crypto[[#This Row],[Peak Close]])-1</f>
        <v>-0.5085189231094509</v>
      </c>
      <c r="I829">
        <v>0.58543000000000001</v>
      </c>
      <c r="J829" s="1">
        <v>45754</v>
      </c>
      <c r="K829" s="3">
        <v>-4.7042344943033297E-2</v>
      </c>
      <c r="L829">
        <v>1249643862</v>
      </c>
      <c r="M829" s="2" t="s">
        <v>10</v>
      </c>
    </row>
    <row r="830" spans="1:13" x14ac:dyDescent="0.3">
      <c r="A830" s="1">
        <v>45756</v>
      </c>
      <c r="B830" s="2" t="s">
        <v>9</v>
      </c>
      <c r="C830">
        <v>0.55786999999999998</v>
      </c>
      <c r="D830">
        <v>0.64383000000000001</v>
      </c>
      <c r="E830">
        <v>0.53800999999999999</v>
      </c>
      <c r="F830">
        <v>0.63168000000000002</v>
      </c>
      <c r="G830">
        <f>_xlfn.MAXIFS(Crypto[Close],Crypto[Name],Crypto[[#This Row],[Name]],Crypto[Date],"&lt;="&amp;Crypto[[#This Row],[Date]])</f>
        <v>1.1351199999999999</v>
      </c>
      <c r="H830" s="3">
        <f>(Crypto[[#This Row],[Close]]/Crypto[[#This Row],[Peak Close]])-1</f>
        <v>-0.44351258016773554</v>
      </c>
      <c r="I830">
        <v>0.55789</v>
      </c>
      <c r="J830" s="1">
        <v>45755</v>
      </c>
      <c r="K830" s="3">
        <v>0.132266217354676</v>
      </c>
      <c r="L830">
        <v>1648147581</v>
      </c>
      <c r="M830" s="2" t="s">
        <v>10</v>
      </c>
    </row>
    <row r="831" spans="1:13" x14ac:dyDescent="0.3">
      <c r="A831" s="1">
        <v>45757</v>
      </c>
      <c r="B831" s="2" t="s">
        <v>9</v>
      </c>
      <c r="C831">
        <v>0.63168999999999997</v>
      </c>
      <c r="D831">
        <v>0.63238000000000005</v>
      </c>
      <c r="E831">
        <v>0.58809999999999996</v>
      </c>
      <c r="F831">
        <v>0.60938999999999999</v>
      </c>
      <c r="G831">
        <f>_xlfn.MAXIFS(Crypto[Close],Crypto[Name],Crypto[[#This Row],[Name]],Crypto[Date],"&lt;="&amp;Crypto[[#This Row],[Date]])</f>
        <v>1.1351199999999999</v>
      </c>
      <c r="H831" s="3">
        <f>(Crypto[[#This Row],[Close]]/Crypto[[#This Row],[Peak Close]])-1</f>
        <v>-0.46314927056170274</v>
      </c>
      <c r="I831">
        <v>0.63168000000000002</v>
      </c>
      <c r="J831" s="1">
        <v>45756</v>
      </c>
      <c r="K831" s="3">
        <v>-3.52868541033435E-2</v>
      </c>
      <c r="L831">
        <v>921990046</v>
      </c>
      <c r="M831" s="2" t="s">
        <v>10</v>
      </c>
    </row>
    <row r="832" spans="1:13" x14ac:dyDescent="0.3">
      <c r="A832" s="1">
        <v>45758</v>
      </c>
      <c r="B832" s="2" t="s">
        <v>9</v>
      </c>
      <c r="C832">
        <v>0.60940000000000005</v>
      </c>
      <c r="D832">
        <v>0.63665000000000005</v>
      </c>
      <c r="E832">
        <v>0.60663999999999996</v>
      </c>
      <c r="F832">
        <v>0.62417</v>
      </c>
      <c r="G832">
        <f>_xlfn.MAXIFS(Crypto[Close],Crypto[Name],Crypto[[#This Row],[Name]],Crypto[Date],"&lt;="&amp;Crypto[[#This Row],[Date]])</f>
        <v>1.1351199999999999</v>
      </c>
      <c r="H832" s="3">
        <f>(Crypto[[#This Row],[Close]]/Crypto[[#This Row],[Peak Close]])-1</f>
        <v>-0.45012862076256255</v>
      </c>
      <c r="I832">
        <v>0.60938999999999999</v>
      </c>
      <c r="J832" s="1">
        <v>45757</v>
      </c>
      <c r="K832" s="3">
        <v>2.4253761958679999E-2</v>
      </c>
      <c r="L832">
        <v>837897601</v>
      </c>
      <c r="M832" s="2" t="s">
        <v>10</v>
      </c>
    </row>
    <row r="833" spans="1:13" x14ac:dyDescent="0.3">
      <c r="A833" s="1">
        <v>45759</v>
      </c>
      <c r="B833" s="2" t="s">
        <v>9</v>
      </c>
      <c r="C833">
        <v>0.62417</v>
      </c>
      <c r="D833">
        <v>0.66591</v>
      </c>
      <c r="E833">
        <v>0.61772000000000005</v>
      </c>
      <c r="F833">
        <v>0.65885000000000005</v>
      </c>
      <c r="G833">
        <f>_xlfn.MAXIFS(Crypto[Close],Crypto[Name],Crypto[[#This Row],[Name]],Crypto[Date],"&lt;="&amp;Crypto[[#This Row],[Date]])</f>
        <v>1.1351199999999999</v>
      </c>
      <c r="H833" s="3">
        <f>(Crypto[[#This Row],[Close]]/Crypto[[#This Row],[Peak Close]])-1</f>
        <v>-0.4195767848333215</v>
      </c>
      <c r="I833">
        <v>0.62417</v>
      </c>
      <c r="J833" s="1">
        <v>45758</v>
      </c>
      <c r="K833" s="3">
        <v>5.5561786051876998E-2</v>
      </c>
      <c r="L833">
        <v>676334951</v>
      </c>
      <c r="M833" s="2" t="s">
        <v>10</v>
      </c>
    </row>
    <row r="834" spans="1:13" x14ac:dyDescent="0.3">
      <c r="A834" s="1">
        <v>45760</v>
      </c>
      <c r="B834" s="2" t="s">
        <v>9</v>
      </c>
      <c r="C834">
        <v>0.65886</v>
      </c>
      <c r="D834">
        <v>0.66632000000000002</v>
      </c>
      <c r="E834">
        <v>0.63185999999999998</v>
      </c>
      <c r="F834">
        <v>0.63807000000000003</v>
      </c>
      <c r="G834">
        <f>_xlfn.MAXIFS(Crypto[Close],Crypto[Name],Crypto[[#This Row],[Name]],Crypto[Date],"&lt;="&amp;Crypto[[#This Row],[Date]])</f>
        <v>1.1351199999999999</v>
      </c>
      <c r="H834" s="3">
        <f>(Crypto[[#This Row],[Close]]/Crypto[[#This Row],[Peak Close]])-1</f>
        <v>-0.43788321939530617</v>
      </c>
      <c r="I834">
        <v>0.65885000000000005</v>
      </c>
      <c r="J834" s="1">
        <v>45759</v>
      </c>
      <c r="K834" s="3">
        <v>-3.1539804204295398E-2</v>
      </c>
      <c r="L834">
        <v>664262311</v>
      </c>
      <c r="M834" s="2" t="s">
        <v>10</v>
      </c>
    </row>
    <row r="835" spans="1:13" x14ac:dyDescent="0.3">
      <c r="A835" s="1">
        <v>45761</v>
      </c>
      <c r="B835" s="2" t="s">
        <v>9</v>
      </c>
      <c r="C835">
        <v>0.63807000000000003</v>
      </c>
      <c r="D835">
        <v>0.65569999999999995</v>
      </c>
      <c r="E835">
        <v>0.63007000000000002</v>
      </c>
      <c r="F835">
        <v>0.63487000000000005</v>
      </c>
      <c r="G835">
        <f>_xlfn.MAXIFS(Crypto[Close],Crypto[Name],Crypto[[#This Row],[Name]],Crypto[Date],"&lt;="&amp;Crypto[[#This Row],[Date]])</f>
        <v>1.1351199999999999</v>
      </c>
      <c r="H835" s="3">
        <f>(Crypto[[#This Row],[Close]]/Crypto[[#This Row],[Peak Close]])-1</f>
        <v>-0.44070230460215654</v>
      </c>
      <c r="I835">
        <v>0.63807000000000003</v>
      </c>
      <c r="J835" s="1">
        <v>45760</v>
      </c>
      <c r="K835" s="3">
        <v>-5.0151237325058102E-3</v>
      </c>
      <c r="L835">
        <v>702462762</v>
      </c>
      <c r="M835" s="2" t="s">
        <v>10</v>
      </c>
    </row>
    <row r="836" spans="1:13" x14ac:dyDescent="0.3">
      <c r="A836" s="1">
        <v>45762</v>
      </c>
      <c r="B836" s="2" t="s">
        <v>9</v>
      </c>
      <c r="C836">
        <v>0.63488</v>
      </c>
      <c r="D836">
        <v>0.64749999999999996</v>
      </c>
      <c r="E836">
        <v>0.60775999999999997</v>
      </c>
      <c r="F836">
        <v>0.60916000000000003</v>
      </c>
      <c r="G836">
        <f>_xlfn.MAXIFS(Crypto[Close],Crypto[Name],Crypto[[#This Row],[Name]],Crypto[Date],"&lt;="&amp;Crypto[[#This Row],[Date]])</f>
        <v>1.1351199999999999</v>
      </c>
      <c r="H836" s="3">
        <f>(Crypto[[#This Row],[Close]]/Crypto[[#This Row],[Peak Close]])-1</f>
        <v>-0.46335189231094498</v>
      </c>
      <c r="I836">
        <v>0.63487000000000005</v>
      </c>
      <c r="J836" s="1">
        <v>45761</v>
      </c>
      <c r="K836" s="3">
        <v>-4.0496479594247597E-2</v>
      </c>
      <c r="L836">
        <v>729833314</v>
      </c>
      <c r="M836" s="2" t="s">
        <v>10</v>
      </c>
    </row>
    <row r="837" spans="1:13" x14ac:dyDescent="0.3">
      <c r="A837" s="1">
        <v>45763</v>
      </c>
      <c r="B837" s="2" t="s">
        <v>9</v>
      </c>
      <c r="C837">
        <v>0.60916000000000003</v>
      </c>
      <c r="D837">
        <v>0.62256</v>
      </c>
      <c r="E837">
        <v>0.59733000000000003</v>
      </c>
      <c r="F837">
        <v>0.61041999999999996</v>
      </c>
      <c r="G837">
        <f>_xlfn.MAXIFS(Crypto[Close],Crypto[Name],Crypto[[#This Row],[Name]],Crypto[Date],"&lt;="&amp;Crypto[[#This Row],[Date]])</f>
        <v>1.1351199999999999</v>
      </c>
      <c r="H837" s="3">
        <f>(Crypto[[#This Row],[Close]]/Crypto[[#This Row],[Peak Close]])-1</f>
        <v>-0.46224187751074775</v>
      </c>
      <c r="I837">
        <v>0.60916000000000003</v>
      </c>
      <c r="J837" s="1">
        <v>45762</v>
      </c>
      <c r="K837" s="3">
        <v>2.06842208943451E-3</v>
      </c>
      <c r="L837">
        <v>660642294</v>
      </c>
      <c r="M837" s="2" t="s">
        <v>10</v>
      </c>
    </row>
    <row r="838" spans="1:13" x14ac:dyDescent="0.3">
      <c r="A838" s="1">
        <v>45764</v>
      </c>
      <c r="B838" s="2" t="s">
        <v>9</v>
      </c>
      <c r="C838">
        <v>0.61041999999999996</v>
      </c>
      <c r="D838">
        <v>0.62922999999999996</v>
      </c>
      <c r="E838">
        <v>0.60975000000000001</v>
      </c>
      <c r="F838">
        <v>0.61629999999999996</v>
      </c>
      <c r="G838">
        <f>_xlfn.MAXIFS(Crypto[Close],Crypto[Name],Crypto[[#This Row],[Name]],Crypto[Date],"&lt;="&amp;Crypto[[#This Row],[Date]])</f>
        <v>1.1351199999999999</v>
      </c>
      <c r="H838" s="3">
        <f>(Crypto[[#This Row],[Close]]/Crypto[[#This Row],[Peak Close]])-1</f>
        <v>-0.45706180844316013</v>
      </c>
      <c r="I838">
        <v>0.61041999999999996</v>
      </c>
      <c r="J838" s="1">
        <v>45763</v>
      </c>
      <c r="K838" s="3">
        <v>9.6327119032796997E-3</v>
      </c>
      <c r="L838">
        <v>459522026</v>
      </c>
      <c r="M838" s="2" t="s">
        <v>10</v>
      </c>
    </row>
    <row r="839" spans="1:13" x14ac:dyDescent="0.3">
      <c r="A839" s="1">
        <v>45765</v>
      </c>
      <c r="B839" s="2" t="s">
        <v>9</v>
      </c>
      <c r="C839">
        <v>0.61629999999999996</v>
      </c>
      <c r="D839">
        <v>0.63131999999999999</v>
      </c>
      <c r="E839">
        <v>0.61116000000000004</v>
      </c>
      <c r="F839">
        <v>0.62744</v>
      </c>
      <c r="G839">
        <f>_xlfn.MAXIFS(Crypto[Close],Crypto[Name],Crypto[[#This Row],[Name]],Crypto[Date],"&lt;="&amp;Crypto[[#This Row],[Date]])</f>
        <v>1.1351199999999999</v>
      </c>
      <c r="H839" s="3">
        <f>(Crypto[[#This Row],[Close]]/Crypto[[#This Row],[Peak Close]])-1</f>
        <v>-0.44724786806681227</v>
      </c>
      <c r="I839">
        <v>0.61629999999999996</v>
      </c>
      <c r="J839" s="1">
        <v>45764</v>
      </c>
      <c r="K839" s="3">
        <v>1.8075612526367101E-2</v>
      </c>
      <c r="L839">
        <v>385441968</v>
      </c>
      <c r="M839" s="2" t="s">
        <v>10</v>
      </c>
    </row>
    <row r="840" spans="1:13" x14ac:dyDescent="0.3">
      <c r="A840" s="1">
        <v>45766</v>
      </c>
      <c r="B840" s="2" t="s">
        <v>9</v>
      </c>
      <c r="C840">
        <v>0.62744</v>
      </c>
      <c r="D840">
        <v>0.63407999999999998</v>
      </c>
      <c r="E840">
        <v>0.61977000000000004</v>
      </c>
      <c r="F840">
        <v>0.62795000000000001</v>
      </c>
      <c r="G840">
        <f>_xlfn.MAXIFS(Crypto[Close],Crypto[Name],Crypto[[#This Row],[Name]],Crypto[Date],"&lt;="&amp;Crypto[[#This Row],[Date]])</f>
        <v>1.1351199999999999</v>
      </c>
      <c r="H840" s="3">
        <f>(Crypto[[#This Row],[Close]]/Crypto[[#This Row],[Peak Close]])-1</f>
        <v>-0.44679857636197051</v>
      </c>
      <c r="I840">
        <v>0.62744</v>
      </c>
      <c r="J840" s="1">
        <v>45765</v>
      </c>
      <c r="K840" s="3">
        <v>8.1282672446769504E-4</v>
      </c>
      <c r="L840">
        <v>343946478</v>
      </c>
      <c r="M840" s="2" t="s">
        <v>10</v>
      </c>
    </row>
    <row r="841" spans="1:13" x14ac:dyDescent="0.3">
      <c r="A841" s="1">
        <v>45767</v>
      </c>
      <c r="B841" s="2" t="s">
        <v>9</v>
      </c>
      <c r="C841">
        <v>0.62795000000000001</v>
      </c>
      <c r="D841">
        <v>0.63390999999999997</v>
      </c>
      <c r="E841">
        <v>0.61051999999999995</v>
      </c>
      <c r="F841">
        <v>0.61978</v>
      </c>
      <c r="G841">
        <f>_xlfn.MAXIFS(Crypto[Close],Crypto[Name],Crypto[[#This Row],[Name]],Crypto[Date],"&lt;="&amp;Crypto[[#This Row],[Date]])</f>
        <v>1.1351199999999999</v>
      </c>
      <c r="H841" s="3">
        <f>(Crypto[[#This Row],[Close]]/Crypto[[#This Row],[Peak Close]])-1</f>
        <v>-0.45399605328071035</v>
      </c>
      <c r="I841">
        <v>0.62795000000000001</v>
      </c>
      <c r="J841" s="1">
        <v>45766</v>
      </c>
      <c r="K841" s="3">
        <v>-1.30105900151286E-2</v>
      </c>
      <c r="L841">
        <v>366085065</v>
      </c>
      <c r="M841" s="2" t="s">
        <v>10</v>
      </c>
    </row>
    <row r="842" spans="1:13" x14ac:dyDescent="0.3">
      <c r="A842" s="1">
        <v>45768</v>
      </c>
      <c r="B842" s="2" t="s">
        <v>9</v>
      </c>
      <c r="C842">
        <v>0.61978</v>
      </c>
      <c r="D842">
        <v>0.64920999999999995</v>
      </c>
      <c r="E842">
        <v>0.61765000000000003</v>
      </c>
      <c r="F842">
        <v>0.62394000000000005</v>
      </c>
      <c r="G842">
        <f>_xlfn.MAXIFS(Crypto[Close],Crypto[Name],Crypto[[#This Row],[Name]],Crypto[Date],"&lt;="&amp;Crypto[[#This Row],[Date]])</f>
        <v>1.1351199999999999</v>
      </c>
      <c r="H842" s="3">
        <f>(Crypto[[#This Row],[Close]]/Crypto[[#This Row],[Peak Close]])-1</f>
        <v>-0.45033124251180479</v>
      </c>
      <c r="I842">
        <v>0.61978</v>
      </c>
      <c r="J842" s="1">
        <v>45767</v>
      </c>
      <c r="K842" s="3">
        <v>6.7120591177515397E-3</v>
      </c>
      <c r="L842">
        <v>657464744</v>
      </c>
      <c r="M842" s="2" t="s">
        <v>10</v>
      </c>
    </row>
    <row r="843" spans="1:13" x14ac:dyDescent="0.3">
      <c r="A843" s="1">
        <v>45769</v>
      </c>
      <c r="B843" s="2" t="s">
        <v>9</v>
      </c>
      <c r="C843">
        <v>0.62394000000000005</v>
      </c>
      <c r="D843">
        <v>0.68388000000000004</v>
      </c>
      <c r="E843">
        <v>0.61838000000000004</v>
      </c>
      <c r="F843">
        <v>0.6804</v>
      </c>
      <c r="G843">
        <f>_xlfn.MAXIFS(Crypto[Close],Crypto[Name],Crypto[[#This Row],[Name]],Crypto[Date],"&lt;="&amp;Crypto[[#This Row],[Date]])</f>
        <v>1.1351199999999999</v>
      </c>
      <c r="H843" s="3">
        <f>(Crypto[[#This Row],[Close]]/Crypto[[#This Row],[Peak Close]])-1</f>
        <v>-0.40059200789343852</v>
      </c>
      <c r="I843">
        <v>0.62394000000000005</v>
      </c>
      <c r="J843" s="1">
        <v>45768</v>
      </c>
      <c r="K843" s="3">
        <v>9.0489470141359593E-2</v>
      </c>
      <c r="L843">
        <v>857733017</v>
      </c>
      <c r="M843" s="2" t="s">
        <v>10</v>
      </c>
    </row>
    <row r="844" spans="1:13" x14ac:dyDescent="0.3">
      <c r="A844" s="1">
        <v>45770</v>
      </c>
      <c r="B844" s="2" t="s">
        <v>9</v>
      </c>
      <c r="C844">
        <v>0.68039000000000005</v>
      </c>
      <c r="D844">
        <v>0.71526999999999996</v>
      </c>
      <c r="E844">
        <v>0.67842000000000002</v>
      </c>
      <c r="F844">
        <v>0.69757000000000002</v>
      </c>
      <c r="G844">
        <f>_xlfn.MAXIFS(Crypto[Close],Crypto[Name],Crypto[[#This Row],[Name]],Crypto[Date],"&lt;="&amp;Crypto[[#This Row],[Date]])</f>
        <v>1.1351199999999999</v>
      </c>
      <c r="H844" s="3">
        <f>(Crypto[[#This Row],[Close]]/Crypto[[#This Row],[Peak Close]])-1</f>
        <v>-0.38546585383043197</v>
      </c>
      <c r="I844">
        <v>0.6804</v>
      </c>
      <c r="J844" s="1">
        <v>45769</v>
      </c>
      <c r="K844" s="3">
        <v>2.5235155790711401E-2</v>
      </c>
      <c r="L844">
        <v>971202640</v>
      </c>
      <c r="M844" s="2" t="s">
        <v>10</v>
      </c>
    </row>
    <row r="845" spans="1:13" x14ac:dyDescent="0.3">
      <c r="A845" s="1">
        <v>45771</v>
      </c>
      <c r="B845" s="2" t="s">
        <v>9</v>
      </c>
      <c r="C845">
        <v>0.69757000000000002</v>
      </c>
      <c r="D845">
        <v>0.73909000000000002</v>
      </c>
      <c r="E845">
        <v>0.67149000000000003</v>
      </c>
      <c r="F845">
        <v>0.72182999999999997</v>
      </c>
      <c r="G845">
        <f>_xlfn.MAXIFS(Crypto[Close],Crypto[Name],Crypto[[#This Row],[Name]],Crypto[Date],"&lt;="&amp;Crypto[[#This Row],[Date]])</f>
        <v>1.1351199999999999</v>
      </c>
      <c r="H845" s="3">
        <f>(Crypto[[#This Row],[Close]]/Crypto[[#This Row],[Peak Close]])-1</f>
        <v>-0.36409366410599753</v>
      </c>
      <c r="I845">
        <v>0.69757000000000002</v>
      </c>
      <c r="J845" s="1">
        <v>45770</v>
      </c>
      <c r="K845" s="3">
        <v>3.47778717548059E-2</v>
      </c>
      <c r="L845">
        <v>1033424969</v>
      </c>
      <c r="M845" s="2" t="s">
        <v>10</v>
      </c>
    </row>
    <row r="846" spans="1:13" x14ac:dyDescent="0.3">
      <c r="A846" s="1">
        <v>45772</v>
      </c>
      <c r="B846" s="2" t="s">
        <v>9</v>
      </c>
      <c r="C846">
        <v>0.72197999999999996</v>
      </c>
      <c r="D846">
        <v>0.72770999999999997</v>
      </c>
      <c r="E846">
        <v>0.70335000000000003</v>
      </c>
      <c r="F846">
        <v>0.71414</v>
      </c>
      <c r="G846">
        <f>_xlfn.MAXIFS(Crypto[Close],Crypto[Name],Crypto[[#This Row],[Name]],Crypto[Date],"&lt;="&amp;Crypto[[#This Row],[Date]])</f>
        <v>1.1351199999999999</v>
      </c>
      <c r="H846" s="3">
        <f>(Crypto[[#This Row],[Close]]/Crypto[[#This Row],[Peak Close]])-1</f>
        <v>-0.37086827824370983</v>
      </c>
      <c r="I846">
        <v>0.72182999999999997</v>
      </c>
      <c r="J846" s="1">
        <v>45771</v>
      </c>
      <c r="K846" s="3">
        <v>-1.0653477965726001E-2</v>
      </c>
      <c r="L846">
        <v>957571529</v>
      </c>
      <c r="M846" s="2" t="s">
        <v>10</v>
      </c>
    </row>
    <row r="847" spans="1:13" x14ac:dyDescent="0.3">
      <c r="A847" s="1">
        <v>45773</v>
      </c>
      <c r="B847" s="2" t="s">
        <v>9</v>
      </c>
      <c r="C847">
        <v>0.71411999999999998</v>
      </c>
      <c r="D847">
        <v>0.73314000000000001</v>
      </c>
      <c r="E847">
        <v>0.70237000000000005</v>
      </c>
      <c r="F847">
        <v>0.70752000000000004</v>
      </c>
      <c r="G847">
        <f>_xlfn.MAXIFS(Crypto[Close],Crypto[Name],Crypto[[#This Row],[Name]],Crypto[Date],"&lt;="&amp;Crypto[[#This Row],[Date]])</f>
        <v>1.1351199999999999</v>
      </c>
      <c r="H847" s="3">
        <f>(Crypto[[#This Row],[Close]]/Crypto[[#This Row],[Peak Close]])-1</f>
        <v>-0.37670026076538154</v>
      </c>
      <c r="I847">
        <v>0.71414</v>
      </c>
      <c r="J847" s="1">
        <v>45772</v>
      </c>
      <c r="K847" s="3">
        <v>-9.2698910577757292E-3</v>
      </c>
      <c r="L847">
        <v>660103423</v>
      </c>
      <c r="M847" s="2" t="s">
        <v>10</v>
      </c>
    </row>
    <row r="848" spans="1:13" x14ac:dyDescent="0.3">
      <c r="A848" s="1">
        <v>45774</v>
      </c>
      <c r="B848" s="2" t="s">
        <v>9</v>
      </c>
      <c r="C848">
        <v>0.70750999999999997</v>
      </c>
      <c r="D848">
        <v>0.71702999999999995</v>
      </c>
      <c r="E848">
        <v>0.69245999999999996</v>
      </c>
      <c r="F848">
        <v>0.70398000000000005</v>
      </c>
      <c r="G848">
        <f>_xlfn.MAXIFS(Crypto[Close],Crypto[Name],Crypto[[#This Row],[Name]],Crypto[Date],"&lt;="&amp;Crypto[[#This Row],[Date]])</f>
        <v>1.1351199999999999</v>
      </c>
      <c r="H848" s="3">
        <f>(Crypto[[#This Row],[Close]]/Crypto[[#This Row],[Peak Close]])-1</f>
        <v>-0.37981887377545975</v>
      </c>
      <c r="I848">
        <v>0.70752000000000004</v>
      </c>
      <c r="J848" s="1">
        <v>45773</v>
      </c>
      <c r="K848" s="3">
        <v>-5.00339213025778E-3</v>
      </c>
      <c r="L848">
        <v>573620571</v>
      </c>
      <c r="M848" s="2" t="s">
        <v>10</v>
      </c>
    </row>
    <row r="849" spans="1:13" x14ac:dyDescent="0.3">
      <c r="A849" s="1">
        <v>45775</v>
      </c>
      <c r="B849" s="2" t="s">
        <v>9</v>
      </c>
      <c r="C849">
        <v>0.70398000000000005</v>
      </c>
      <c r="D849">
        <v>0.72819</v>
      </c>
      <c r="E849">
        <v>0.68435000000000001</v>
      </c>
      <c r="F849">
        <v>0.70548</v>
      </c>
      <c r="G849">
        <f>_xlfn.MAXIFS(Crypto[Close],Crypto[Name],Crypto[[#This Row],[Name]],Crypto[Date],"&lt;="&amp;Crypto[[#This Row],[Date]])</f>
        <v>1.1351199999999999</v>
      </c>
      <c r="H849" s="3">
        <f>(Crypto[[#This Row],[Close]]/Crypto[[#This Row],[Peak Close]])-1</f>
        <v>-0.37849742758474869</v>
      </c>
      <c r="I849">
        <v>0.70398000000000005</v>
      </c>
      <c r="J849" s="1">
        <v>45774</v>
      </c>
      <c r="K849" s="3">
        <v>2.1307423506348802E-3</v>
      </c>
      <c r="L849">
        <v>895129397</v>
      </c>
      <c r="M849" s="2" t="s">
        <v>10</v>
      </c>
    </row>
    <row r="850" spans="1:13" x14ac:dyDescent="0.3">
      <c r="A850" s="1">
        <v>45776</v>
      </c>
      <c r="B850" s="2" t="s">
        <v>9</v>
      </c>
      <c r="C850">
        <v>0.70548</v>
      </c>
      <c r="D850">
        <v>0.71762999999999999</v>
      </c>
      <c r="E850">
        <v>0.69032000000000004</v>
      </c>
      <c r="F850">
        <v>0.69633</v>
      </c>
      <c r="G850">
        <f>_xlfn.MAXIFS(Crypto[Close],Crypto[Name],Crypto[[#This Row],[Name]],Crypto[Date],"&lt;="&amp;Crypto[[#This Row],[Date]])</f>
        <v>1.1351199999999999</v>
      </c>
      <c r="H850" s="3">
        <f>(Crypto[[#This Row],[Close]]/Crypto[[#This Row],[Peak Close]])-1</f>
        <v>-0.38655824934808647</v>
      </c>
      <c r="I850">
        <v>0.70548</v>
      </c>
      <c r="J850" s="1">
        <v>45775</v>
      </c>
      <c r="K850" s="3">
        <v>-1.2969892838918201E-2</v>
      </c>
      <c r="L850">
        <v>839231770</v>
      </c>
      <c r="M850" s="2" t="s">
        <v>10</v>
      </c>
    </row>
    <row r="851" spans="1:13" x14ac:dyDescent="0.3">
      <c r="A851" s="1">
        <v>45777</v>
      </c>
      <c r="B851" s="2" t="s">
        <v>9</v>
      </c>
      <c r="C851">
        <v>0.69633</v>
      </c>
      <c r="D851">
        <v>0.70282999999999995</v>
      </c>
      <c r="E851">
        <v>0.66688999999999998</v>
      </c>
      <c r="F851">
        <v>0.68193000000000004</v>
      </c>
      <c r="G851">
        <f>_xlfn.MAXIFS(Crypto[Close],Crypto[Name],Crypto[[#This Row],[Name]],Crypto[Date],"&lt;="&amp;Crypto[[#This Row],[Date]])</f>
        <v>1.1351199999999999</v>
      </c>
      <c r="H851" s="3">
        <f>(Crypto[[#This Row],[Close]]/Crypto[[#This Row],[Peak Close]])-1</f>
        <v>-0.39924413277891313</v>
      </c>
      <c r="I851">
        <v>0.69633</v>
      </c>
      <c r="J851" s="1">
        <v>45776</v>
      </c>
      <c r="K851" s="3">
        <v>-2.06798500710869E-2</v>
      </c>
      <c r="L851">
        <v>664786586</v>
      </c>
      <c r="M851" s="2" t="s">
        <v>10</v>
      </c>
    </row>
    <row r="852" spans="1:13" x14ac:dyDescent="0.3">
      <c r="A852" s="1">
        <v>45778</v>
      </c>
      <c r="B852" s="2" t="s">
        <v>9</v>
      </c>
      <c r="C852">
        <v>0.68193999999999999</v>
      </c>
      <c r="D852">
        <v>0.71379999999999999</v>
      </c>
      <c r="E852">
        <v>0.68183000000000005</v>
      </c>
      <c r="F852">
        <v>0.70543</v>
      </c>
      <c r="G852">
        <f>_xlfn.MAXIFS(Crypto[Close],Crypto[Name],Crypto[[#This Row],[Name]],Crypto[Date],"&lt;="&amp;Crypto[[#This Row],[Date]])</f>
        <v>1.1351199999999999</v>
      </c>
      <c r="H852" s="3">
        <f>(Crypto[[#This Row],[Close]]/Crypto[[#This Row],[Peak Close]])-1</f>
        <v>-0.37854147579110575</v>
      </c>
      <c r="I852">
        <v>0.68193000000000004</v>
      </c>
      <c r="J852" s="1">
        <v>45777</v>
      </c>
      <c r="K852" s="3">
        <v>3.4461015060196699E-2</v>
      </c>
      <c r="L852">
        <v>602107137</v>
      </c>
      <c r="M852" s="2" t="s">
        <v>10</v>
      </c>
    </row>
    <row r="853" spans="1:13" x14ac:dyDescent="0.3">
      <c r="A853" s="1">
        <v>45779</v>
      </c>
      <c r="B853" s="2" t="s">
        <v>9</v>
      </c>
      <c r="C853">
        <v>0.70543</v>
      </c>
      <c r="D853">
        <v>0.72433999999999998</v>
      </c>
      <c r="E853">
        <v>0.69006999999999996</v>
      </c>
      <c r="F853">
        <v>0.69803999999999999</v>
      </c>
      <c r="G853">
        <f>_xlfn.MAXIFS(Crypto[Close],Crypto[Name],Crypto[[#This Row],[Name]],Crypto[Date],"&lt;="&amp;Crypto[[#This Row],[Date]])</f>
        <v>1.1351199999999999</v>
      </c>
      <c r="H853" s="3">
        <f>(Crypto[[#This Row],[Close]]/Crypto[[#This Row],[Peak Close]])-1</f>
        <v>-0.38505180069067579</v>
      </c>
      <c r="I853">
        <v>0.70543</v>
      </c>
      <c r="J853" s="1">
        <v>45778</v>
      </c>
      <c r="K853" s="3">
        <v>-1.04758799597409E-2</v>
      </c>
      <c r="L853">
        <v>690154754</v>
      </c>
      <c r="M853" s="2" t="s">
        <v>10</v>
      </c>
    </row>
    <row r="854" spans="1:13" x14ac:dyDescent="0.3">
      <c r="A854" s="1">
        <v>45780</v>
      </c>
      <c r="B854" s="2" t="s">
        <v>9</v>
      </c>
      <c r="C854">
        <v>0.69803999999999999</v>
      </c>
      <c r="D854">
        <v>0.72836000000000001</v>
      </c>
      <c r="E854">
        <v>0.69271000000000005</v>
      </c>
      <c r="F854">
        <v>0.70103000000000004</v>
      </c>
      <c r="G854">
        <f>_xlfn.MAXIFS(Crypto[Close],Crypto[Name],Crypto[[#This Row],[Name]],Crypto[Date],"&lt;="&amp;Crypto[[#This Row],[Date]])</f>
        <v>1.1351199999999999</v>
      </c>
      <c r="H854" s="3">
        <f>(Crypto[[#This Row],[Close]]/Crypto[[#This Row],[Peak Close]])-1</f>
        <v>-0.38241771795052493</v>
      </c>
      <c r="I854">
        <v>0.69803999999999999</v>
      </c>
      <c r="J854" s="1">
        <v>45779</v>
      </c>
      <c r="K854" s="3">
        <v>4.2834221534583201E-3</v>
      </c>
      <c r="L854">
        <v>778920755</v>
      </c>
      <c r="M854" s="2" t="s">
        <v>10</v>
      </c>
    </row>
    <row r="855" spans="1:13" x14ac:dyDescent="0.3">
      <c r="A855" s="1">
        <v>45781</v>
      </c>
      <c r="B855" s="2" t="s">
        <v>9</v>
      </c>
      <c r="C855">
        <v>0.70103000000000004</v>
      </c>
      <c r="D855">
        <v>0.71336999999999995</v>
      </c>
      <c r="E855">
        <v>0.67339000000000004</v>
      </c>
      <c r="F855">
        <v>0.67669000000000001</v>
      </c>
      <c r="G855">
        <f>_xlfn.MAXIFS(Crypto[Close],Crypto[Name],Crypto[[#This Row],[Name]],Crypto[Date],"&lt;="&amp;Crypto[[#This Row],[Date]])</f>
        <v>1.1351199999999999</v>
      </c>
      <c r="H855" s="3">
        <f>(Crypto[[#This Row],[Close]]/Crypto[[#This Row],[Peak Close]])-1</f>
        <v>-0.40386038480513065</v>
      </c>
      <c r="I855">
        <v>0.70103000000000004</v>
      </c>
      <c r="J855" s="1">
        <v>45780</v>
      </c>
      <c r="K855" s="3">
        <v>-3.47203400710384E-2</v>
      </c>
      <c r="L855">
        <v>704179966</v>
      </c>
      <c r="M855" s="2" t="s">
        <v>10</v>
      </c>
    </row>
    <row r="856" spans="1:13" x14ac:dyDescent="0.3">
      <c r="A856" s="1">
        <v>45782</v>
      </c>
      <c r="B856" s="2" t="s">
        <v>9</v>
      </c>
      <c r="C856">
        <v>0.67669000000000001</v>
      </c>
      <c r="D856">
        <v>0.68979000000000001</v>
      </c>
      <c r="E856">
        <v>0.65600000000000003</v>
      </c>
      <c r="F856">
        <v>0.66298000000000001</v>
      </c>
      <c r="G856">
        <f>_xlfn.MAXIFS(Crypto[Close],Crypto[Name],Crypto[[#This Row],[Name]],Crypto[Date],"&lt;="&amp;Crypto[[#This Row],[Date]])</f>
        <v>1.1351199999999999</v>
      </c>
      <c r="H856" s="3">
        <f>(Crypto[[#This Row],[Close]]/Crypto[[#This Row],[Peak Close]])-1</f>
        <v>-0.41593840298823026</v>
      </c>
      <c r="I856">
        <v>0.67669000000000001</v>
      </c>
      <c r="J856" s="1">
        <v>45781</v>
      </c>
      <c r="K856" s="3">
        <v>-2.0260385109873099E-2</v>
      </c>
      <c r="L856">
        <v>699151297</v>
      </c>
      <c r="M856" s="2" t="s">
        <v>10</v>
      </c>
    </row>
    <row r="857" spans="1:13" x14ac:dyDescent="0.3">
      <c r="A857" s="1">
        <v>45783</v>
      </c>
      <c r="B857" s="2" t="s">
        <v>9</v>
      </c>
      <c r="C857">
        <v>0.66298000000000001</v>
      </c>
      <c r="D857">
        <v>0.67996999999999996</v>
      </c>
      <c r="E857">
        <v>0.64463000000000004</v>
      </c>
      <c r="F857">
        <v>0.67837999999999998</v>
      </c>
      <c r="G857">
        <f>_xlfn.MAXIFS(Crypto[Close],Crypto[Name],Crypto[[#This Row],[Name]],Crypto[Date],"&lt;="&amp;Crypto[[#This Row],[Date]])</f>
        <v>1.1351199999999999</v>
      </c>
      <c r="H857" s="3">
        <f>(Crypto[[#This Row],[Close]]/Crypto[[#This Row],[Peak Close]])-1</f>
        <v>-0.40237155543026282</v>
      </c>
      <c r="I857">
        <v>0.66298000000000001</v>
      </c>
      <c r="J857" s="1">
        <v>45782</v>
      </c>
      <c r="K857" s="3">
        <v>2.32284533470089E-2</v>
      </c>
      <c r="L857">
        <v>592765534</v>
      </c>
      <c r="M857" s="2" t="s">
        <v>10</v>
      </c>
    </row>
    <row r="858" spans="1:13" x14ac:dyDescent="0.3">
      <c r="A858" s="1">
        <v>45784</v>
      </c>
      <c r="B858" s="2" t="s">
        <v>9</v>
      </c>
      <c r="C858">
        <v>0.67837000000000003</v>
      </c>
      <c r="D858">
        <v>0.68784000000000001</v>
      </c>
      <c r="E858">
        <v>0.65654000000000001</v>
      </c>
      <c r="F858">
        <v>0.67118999999999995</v>
      </c>
      <c r="G858">
        <f>_xlfn.MAXIFS(Crypto[Close],Crypto[Name],Crypto[[#This Row],[Name]],Crypto[Date],"&lt;="&amp;Crypto[[#This Row],[Date]])</f>
        <v>1.1351199999999999</v>
      </c>
      <c r="H858" s="3">
        <f>(Crypto[[#This Row],[Close]]/Crypto[[#This Row],[Peak Close]])-1</f>
        <v>-0.40870568750440484</v>
      </c>
      <c r="I858">
        <v>0.67837999999999998</v>
      </c>
      <c r="J858" s="1">
        <v>45783</v>
      </c>
      <c r="K858" s="3">
        <v>-1.0598779445148801E-2</v>
      </c>
      <c r="L858">
        <v>615619795</v>
      </c>
      <c r="M858" s="2" t="s">
        <v>10</v>
      </c>
    </row>
    <row r="859" spans="1:13" x14ac:dyDescent="0.3">
      <c r="A859" s="1">
        <v>45785</v>
      </c>
      <c r="B859" s="2" t="s">
        <v>9</v>
      </c>
      <c r="C859">
        <v>0.67120999999999997</v>
      </c>
      <c r="D859">
        <v>0.76834000000000002</v>
      </c>
      <c r="E859">
        <v>0.67078000000000004</v>
      </c>
      <c r="F859">
        <v>0.76659999999999995</v>
      </c>
      <c r="G859">
        <f>_xlfn.MAXIFS(Crypto[Close],Crypto[Name],Crypto[[#This Row],[Name]],Crypto[Date],"&lt;="&amp;Crypto[[#This Row],[Date]])</f>
        <v>1.1351199999999999</v>
      </c>
      <c r="H859" s="3">
        <f>(Crypto[[#This Row],[Close]]/Crypto[[#This Row],[Peak Close]])-1</f>
        <v>-0.32465290013390657</v>
      </c>
      <c r="I859">
        <v>0.67118999999999995</v>
      </c>
      <c r="J859" s="1">
        <v>45784</v>
      </c>
      <c r="K859" s="3">
        <v>0.142150508797807</v>
      </c>
      <c r="L859">
        <v>1352507618</v>
      </c>
      <c r="M859" s="2" t="s">
        <v>10</v>
      </c>
    </row>
    <row r="860" spans="1:13" x14ac:dyDescent="0.3">
      <c r="A860" s="1">
        <v>45786</v>
      </c>
      <c r="B860" s="2" t="s">
        <v>9</v>
      </c>
      <c r="C860">
        <v>0.76673999999999998</v>
      </c>
      <c r="D860">
        <v>0.81616999999999995</v>
      </c>
      <c r="E860">
        <v>0.75585999999999998</v>
      </c>
      <c r="F860">
        <v>0.77771000000000001</v>
      </c>
      <c r="G860">
        <f>_xlfn.MAXIFS(Crypto[Close],Crypto[Name],Crypto[[#This Row],[Name]],Crypto[Date],"&lt;="&amp;Crypto[[#This Row],[Date]])</f>
        <v>1.1351199999999999</v>
      </c>
      <c r="H860" s="3">
        <f>(Crypto[[#This Row],[Close]]/Crypto[[#This Row],[Peak Close]])-1</f>
        <v>-0.31486538868137282</v>
      </c>
      <c r="I860">
        <v>0.76659999999999995</v>
      </c>
      <c r="J860" s="1">
        <v>45785</v>
      </c>
      <c r="K860" s="3">
        <v>1.4492564570832299E-2</v>
      </c>
      <c r="L860">
        <v>1495123581</v>
      </c>
      <c r="M860" s="2" t="s">
        <v>10</v>
      </c>
    </row>
    <row r="861" spans="1:13" x14ac:dyDescent="0.3">
      <c r="A861" s="1">
        <v>45787</v>
      </c>
      <c r="B861" s="2" t="s">
        <v>9</v>
      </c>
      <c r="C861">
        <v>0.77771000000000001</v>
      </c>
      <c r="D861">
        <v>0.84148000000000001</v>
      </c>
      <c r="E861">
        <v>0.77302999999999999</v>
      </c>
      <c r="F861">
        <v>0.84126999999999996</v>
      </c>
      <c r="G861">
        <f>_xlfn.MAXIFS(Crypto[Close],Crypto[Name],Crypto[[#This Row],[Name]],Crypto[Date],"&lt;="&amp;Crypto[[#This Row],[Date]])</f>
        <v>1.1351199999999999</v>
      </c>
      <c r="H861" s="3">
        <f>(Crypto[[#This Row],[Close]]/Crypto[[#This Row],[Peak Close]])-1</f>
        <v>-0.25887130876030728</v>
      </c>
      <c r="I861">
        <v>0.77771000000000001</v>
      </c>
      <c r="J861" s="1">
        <v>45786</v>
      </c>
      <c r="K861" s="3">
        <v>8.1727121934911398E-2</v>
      </c>
      <c r="L861">
        <v>1434324472</v>
      </c>
      <c r="M861" s="2" t="s">
        <v>10</v>
      </c>
    </row>
    <row r="862" spans="1:13" x14ac:dyDescent="0.3">
      <c r="A862" s="1">
        <v>45788</v>
      </c>
      <c r="B862" s="2" t="s">
        <v>9</v>
      </c>
      <c r="C862">
        <v>0.84126000000000001</v>
      </c>
      <c r="D862">
        <v>0.84355999999999998</v>
      </c>
      <c r="E862">
        <v>0.78427000000000002</v>
      </c>
      <c r="F862">
        <v>0.80498999999999998</v>
      </c>
      <c r="G862">
        <f>_xlfn.MAXIFS(Crypto[Close],Crypto[Name],Crypto[[#This Row],[Name]],Crypto[Date],"&lt;="&amp;Crypto[[#This Row],[Date]])</f>
        <v>1.1351199999999999</v>
      </c>
      <c r="H862" s="3">
        <f>(Crypto[[#This Row],[Close]]/Crypto[[#This Row],[Peak Close]])-1</f>
        <v>-0.2908326872929734</v>
      </c>
      <c r="I862">
        <v>0.84126999999999996</v>
      </c>
      <c r="J862" s="1">
        <v>45787</v>
      </c>
      <c r="K862" s="3">
        <v>-4.3125274882023598E-2</v>
      </c>
      <c r="L862">
        <v>1092674369</v>
      </c>
      <c r="M862" s="2" t="s">
        <v>10</v>
      </c>
    </row>
    <row r="863" spans="1:13" x14ac:dyDescent="0.3">
      <c r="A863" s="1">
        <v>45789</v>
      </c>
      <c r="B863" s="2" t="s">
        <v>9</v>
      </c>
      <c r="C863">
        <v>0.80498999999999998</v>
      </c>
      <c r="D863">
        <v>0.86082999999999998</v>
      </c>
      <c r="E863">
        <v>0.78725000000000001</v>
      </c>
      <c r="F863">
        <v>0.81764000000000003</v>
      </c>
      <c r="G863">
        <f>_xlfn.MAXIFS(Crypto[Close],Crypto[Name],Crypto[[#This Row],[Name]],Crypto[Date],"&lt;="&amp;Crypto[[#This Row],[Date]])</f>
        <v>1.1351199999999999</v>
      </c>
      <c r="H863" s="3">
        <f>(Crypto[[#This Row],[Close]]/Crypto[[#This Row],[Peak Close]])-1</f>
        <v>-0.279688491084643</v>
      </c>
      <c r="I863">
        <v>0.80498999999999998</v>
      </c>
      <c r="J863" s="1">
        <v>45788</v>
      </c>
      <c r="K863" s="3">
        <v>1.57144809252289E-2</v>
      </c>
      <c r="L863">
        <v>2013365721</v>
      </c>
      <c r="M863" s="2" t="s">
        <v>10</v>
      </c>
    </row>
    <row r="864" spans="1:13" x14ac:dyDescent="0.3">
      <c r="A864" s="1">
        <v>45790</v>
      </c>
      <c r="B864" s="2" t="s">
        <v>9</v>
      </c>
      <c r="C864">
        <v>0.81764000000000003</v>
      </c>
      <c r="D864">
        <v>0.84075999999999995</v>
      </c>
      <c r="E864">
        <v>0.77427000000000001</v>
      </c>
      <c r="F864">
        <v>0.83155999999999997</v>
      </c>
      <c r="G864">
        <f>_xlfn.MAXIFS(Crypto[Close],Crypto[Name],Crypto[[#This Row],[Name]],Crypto[Date],"&lt;="&amp;Crypto[[#This Row],[Date]])</f>
        <v>1.1351199999999999</v>
      </c>
      <c r="H864" s="3">
        <f>(Crypto[[#This Row],[Close]]/Crypto[[#This Row],[Peak Close]])-1</f>
        <v>-0.26742547043484388</v>
      </c>
      <c r="I864">
        <v>0.81764000000000003</v>
      </c>
      <c r="J864" s="1">
        <v>45789</v>
      </c>
      <c r="K864" s="3">
        <v>1.7024607406682601E-2</v>
      </c>
      <c r="L864">
        <v>1325631679</v>
      </c>
      <c r="M864" s="2" t="s">
        <v>10</v>
      </c>
    </row>
    <row r="865" spans="1:13" x14ac:dyDescent="0.3">
      <c r="A865" s="1">
        <v>45791</v>
      </c>
      <c r="B865" s="2" t="s">
        <v>9</v>
      </c>
      <c r="C865">
        <v>0.83157999999999999</v>
      </c>
      <c r="D865">
        <v>0.83172000000000001</v>
      </c>
      <c r="E865">
        <v>0.79076000000000002</v>
      </c>
      <c r="F865">
        <v>0.79952000000000001</v>
      </c>
      <c r="G865">
        <f>_xlfn.MAXIFS(Crypto[Close],Crypto[Name],Crypto[[#This Row],[Name]],Crypto[Date],"&lt;="&amp;Crypto[[#This Row],[Date]])</f>
        <v>1.1351199999999999</v>
      </c>
      <c r="H865" s="3">
        <f>(Crypto[[#This Row],[Close]]/Crypto[[#This Row],[Peak Close]])-1</f>
        <v>-0.29565156106843327</v>
      </c>
      <c r="I865">
        <v>0.83155999999999997</v>
      </c>
      <c r="J865" s="1">
        <v>45790</v>
      </c>
      <c r="K865" s="3">
        <v>-3.8529991822598399E-2</v>
      </c>
      <c r="L865">
        <v>1149087779</v>
      </c>
      <c r="M865" s="2" t="s">
        <v>10</v>
      </c>
    </row>
    <row r="866" spans="1:13" x14ac:dyDescent="0.3">
      <c r="A866" s="1">
        <v>45792</v>
      </c>
      <c r="B866" s="2" t="s">
        <v>9</v>
      </c>
      <c r="C866">
        <v>0.79952999999999996</v>
      </c>
      <c r="D866">
        <v>0.80967999999999996</v>
      </c>
      <c r="E866">
        <v>0.74685000000000001</v>
      </c>
      <c r="F866">
        <v>0.76124000000000003</v>
      </c>
      <c r="G866">
        <f>_xlfn.MAXIFS(Crypto[Close],Crypto[Name],Crypto[[#This Row],[Name]],Crypto[Date],"&lt;="&amp;Crypto[[#This Row],[Date]])</f>
        <v>1.1351199999999999</v>
      </c>
      <c r="H866" s="3">
        <f>(Crypto[[#This Row],[Close]]/Crypto[[#This Row],[Peak Close]])-1</f>
        <v>-0.32937486785538084</v>
      </c>
      <c r="I866">
        <v>0.79952000000000001</v>
      </c>
      <c r="J866" s="1">
        <v>45791</v>
      </c>
      <c r="K866" s="3">
        <v>-4.7878727236341803E-2</v>
      </c>
      <c r="L866">
        <v>1282600970</v>
      </c>
      <c r="M866" s="2" t="s">
        <v>10</v>
      </c>
    </row>
    <row r="867" spans="1:13" x14ac:dyDescent="0.3">
      <c r="A867" s="1">
        <v>45793</v>
      </c>
      <c r="B867" s="2" t="s">
        <v>9</v>
      </c>
      <c r="C867">
        <v>0.76127</v>
      </c>
      <c r="D867">
        <v>0.78498000000000001</v>
      </c>
      <c r="E867">
        <v>0.75290999999999997</v>
      </c>
      <c r="F867">
        <v>0.75927</v>
      </c>
      <c r="G867">
        <f>_xlfn.MAXIFS(Crypto[Close],Crypto[Name],Crypto[[#This Row],[Name]],Crypto[Date],"&lt;="&amp;Crypto[[#This Row],[Date]])</f>
        <v>1.1351199999999999</v>
      </c>
      <c r="H867" s="3">
        <f>(Crypto[[#This Row],[Close]]/Crypto[[#This Row],[Peak Close]])-1</f>
        <v>-0.33111036718584819</v>
      </c>
      <c r="I867">
        <v>0.76124000000000003</v>
      </c>
      <c r="J867" s="1">
        <v>45792</v>
      </c>
      <c r="K867" s="3">
        <v>-2.5878829278545902E-3</v>
      </c>
      <c r="L867">
        <v>761962011</v>
      </c>
      <c r="M867" s="2" t="s">
        <v>10</v>
      </c>
    </row>
    <row r="868" spans="1:13" x14ac:dyDescent="0.3">
      <c r="A868" s="1">
        <v>45794</v>
      </c>
      <c r="B868" s="2" t="s">
        <v>9</v>
      </c>
      <c r="C868">
        <v>0.75927</v>
      </c>
      <c r="D868">
        <v>0.78027999999999997</v>
      </c>
      <c r="E868">
        <v>0.72946999999999995</v>
      </c>
      <c r="F868">
        <v>0.74238999999999999</v>
      </c>
      <c r="G868">
        <f>_xlfn.MAXIFS(Crypto[Close],Crypto[Name],Crypto[[#This Row],[Name]],Crypto[Date],"&lt;="&amp;Crypto[[#This Row],[Date]])</f>
        <v>1.1351199999999999</v>
      </c>
      <c r="H868" s="3">
        <f>(Crypto[[#This Row],[Close]]/Crypto[[#This Row],[Peak Close]])-1</f>
        <v>-0.34598104165198384</v>
      </c>
      <c r="I868">
        <v>0.75927</v>
      </c>
      <c r="J868" s="1">
        <v>45793</v>
      </c>
      <c r="K868" s="3">
        <v>-2.2231880622176601E-2</v>
      </c>
      <c r="L868">
        <v>974561722</v>
      </c>
      <c r="M868" s="2" t="s">
        <v>10</v>
      </c>
    </row>
    <row r="869" spans="1:13" x14ac:dyDescent="0.3">
      <c r="A869" s="1">
        <v>45795</v>
      </c>
      <c r="B869" s="2" t="s">
        <v>9</v>
      </c>
      <c r="C869">
        <v>0.74238999999999999</v>
      </c>
      <c r="D869">
        <v>0.77524999999999999</v>
      </c>
      <c r="E869">
        <v>0.72462000000000004</v>
      </c>
      <c r="F869">
        <v>0.76063000000000003</v>
      </c>
      <c r="G869">
        <f>_xlfn.MAXIFS(Crypto[Close],Crypto[Name],Crypto[[#This Row],[Name]],Crypto[Date],"&lt;="&amp;Crypto[[#This Row],[Date]])</f>
        <v>1.1351199999999999</v>
      </c>
      <c r="H869" s="3">
        <f>(Crypto[[#This Row],[Close]]/Crypto[[#This Row],[Peak Close]])-1</f>
        <v>-0.32991225597293672</v>
      </c>
      <c r="I869">
        <v>0.74238999999999999</v>
      </c>
      <c r="J869" s="1">
        <v>45794</v>
      </c>
      <c r="K869" s="3">
        <v>2.4569296461428702E-2</v>
      </c>
      <c r="L869">
        <v>940509064</v>
      </c>
      <c r="M869" s="2" t="s">
        <v>10</v>
      </c>
    </row>
    <row r="870" spans="1:13" x14ac:dyDescent="0.3">
      <c r="A870" s="1">
        <v>45796</v>
      </c>
      <c r="B870" s="2" t="s">
        <v>9</v>
      </c>
      <c r="C870">
        <v>0.76060000000000005</v>
      </c>
      <c r="D870">
        <v>0.76322999999999996</v>
      </c>
      <c r="E870">
        <v>0.71201000000000003</v>
      </c>
      <c r="F870">
        <v>0.74306000000000005</v>
      </c>
      <c r="G870">
        <f>_xlfn.MAXIFS(Crypto[Close],Crypto[Name],Crypto[[#This Row],[Name]],Crypto[Date],"&lt;="&amp;Crypto[[#This Row],[Date]])</f>
        <v>1.1351199999999999</v>
      </c>
      <c r="H870" s="3">
        <f>(Crypto[[#This Row],[Close]]/Crypto[[#This Row],[Peak Close]])-1</f>
        <v>-0.34539079568679953</v>
      </c>
      <c r="I870">
        <v>0.76063000000000003</v>
      </c>
      <c r="J870" s="1">
        <v>45795</v>
      </c>
      <c r="K870" s="3">
        <v>-2.3099272971089699E-2</v>
      </c>
      <c r="L870">
        <v>870207859</v>
      </c>
      <c r="M870" s="2" t="s">
        <v>10</v>
      </c>
    </row>
    <row r="871" spans="1:13" x14ac:dyDescent="0.3">
      <c r="A871" s="1">
        <v>45797</v>
      </c>
      <c r="B871" s="2" t="s">
        <v>9</v>
      </c>
      <c r="C871">
        <v>0.74306000000000005</v>
      </c>
      <c r="D871">
        <v>0.75248999999999999</v>
      </c>
      <c r="E871">
        <v>0.72382000000000002</v>
      </c>
      <c r="F871">
        <v>0.74573</v>
      </c>
      <c r="G871">
        <f>_xlfn.MAXIFS(Crypto[Close],Crypto[Name],Crypto[[#This Row],[Name]],Crypto[Date],"&lt;="&amp;Crypto[[#This Row],[Date]])</f>
        <v>1.1351199999999999</v>
      </c>
      <c r="H871" s="3">
        <f>(Crypto[[#This Row],[Close]]/Crypto[[#This Row],[Peak Close]])-1</f>
        <v>-0.34303862146733377</v>
      </c>
      <c r="I871">
        <v>0.74306000000000005</v>
      </c>
      <c r="J871" s="1">
        <v>45796</v>
      </c>
      <c r="K871" s="3">
        <v>3.5932495357036401E-3</v>
      </c>
      <c r="L871">
        <v>718031523</v>
      </c>
      <c r="M871" s="2" t="s">
        <v>10</v>
      </c>
    </row>
    <row r="872" spans="1:13" x14ac:dyDescent="0.3">
      <c r="A872" s="1">
        <v>45798</v>
      </c>
      <c r="B872" s="2" t="s">
        <v>9</v>
      </c>
      <c r="C872">
        <v>0.74572000000000005</v>
      </c>
      <c r="D872">
        <v>0.78207000000000004</v>
      </c>
      <c r="E872">
        <v>0.73946000000000001</v>
      </c>
      <c r="F872">
        <v>0.77071999999999996</v>
      </c>
      <c r="G872">
        <f>_xlfn.MAXIFS(Crypto[Close],Crypto[Name],Crypto[[#This Row],[Name]],Crypto[Date],"&lt;="&amp;Crypto[[#This Row],[Date]])</f>
        <v>1.1351199999999999</v>
      </c>
      <c r="H872" s="3">
        <f>(Crypto[[#This Row],[Close]]/Crypto[[#This Row],[Peak Close]])-1</f>
        <v>-0.3210233279300867</v>
      </c>
      <c r="I872">
        <v>0.74573</v>
      </c>
      <c r="J872" s="1">
        <v>45797</v>
      </c>
      <c r="K872" s="3">
        <v>3.3510788086840999E-2</v>
      </c>
      <c r="L872">
        <v>1107919947</v>
      </c>
      <c r="M872" s="2" t="s">
        <v>10</v>
      </c>
    </row>
    <row r="873" spans="1:13" x14ac:dyDescent="0.3">
      <c r="A873" s="1">
        <v>45799</v>
      </c>
      <c r="B873" s="2" t="s">
        <v>9</v>
      </c>
      <c r="C873">
        <v>0.77071999999999996</v>
      </c>
      <c r="D873">
        <v>0.80984999999999996</v>
      </c>
      <c r="E873">
        <v>0.76988999999999996</v>
      </c>
      <c r="F873">
        <v>0.80813999999999997</v>
      </c>
      <c r="G873">
        <f>_xlfn.MAXIFS(Crypto[Close],Crypto[Name],Crypto[[#This Row],[Name]],Crypto[Date],"&lt;="&amp;Crypto[[#This Row],[Date]])</f>
        <v>1.1351199999999999</v>
      </c>
      <c r="H873" s="3">
        <f>(Crypto[[#This Row],[Close]]/Crypto[[#This Row],[Peak Close]])-1</f>
        <v>-0.28805765029248009</v>
      </c>
      <c r="I873">
        <v>0.77071999999999996</v>
      </c>
      <c r="J873" s="1">
        <v>45798</v>
      </c>
      <c r="K873" s="3">
        <v>4.8552003321569497E-2</v>
      </c>
      <c r="L873">
        <v>1060144223</v>
      </c>
      <c r="M873" s="2" t="s">
        <v>10</v>
      </c>
    </row>
    <row r="874" spans="1:13" x14ac:dyDescent="0.3">
      <c r="A874" s="1">
        <v>45800</v>
      </c>
      <c r="B874" s="2" t="s">
        <v>9</v>
      </c>
      <c r="C874">
        <v>0.80815999999999999</v>
      </c>
      <c r="D874">
        <v>0.83962000000000003</v>
      </c>
      <c r="E874">
        <v>0.74502000000000002</v>
      </c>
      <c r="F874">
        <v>0.74638000000000004</v>
      </c>
      <c r="G874">
        <f>_xlfn.MAXIFS(Crypto[Close],Crypto[Name],Crypto[[#This Row],[Name]],Crypto[Date],"&lt;="&amp;Crypto[[#This Row],[Date]])</f>
        <v>1.1351199999999999</v>
      </c>
      <c r="H874" s="3">
        <f>(Crypto[[#This Row],[Close]]/Crypto[[#This Row],[Peak Close]])-1</f>
        <v>-0.34246599478469231</v>
      </c>
      <c r="I874">
        <v>0.80813999999999997</v>
      </c>
      <c r="J874" s="1">
        <v>45799</v>
      </c>
      <c r="K874" s="3">
        <v>-7.6422402059049099E-2</v>
      </c>
      <c r="L874">
        <v>1438828552</v>
      </c>
      <c r="M874" s="2" t="s">
        <v>10</v>
      </c>
    </row>
    <row r="875" spans="1:13" x14ac:dyDescent="0.3">
      <c r="A875" s="1">
        <v>45801</v>
      </c>
      <c r="B875" s="2" t="s">
        <v>9</v>
      </c>
      <c r="C875">
        <v>0.74638000000000004</v>
      </c>
      <c r="D875">
        <v>0.76593</v>
      </c>
      <c r="E875">
        <v>0.74278</v>
      </c>
      <c r="F875">
        <v>0.74719000000000002</v>
      </c>
      <c r="G875">
        <f>_xlfn.MAXIFS(Crypto[Close],Crypto[Name],Crypto[[#This Row],[Name]],Crypto[Date],"&lt;="&amp;Crypto[[#This Row],[Date]])</f>
        <v>1.1351199999999999</v>
      </c>
      <c r="H875" s="3">
        <f>(Crypto[[#This Row],[Close]]/Crypto[[#This Row],[Peak Close]])-1</f>
        <v>-0.34175241384170829</v>
      </c>
      <c r="I875">
        <v>0.74638000000000004</v>
      </c>
      <c r="J875" s="1">
        <v>45800</v>
      </c>
      <c r="K875" s="3">
        <v>1.0852380824780601E-3</v>
      </c>
      <c r="L875">
        <v>606044855</v>
      </c>
      <c r="M875" s="2" t="s">
        <v>10</v>
      </c>
    </row>
    <row r="876" spans="1:13" x14ac:dyDescent="0.3">
      <c r="A876" s="1">
        <v>45802</v>
      </c>
      <c r="B876" s="2" t="s">
        <v>9</v>
      </c>
      <c r="C876">
        <v>0.74719000000000002</v>
      </c>
      <c r="D876">
        <v>0.76</v>
      </c>
      <c r="E876">
        <v>0.72990999999999995</v>
      </c>
      <c r="F876">
        <v>0.75997999999999999</v>
      </c>
      <c r="G876">
        <f>_xlfn.MAXIFS(Crypto[Close],Crypto[Name],Crypto[[#This Row],[Name]],Crypto[Date],"&lt;="&amp;Crypto[[#This Row],[Date]])</f>
        <v>1.1351199999999999</v>
      </c>
      <c r="H876" s="3">
        <f>(Crypto[[#This Row],[Close]]/Crypto[[#This Row],[Peak Close]])-1</f>
        <v>-0.33048488265557818</v>
      </c>
      <c r="I876">
        <v>0.74719000000000002</v>
      </c>
      <c r="J876" s="1">
        <v>45801</v>
      </c>
      <c r="K876" s="3">
        <v>1.71174667755189E-2</v>
      </c>
      <c r="L876">
        <v>665579932</v>
      </c>
      <c r="M876" s="2" t="s">
        <v>10</v>
      </c>
    </row>
    <row r="877" spans="1:13" x14ac:dyDescent="0.3">
      <c r="A877" s="1">
        <v>45803</v>
      </c>
      <c r="B877" s="2" t="s">
        <v>9</v>
      </c>
      <c r="C877">
        <v>0.75997999999999999</v>
      </c>
      <c r="D877">
        <v>0.77568000000000004</v>
      </c>
      <c r="E877">
        <v>0.75295999999999996</v>
      </c>
      <c r="F877">
        <v>0.75954999999999995</v>
      </c>
      <c r="G877">
        <f>_xlfn.MAXIFS(Crypto[Close],Crypto[Name],Crypto[[#This Row],[Name]],Crypto[Date],"&lt;="&amp;Crypto[[#This Row],[Date]])</f>
        <v>1.1351199999999999</v>
      </c>
      <c r="H877" s="3">
        <f>(Crypto[[#This Row],[Close]]/Crypto[[#This Row],[Peak Close]])-1</f>
        <v>-0.33086369723024878</v>
      </c>
      <c r="I877">
        <v>0.75997999999999999</v>
      </c>
      <c r="J877" s="1">
        <v>45802</v>
      </c>
      <c r="K877" s="3">
        <v>-5.6580436327277204E-4</v>
      </c>
      <c r="L877">
        <v>648219927</v>
      </c>
      <c r="M877" s="2" t="s">
        <v>10</v>
      </c>
    </row>
    <row r="878" spans="1:13" x14ac:dyDescent="0.3">
      <c r="A878" s="1">
        <v>45804</v>
      </c>
      <c r="B878" s="2" t="s">
        <v>9</v>
      </c>
      <c r="C878">
        <v>0.75954999999999995</v>
      </c>
      <c r="D878">
        <v>0.77497000000000005</v>
      </c>
      <c r="E878">
        <v>0.74568999999999996</v>
      </c>
      <c r="F878">
        <v>0.75868000000000002</v>
      </c>
      <c r="G878">
        <f>_xlfn.MAXIFS(Crypto[Close],Crypto[Name],Crypto[[#This Row],[Name]],Crypto[Date],"&lt;="&amp;Crypto[[#This Row],[Date]])</f>
        <v>1.1351199999999999</v>
      </c>
      <c r="H878" s="3">
        <f>(Crypto[[#This Row],[Close]]/Crypto[[#This Row],[Peak Close]])-1</f>
        <v>-0.33163013602086111</v>
      </c>
      <c r="I878">
        <v>0.75954999999999995</v>
      </c>
      <c r="J878" s="1">
        <v>45803</v>
      </c>
      <c r="K878" s="3">
        <v>-1.1454150483838101E-3</v>
      </c>
      <c r="L878">
        <v>707175899</v>
      </c>
      <c r="M878" s="2" t="s">
        <v>10</v>
      </c>
    </row>
    <row r="879" spans="1:13" x14ac:dyDescent="0.3">
      <c r="A879" s="1">
        <v>45805</v>
      </c>
      <c r="B879" s="2" t="s">
        <v>9</v>
      </c>
      <c r="C879">
        <v>0.75868000000000002</v>
      </c>
      <c r="D879">
        <v>0.76034000000000002</v>
      </c>
      <c r="E879">
        <v>0.73346999999999996</v>
      </c>
      <c r="F879">
        <v>0.74689000000000005</v>
      </c>
      <c r="G879">
        <f>_xlfn.MAXIFS(Crypto[Close],Crypto[Name],Crypto[[#This Row],[Name]],Crypto[Date],"&lt;="&amp;Crypto[[#This Row],[Date]])</f>
        <v>1.1351199999999999</v>
      </c>
      <c r="H879" s="3">
        <f>(Crypto[[#This Row],[Close]]/Crypto[[#This Row],[Peak Close]])-1</f>
        <v>-0.34201670307985044</v>
      </c>
      <c r="I879">
        <v>0.75868000000000002</v>
      </c>
      <c r="J879" s="1">
        <v>45804</v>
      </c>
      <c r="K879" s="3">
        <v>-1.5540148679285E-2</v>
      </c>
      <c r="L879">
        <v>597350861</v>
      </c>
      <c r="M879" s="2" t="s">
        <v>10</v>
      </c>
    </row>
    <row r="880" spans="1:13" x14ac:dyDescent="0.3">
      <c r="A880" s="1">
        <v>45806</v>
      </c>
      <c r="B880" s="2" t="s">
        <v>9</v>
      </c>
      <c r="C880">
        <v>0.74689000000000005</v>
      </c>
      <c r="D880">
        <v>0.76449</v>
      </c>
      <c r="E880">
        <v>0.72209000000000001</v>
      </c>
      <c r="F880">
        <v>0.72233999999999998</v>
      </c>
      <c r="G880">
        <f>_xlfn.MAXIFS(Crypto[Close],Crypto[Name],Crypto[[#This Row],[Name]],Crypto[Date],"&lt;="&amp;Crypto[[#This Row],[Date]])</f>
        <v>1.1351199999999999</v>
      </c>
      <c r="H880" s="3">
        <f>(Crypto[[#This Row],[Close]]/Crypto[[#This Row],[Peak Close]])-1</f>
        <v>-0.36364437240115577</v>
      </c>
      <c r="I880">
        <v>0.74689000000000005</v>
      </c>
      <c r="J880" s="1">
        <v>45805</v>
      </c>
      <c r="K880" s="3">
        <v>-3.2869632743777598E-2</v>
      </c>
      <c r="L880">
        <v>722295527</v>
      </c>
      <c r="M880" s="2" t="s">
        <v>10</v>
      </c>
    </row>
    <row r="881" spans="1:13" x14ac:dyDescent="0.3">
      <c r="A881" s="1">
        <v>45807</v>
      </c>
      <c r="B881" s="2" t="s">
        <v>9</v>
      </c>
      <c r="C881">
        <v>0.72233999999999998</v>
      </c>
      <c r="D881">
        <v>0.72709000000000001</v>
      </c>
      <c r="E881">
        <v>0.68711</v>
      </c>
      <c r="F881">
        <v>0.68933</v>
      </c>
      <c r="G881">
        <f>_xlfn.MAXIFS(Crypto[Close],Crypto[Name],Crypto[[#This Row],[Name]],Crypto[Date],"&lt;="&amp;Crypto[[#This Row],[Date]])</f>
        <v>1.1351199999999999</v>
      </c>
      <c r="H881" s="3">
        <f>(Crypto[[#This Row],[Close]]/Crypto[[#This Row],[Peak Close]])-1</f>
        <v>-0.39272499823807172</v>
      </c>
      <c r="I881">
        <v>0.72233999999999998</v>
      </c>
      <c r="J881" s="1">
        <v>45806</v>
      </c>
      <c r="K881" s="3">
        <v>-4.5698701442533997E-2</v>
      </c>
      <c r="L881">
        <v>1028958874</v>
      </c>
      <c r="M881" s="2" t="s">
        <v>10</v>
      </c>
    </row>
    <row r="882" spans="1:13" x14ac:dyDescent="0.3">
      <c r="A882" s="1">
        <v>45808</v>
      </c>
      <c r="B882" s="2" t="s">
        <v>9</v>
      </c>
      <c r="C882">
        <v>0.68933</v>
      </c>
      <c r="D882">
        <v>0.69464000000000004</v>
      </c>
      <c r="E882">
        <v>0.65808999999999995</v>
      </c>
      <c r="F882">
        <v>0.68606999999999996</v>
      </c>
      <c r="G882">
        <f>_xlfn.MAXIFS(Crypto[Close],Crypto[Name],Crypto[[#This Row],[Name]],Crypto[Date],"&lt;="&amp;Crypto[[#This Row],[Date]])</f>
        <v>1.1351199999999999</v>
      </c>
      <c r="H882" s="3">
        <f>(Crypto[[#This Row],[Close]]/Crypto[[#This Row],[Peak Close]])-1</f>
        <v>-0.39559694129255052</v>
      </c>
      <c r="I882">
        <v>0.68933</v>
      </c>
      <c r="J882" s="1">
        <v>45807</v>
      </c>
      <c r="K882" s="3">
        <v>-4.72922983186578E-3</v>
      </c>
      <c r="L882">
        <v>812725496</v>
      </c>
      <c r="M882" s="2" t="s">
        <v>10</v>
      </c>
    </row>
    <row r="883" spans="1:13" x14ac:dyDescent="0.3">
      <c r="A883" s="1">
        <v>45809</v>
      </c>
      <c r="B883" s="2" t="s">
        <v>9</v>
      </c>
      <c r="C883">
        <v>0.68606999999999996</v>
      </c>
      <c r="D883">
        <v>0.68706999999999996</v>
      </c>
      <c r="E883">
        <v>0.65671000000000002</v>
      </c>
      <c r="F883">
        <v>0.68496999999999997</v>
      </c>
      <c r="G883">
        <f>_xlfn.MAXIFS(Crypto[Close],Crypto[Name],Crypto[[#This Row],[Name]],Crypto[Date],"&lt;="&amp;Crypto[[#This Row],[Date]])</f>
        <v>1.1351199999999999</v>
      </c>
      <c r="H883" s="3">
        <f>(Crypto[[#This Row],[Close]]/Crypto[[#This Row],[Peak Close]])-1</f>
        <v>-0.39656600183240531</v>
      </c>
      <c r="I883">
        <v>0.68606999999999996</v>
      </c>
      <c r="J883" s="1">
        <v>45808</v>
      </c>
      <c r="K883" s="3">
        <v>-1.60333493666826E-3</v>
      </c>
      <c r="L883">
        <v>601446044</v>
      </c>
      <c r="M883" s="2" t="s">
        <v>10</v>
      </c>
    </row>
    <row r="884" spans="1:13" x14ac:dyDescent="0.3">
      <c r="A884" s="1">
        <v>45810</v>
      </c>
      <c r="B884" s="2" t="s">
        <v>9</v>
      </c>
      <c r="C884">
        <v>0.68496999999999997</v>
      </c>
      <c r="D884">
        <v>0.6915</v>
      </c>
      <c r="E884">
        <v>0.66527000000000003</v>
      </c>
      <c r="F884">
        <v>0.68967999999999996</v>
      </c>
      <c r="G884">
        <f>_xlfn.MAXIFS(Crypto[Close],Crypto[Name],Crypto[[#This Row],[Name]],Crypto[Date],"&lt;="&amp;Crypto[[#This Row],[Date]])</f>
        <v>1.1351199999999999</v>
      </c>
      <c r="H884" s="3">
        <f>(Crypto[[#This Row],[Close]]/Crypto[[#This Row],[Peak Close]])-1</f>
        <v>-0.39241666079357251</v>
      </c>
      <c r="I884">
        <v>0.68496999999999997</v>
      </c>
      <c r="J884" s="1">
        <v>45809</v>
      </c>
      <c r="K884" s="3">
        <v>6.8762135567980998E-3</v>
      </c>
      <c r="L884">
        <v>644713300</v>
      </c>
      <c r="M884" s="2" t="s">
        <v>10</v>
      </c>
    </row>
    <row r="885" spans="1:13" x14ac:dyDescent="0.3">
      <c r="A885" s="1">
        <v>45811</v>
      </c>
      <c r="B885" s="2" t="s">
        <v>9</v>
      </c>
      <c r="C885">
        <v>0.68967999999999996</v>
      </c>
      <c r="D885">
        <v>0.70582999999999996</v>
      </c>
      <c r="E885">
        <v>0.67720000000000002</v>
      </c>
      <c r="F885">
        <v>0.68461000000000005</v>
      </c>
      <c r="G885">
        <f>_xlfn.MAXIFS(Crypto[Close],Crypto[Name],Crypto[[#This Row],[Name]],Crypto[Date],"&lt;="&amp;Crypto[[#This Row],[Date]])</f>
        <v>1.1351199999999999</v>
      </c>
      <c r="H885" s="3">
        <f>(Crypto[[#This Row],[Close]]/Crypto[[#This Row],[Peak Close]])-1</f>
        <v>-0.396883148918176</v>
      </c>
      <c r="I885">
        <v>0.68967999999999996</v>
      </c>
      <c r="J885" s="1">
        <v>45810</v>
      </c>
      <c r="K885" s="3">
        <v>-7.3512353555270698E-3</v>
      </c>
      <c r="L885">
        <v>564411241</v>
      </c>
      <c r="M885" s="2" t="s">
        <v>10</v>
      </c>
    </row>
    <row r="886" spans="1:13" x14ac:dyDescent="0.3">
      <c r="A886" s="1">
        <v>45812</v>
      </c>
      <c r="B886" s="2" t="s">
        <v>9</v>
      </c>
      <c r="C886">
        <v>0.68461000000000005</v>
      </c>
      <c r="D886">
        <v>0.70133999999999996</v>
      </c>
      <c r="E886">
        <v>0.66391</v>
      </c>
      <c r="F886">
        <v>0.66588999999999998</v>
      </c>
      <c r="G886">
        <f>_xlfn.MAXIFS(Crypto[Close],Crypto[Name],Crypto[[#This Row],[Name]],Crypto[Date],"&lt;="&amp;Crypto[[#This Row],[Date]])</f>
        <v>1.1351199999999999</v>
      </c>
      <c r="H886" s="3">
        <f>(Crypto[[#This Row],[Close]]/Crypto[[#This Row],[Peak Close]])-1</f>
        <v>-0.41337479737825078</v>
      </c>
      <c r="I886">
        <v>0.68461000000000005</v>
      </c>
      <c r="J886" s="1">
        <v>45811</v>
      </c>
      <c r="K886" s="3">
        <v>-2.7344035290165301E-2</v>
      </c>
      <c r="L886">
        <v>537207539</v>
      </c>
      <c r="M886" s="2" t="s">
        <v>10</v>
      </c>
    </row>
    <row r="887" spans="1:13" x14ac:dyDescent="0.3">
      <c r="A887" s="1">
        <v>45813</v>
      </c>
      <c r="B887" s="2" t="s">
        <v>9</v>
      </c>
      <c r="C887">
        <v>0.66588999999999998</v>
      </c>
      <c r="D887">
        <v>0.68910000000000005</v>
      </c>
      <c r="E887">
        <v>0.62104000000000004</v>
      </c>
      <c r="F887">
        <v>0.62756999999999996</v>
      </c>
      <c r="G887">
        <f>_xlfn.MAXIFS(Crypto[Close],Crypto[Name],Crypto[[#This Row],[Name]],Crypto[Date],"&lt;="&amp;Crypto[[#This Row],[Date]])</f>
        <v>1.1351199999999999</v>
      </c>
      <c r="H887" s="3">
        <f>(Crypto[[#This Row],[Close]]/Crypto[[#This Row],[Peak Close]])-1</f>
        <v>-0.44713334273028404</v>
      </c>
      <c r="I887">
        <v>0.66588999999999998</v>
      </c>
      <c r="J887" s="1">
        <v>45812</v>
      </c>
      <c r="K887" s="3">
        <v>-5.75470423042845E-2</v>
      </c>
      <c r="L887">
        <v>884135870</v>
      </c>
      <c r="M887" s="2" t="s">
        <v>10</v>
      </c>
    </row>
    <row r="888" spans="1:13" x14ac:dyDescent="0.3">
      <c r="A888" s="1">
        <v>45814</v>
      </c>
      <c r="B888" s="2" t="s">
        <v>9</v>
      </c>
      <c r="C888">
        <v>0.62756999999999996</v>
      </c>
      <c r="D888">
        <v>0.67095000000000005</v>
      </c>
      <c r="E888">
        <v>0.62378999999999996</v>
      </c>
      <c r="F888">
        <v>0.65641000000000005</v>
      </c>
      <c r="G888">
        <f>_xlfn.MAXIFS(Crypto[Close],Crypto[Name],Crypto[[#This Row],[Name]],Crypto[Date],"&lt;="&amp;Crypto[[#This Row],[Date]])</f>
        <v>1.1351199999999999</v>
      </c>
      <c r="H888" s="3">
        <f>(Crypto[[#This Row],[Close]]/Crypto[[#This Row],[Peak Close]])-1</f>
        <v>-0.42172633730354492</v>
      </c>
      <c r="I888">
        <v>0.62756999999999996</v>
      </c>
      <c r="J888" s="1">
        <v>45813</v>
      </c>
      <c r="K888" s="3">
        <v>4.5955032904695998E-2</v>
      </c>
      <c r="L888">
        <v>644957374</v>
      </c>
      <c r="M888" s="2" t="s">
        <v>10</v>
      </c>
    </row>
    <row r="889" spans="1:13" x14ac:dyDescent="0.3">
      <c r="A889" s="1">
        <v>45815</v>
      </c>
      <c r="B889" s="2" t="s">
        <v>9</v>
      </c>
      <c r="C889">
        <v>0.65641000000000005</v>
      </c>
      <c r="D889">
        <v>0.67037999999999998</v>
      </c>
      <c r="E889">
        <v>0.65173000000000003</v>
      </c>
      <c r="F889">
        <v>0.66500999999999999</v>
      </c>
      <c r="G889">
        <f>_xlfn.MAXIFS(Crypto[Close],Crypto[Name],Crypto[[#This Row],[Name]],Crypto[Date],"&lt;="&amp;Crypto[[#This Row],[Date]])</f>
        <v>1.1351199999999999</v>
      </c>
      <c r="H889" s="3">
        <f>(Crypto[[#This Row],[Close]]/Crypto[[#This Row],[Peak Close]])-1</f>
        <v>-0.41415004581013459</v>
      </c>
      <c r="I889">
        <v>0.65641000000000005</v>
      </c>
      <c r="J889" s="1">
        <v>45814</v>
      </c>
      <c r="K889" s="3">
        <v>1.3101567617799801E-2</v>
      </c>
      <c r="L889">
        <v>384375357</v>
      </c>
      <c r="M889" s="2" t="s">
        <v>10</v>
      </c>
    </row>
    <row r="890" spans="1:13" x14ac:dyDescent="0.3">
      <c r="A890" s="1">
        <v>45816</v>
      </c>
      <c r="B890" s="2" t="s">
        <v>9</v>
      </c>
      <c r="C890">
        <v>0.66500999999999999</v>
      </c>
      <c r="D890">
        <v>0.67866000000000004</v>
      </c>
      <c r="E890">
        <v>0.65398999999999996</v>
      </c>
      <c r="F890">
        <v>0.66990000000000005</v>
      </c>
      <c r="G890">
        <f>_xlfn.MAXIFS(Crypto[Close],Crypto[Name],Crypto[[#This Row],[Name]],Crypto[Date],"&lt;="&amp;Crypto[[#This Row],[Date]])</f>
        <v>1.1351199999999999</v>
      </c>
      <c r="H890" s="3">
        <f>(Crypto[[#This Row],[Close]]/Crypto[[#This Row],[Peak Close]])-1</f>
        <v>-0.40984213122841628</v>
      </c>
      <c r="I890">
        <v>0.66500999999999999</v>
      </c>
      <c r="J890" s="1">
        <v>45815</v>
      </c>
      <c r="K890" s="3">
        <v>7.3532728831146301E-3</v>
      </c>
      <c r="L890">
        <v>500556195</v>
      </c>
      <c r="M890" s="2" t="s">
        <v>10</v>
      </c>
    </row>
    <row r="891" spans="1:13" x14ac:dyDescent="0.3">
      <c r="A891" s="1">
        <v>45817</v>
      </c>
      <c r="B891" s="2" t="s">
        <v>9</v>
      </c>
      <c r="C891">
        <v>0.66990000000000005</v>
      </c>
      <c r="D891">
        <v>0.70696000000000003</v>
      </c>
      <c r="E891">
        <v>0.65761000000000003</v>
      </c>
      <c r="F891">
        <v>0.70504999999999995</v>
      </c>
      <c r="G891">
        <f>_xlfn.MAXIFS(Crypto[Close],Crypto[Name],Crypto[[#This Row],[Name]],Crypto[Date],"&lt;="&amp;Crypto[[#This Row],[Date]])</f>
        <v>1.1351199999999999</v>
      </c>
      <c r="H891" s="3">
        <f>(Crypto[[#This Row],[Close]]/Crypto[[#This Row],[Peak Close]])-1</f>
        <v>-0.37887624215941929</v>
      </c>
      <c r="I891">
        <v>0.66990000000000005</v>
      </c>
      <c r="J891" s="1">
        <v>45816</v>
      </c>
      <c r="K891" s="3">
        <v>5.2470517987759202E-2</v>
      </c>
      <c r="L891">
        <v>623912687</v>
      </c>
      <c r="M891" s="2" t="s">
        <v>10</v>
      </c>
    </row>
    <row r="892" spans="1:13" x14ac:dyDescent="0.3">
      <c r="A892" s="1">
        <v>45818</v>
      </c>
      <c r="B892" s="2" t="s">
        <v>9</v>
      </c>
      <c r="C892">
        <v>0.70504999999999995</v>
      </c>
      <c r="D892">
        <v>0.71879000000000004</v>
      </c>
      <c r="E892">
        <v>0.68718000000000001</v>
      </c>
      <c r="F892">
        <v>0.71591000000000005</v>
      </c>
      <c r="G892">
        <f>_xlfn.MAXIFS(Crypto[Close],Crypto[Name],Crypto[[#This Row],[Name]],Crypto[Date],"&lt;="&amp;Crypto[[#This Row],[Date]])</f>
        <v>1.1351199999999999</v>
      </c>
      <c r="H892" s="3">
        <f>(Crypto[[#This Row],[Close]]/Crypto[[#This Row],[Peak Close]])-1</f>
        <v>-0.36930897173867072</v>
      </c>
      <c r="I892">
        <v>0.70504999999999995</v>
      </c>
      <c r="J892" s="1">
        <v>45817</v>
      </c>
      <c r="K892" s="3">
        <v>1.5403162896248599E-2</v>
      </c>
      <c r="L892">
        <v>854432526</v>
      </c>
      <c r="M892" s="2" t="s">
        <v>10</v>
      </c>
    </row>
    <row r="893" spans="1:13" x14ac:dyDescent="0.3">
      <c r="A893" s="1">
        <v>45819</v>
      </c>
      <c r="B893" s="2" t="s">
        <v>9</v>
      </c>
      <c r="C893">
        <v>0.71592</v>
      </c>
      <c r="D893">
        <v>0.73036000000000001</v>
      </c>
      <c r="E893">
        <v>0.69211</v>
      </c>
      <c r="F893">
        <v>0.69816</v>
      </c>
      <c r="G893">
        <f>_xlfn.MAXIFS(Crypto[Close],Crypto[Name],Crypto[[#This Row],[Name]],Crypto[Date],"&lt;="&amp;Crypto[[#This Row],[Date]])</f>
        <v>1.1351199999999999</v>
      </c>
      <c r="H893" s="3">
        <f>(Crypto[[#This Row],[Close]]/Crypto[[#This Row],[Peak Close]])-1</f>
        <v>-0.38494608499541894</v>
      </c>
      <c r="I893">
        <v>0.71591000000000005</v>
      </c>
      <c r="J893" s="1">
        <v>45818</v>
      </c>
      <c r="K893" s="3">
        <v>-2.4793619309689801E-2</v>
      </c>
      <c r="L893">
        <v>762289525</v>
      </c>
      <c r="M893" s="2" t="s">
        <v>10</v>
      </c>
    </row>
    <row r="894" spans="1:13" x14ac:dyDescent="0.3">
      <c r="A894" s="1">
        <v>45820</v>
      </c>
      <c r="B894" s="2" t="s">
        <v>9</v>
      </c>
      <c r="C894">
        <v>0.69816</v>
      </c>
      <c r="D894">
        <v>0.69913000000000003</v>
      </c>
      <c r="E894">
        <v>0.65878000000000003</v>
      </c>
      <c r="F894">
        <v>0.66383999999999999</v>
      </c>
      <c r="G894">
        <f>_xlfn.MAXIFS(Crypto[Close],Crypto[Name],Crypto[[#This Row],[Name]],Crypto[Date],"&lt;="&amp;Crypto[[#This Row],[Date]])</f>
        <v>1.1351199999999999</v>
      </c>
      <c r="H894" s="3">
        <f>(Crypto[[#This Row],[Close]]/Crypto[[#This Row],[Peak Close]])-1</f>
        <v>-0.41518077383888929</v>
      </c>
      <c r="I894">
        <v>0.69816</v>
      </c>
      <c r="J894" s="1">
        <v>45819</v>
      </c>
      <c r="K894" s="3">
        <v>-4.9157786180818203E-2</v>
      </c>
      <c r="L894">
        <v>693312281</v>
      </c>
      <c r="M894" s="2" t="s">
        <v>10</v>
      </c>
    </row>
    <row r="895" spans="1:13" x14ac:dyDescent="0.3">
      <c r="A895" s="1">
        <v>45821</v>
      </c>
      <c r="B895" s="2" t="s">
        <v>9</v>
      </c>
      <c r="C895">
        <v>0.66381999999999997</v>
      </c>
      <c r="D895">
        <v>0.66381999999999997</v>
      </c>
      <c r="E895">
        <v>0.62036000000000002</v>
      </c>
      <c r="F895">
        <v>0.64214000000000004</v>
      </c>
      <c r="G895">
        <f>_xlfn.MAXIFS(Crypto[Close],Crypto[Name],Crypto[[#This Row],[Name]],Crypto[Date],"&lt;="&amp;Crypto[[#This Row],[Date]])</f>
        <v>1.1351199999999999</v>
      </c>
      <c r="H895" s="3">
        <f>(Crypto[[#This Row],[Close]]/Crypto[[#This Row],[Peak Close]])-1</f>
        <v>-0.43429769539784335</v>
      </c>
      <c r="I895">
        <v>0.66383999999999999</v>
      </c>
      <c r="J895" s="1">
        <v>45820</v>
      </c>
      <c r="K895" s="3">
        <v>-3.26885996625692E-2</v>
      </c>
      <c r="L895">
        <v>1056842030</v>
      </c>
      <c r="M895" s="2" t="s">
        <v>10</v>
      </c>
    </row>
    <row r="896" spans="1:13" x14ac:dyDescent="0.3">
      <c r="A896" s="1">
        <v>45822</v>
      </c>
      <c r="B896" s="2" t="s">
        <v>9</v>
      </c>
      <c r="C896">
        <v>0.64214000000000004</v>
      </c>
      <c r="D896">
        <v>0.64219999999999999</v>
      </c>
      <c r="E896">
        <v>0.61489000000000005</v>
      </c>
      <c r="F896">
        <v>0.62495000000000001</v>
      </c>
      <c r="G896">
        <f>_xlfn.MAXIFS(Crypto[Close],Crypto[Name],Crypto[[#This Row],[Name]],Crypto[Date],"&lt;="&amp;Crypto[[#This Row],[Date]])</f>
        <v>1.1351199999999999</v>
      </c>
      <c r="H896" s="3">
        <f>(Crypto[[#This Row],[Close]]/Crypto[[#This Row],[Peak Close]])-1</f>
        <v>-0.44944146874339275</v>
      </c>
      <c r="I896">
        <v>0.64214000000000004</v>
      </c>
      <c r="J896" s="1">
        <v>45821</v>
      </c>
      <c r="K896" s="3">
        <v>-2.6769863269691999E-2</v>
      </c>
      <c r="L896">
        <v>413673092</v>
      </c>
      <c r="M896" s="2" t="s">
        <v>10</v>
      </c>
    </row>
    <row r="897" spans="1:13" x14ac:dyDescent="0.3">
      <c r="A897" s="1">
        <v>45823</v>
      </c>
      <c r="B897" s="2" t="s">
        <v>9</v>
      </c>
      <c r="C897">
        <v>0.62495000000000001</v>
      </c>
      <c r="D897">
        <v>0.63563000000000003</v>
      </c>
      <c r="E897">
        <v>0.62168999999999996</v>
      </c>
      <c r="F897">
        <v>0.63385000000000002</v>
      </c>
      <c r="G897">
        <f>_xlfn.MAXIFS(Crypto[Close],Crypto[Name],Crypto[[#This Row],[Name]],Crypto[Date],"&lt;="&amp;Crypto[[#This Row],[Date]])</f>
        <v>1.1351199999999999</v>
      </c>
      <c r="H897" s="3">
        <f>(Crypto[[#This Row],[Close]]/Crypto[[#This Row],[Peak Close]])-1</f>
        <v>-0.44160088801184005</v>
      </c>
      <c r="I897">
        <v>0.62495000000000001</v>
      </c>
      <c r="J897" s="1">
        <v>45822</v>
      </c>
      <c r="K897" s="3">
        <v>1.42411392911433E-2</v>
      </c>
      <c r="L897">
        <v>353272482</v>
      </c>
      <c r="M897" s="2" t="s">
        <v>10</v>
      </c>
    </row>
    <row r="898" spans="1:13" x14ac:dyDescent="0.3">
      <c r="A898" s="1">
        <v>45824</v>
      </c>
      <c r="B898" s="2" t="s">
        <v>9</v>
      </c>
      <c r="C898">
        <v>0.63385000000000002</v>
      </c>
      <c r="D898">
        <v>0.65678000000000003</v>
      </c>
      <c r="E898">
        <v>0.62599000000000005</v>
      </c>
      <c r="F898">
        <v>0.63163000000000002</v>
      </c>
      <c r="G898">
        <f>_xlfn.MAXIFS(Crypto[Close],Crypto[Name],Crypto[[#This Row],[Name]],Crypto[Date],"&lt;="&amp;Crypto[[#This Row],[Date]])</f>
        <v>1.1351199999999999</v>
      </c>
      <c r="H898" s="3">
        <f>(Crypto[[#This Row],[Close]]/Crypto[[#This Row],[Peak Close]])-1</f>
        <v>-0.44355662837409249</v>
      </c>
      <c r="I898">
        <v>0.63385000000000002</v>
      </c>
      <c r="J898" s="1">
        <v>45823</v>
      </c>
      <c r="K898" s="3">
        <v>-3.50240593200284E-3</v>
      </c>
      <c r="L898">
        <v>676555071</v>
      </c>
      <c r="M898" s="2" t="s">
        <v>10</v>
      </c>
    </row>
    <row r="899" spans="1:13" x14ac:dyDescent="0.3">
      <c r="A899" s="1">
        <v>45825</v>
      </c>
      <c r="B899" s="2" t="s">
        <v>9</v>
      </c>
      <c r="C899">
        <v>0.63143000000000005</v>
      </c>
      <c r="D899">
        <v>0.64190999999999998</v>
      </c>
      <c r="E899">
        <v>0.60097</v>
      </c>
      <c r="F899">
        <v>0.61045000000000005</v>
      </c>
      <c r="G899">
        <f>_xlfn.MAXIFS(Crypto[Close],Crypto[Name],Crypto[[#This Row],[Name]],Crypto[Date],"&lt;="&amp;Crypto[[#This Row],[Date]])</f>
        <v>1.1351199999999999</v>
      </c>
      <c r="H899" s="3">
        <f>(Crypto[[#This Row],[Close]]/Crypto[[#This Row],[Peak Close]])-1</f>
        <v>-0.46221544858693342</v>
      </c>
      <c r="I899">
        <v>0.63163000000000002</v>
      </c>
      <c r="J899" s="1">
        <v>45824</v>
      </c>
      <c r="K899" s="3">
        <v>-3.3532289473267501E-2</v>
      </c>
      <c r="L899">
        <v>716747559</v>
      </c>
      <c r="M899" s="2" t="s">
        <v>10</v>
      </c>
    </row>
    <row r="900" spans="1:13" x14ac:dyDescent="0.3">
      <c r="A900" s="1">
        <v>45826</v>
      </c>
      <c r="B900" s="2" t="s">
        <v>9</v>
      </c>
      <c r="C900">
        <v>0.61045000000000005</v>
      </c>
      <c r="D900">
        <v>0.62075999999999998</v>
      </c>
      <c r="E900">
        <v>0.58974000000000004</v>
      </c>
      <c r="F900">
        <v>0.60345000000000004</v>
      </c>
      <c r="G900">
        <f>_xlfn.MAXIFS(Crypto[Close],Crypto[Name],Crypto[[#This Row],[Name]],Crypto[Date],"&lt;="&amp;Crypto[[#This Row],[Date]])</f>
        <v>1.1351199999999999</v>
      </c>
      <c r="H900" s="3">
        <f>(Crypto[[#This Row],[Close]]/Crypto[[#This Row],[Peak Close]])-1</f>
        <v>-0.46838219747691867</v>
      </c>
      <c r="I900">
        <v>0.61045000000000005</v>
      </c>
      <c r="J900" s="1">
        <v>45825</v>
      </c>
      <c r="K900" s="3">
        <v>-1.14669506102056E-2</v>
      </c>
      <c r="L900">
        <v>721275360</v>
      </c>
      <c r="M900" s="2" t="s">
        <v>10</v>
      </c>
    </row>
    <row r="901" spans="1:13" x14ac:dyDescent="0.3">
      <c r="A901" s="1">
        <v>45827</v>
      </c>
      <c r="B901" s="2" t="s">
        <v>9</v>
      </c>
      <c r="C901">
        <v>0.60345000000000004</v>
      </c>
      <c r="D901">
        <v>0.61084000000000005</v>
      </c>
      <c r="E901">
        <v>0.59109</v>
      </c>
      <c r="F901">
        <v>0.60211999999999999</v>
      </c>
      <c r="G901">
        <f>_xlfn.MAXIFS(Crypto[Close],Crypto[Name],Crypto[[#This Row],[Name]],Crypto[Date],"&lt;="&amp;Crypto[[#This Row],[Date]])</f>
        <v>1.1351199999999999</v>
      </c>
      <c r="H901" s="3">
        <f>(Crypto[[#This Row],[Close]]/Crypto[[#This Row],[Peak Close]])-1</f>
        <v>-0.46955387976601592</v>
      </c>
      <c r="I901">
        <v>0.60345000000000004</v>
      </c>
      <c r="J901" s="1">
        <v>45826</v>
      </c>
      <c r="K901" s="3">
        <v>-2.2039937028752198E-3</v>
      </c>
      <c r="L901">
        <v>472917745</v>
      </c>
      <c r="M901" s="2" t="s">
        <v>10</v>
      </c>
    </row>
    <row r="902" spans="1:13" x14ac:dyDescent="0.3">
      <c r="A902" s="1">
        <v>45828</v>
      </c>
      <c r="B902" s="2" t="s">
        <v>9</v>
      </c>
      <c r="C902">
        <v>0.60213000000000005</v>
      </c>
      <c r="D902">
        <v>0.60592000000000001</v>
      </c>
      <c r="E902">
        <v>0.56298000000000004</v>
      </c>
      <c r="F902">
        <v>0.57726</v>
      </c>
      <c r="G902">
        <f>_xlfn.MAXIFS(Crypto[Close],Crypto[Name],Crypto[[#This Row],[Name]],Crypto[Date],"&lt;="&amp;Crypto[[#This Row],[Date]])</f>
        <v>1.1351199999999999</v>
      </c>
      <c r="H902" s="3">
        <f>(Crypto[[#This Row],[Close]]/Crypto[[#This Row],[Peak Close]])-1</f>
        <v>-0.49145464796673477</v>
      </c>
      <c r="I902">
        <v>0.60211999999999999</v>
      </c>
      <c r="J902" s="1">
        <v>45827</v>
      </c>
      <c r="K902" s="3">
        <v>-4.1287451006443897E-2</v>
      </c>
      <c r="L902">
        <v>758958578</v>
      </c>
      <c r="M902" s="2" t="s">
        <v>10</v>
      </c>
    </row>
    <row r="903" spans="1:13" x14ac:dyDescent="0.3">
      <c r="A903" s="1">
        <v>45829</v>
      </c>
      <c r="B903" s="2" t="s">
        <v>9</v>
      </c>
      <c r="C903">
        <v>0.57726999999999995</v>
      </c>
      <c r="D903">
        <v>0.58733999999999997</v>
      </c>
      <c r="E903">
        <v>0.54666000000000003</v>
      </c>
      <c r="F903">
        <v>0.55430999999999997</v>
      </c>
      <c r="G903">
        <f>_xlfn.MAXIFS(Crypto[Close],Crypto[Name],Crypto[[#This Row],[Name]],Crypto[Date],"&lt;="&amp;Crypto[[#This Row],[Date]])</f>
        <v>1.1351199999999999</v>
      </c>
      <c r="H903" s="3">
        <f>(Crypto[[#This Row],[Close]]/Crypto[[#This Row],[Peak Close]])-1</f>
        <v>-0.51167277468461481</v>
      </c>
      <c r="I903">
        <v>0.57726</v>
      </c>
      <c r="J903" s="1">
        <v>45828</v>
      </c>
      <c r="K903" s="3">
        <v>-3.9756782039289097E-2</v>
      </c>
      <c r="L903">
        <v>686354524</v>
      </c>
      <c r="M903" s="2" t="s">
        <v>10</v>
      </c>
    </row>
    <row r="904" spans="1:13" x14ac:dyDescent="0.3">
      <c r="A904" s="1">
        <v>45830</v>
      </c>
      <c r="B904" s="2" t="s">
        <v>9</v>
      </c>
      <c r="C904">
        <v>0.55432000000000003</v>
      </c>
      <c r="D904">
        <v>0.56264999999999998</v>
      </c>
      <c r="E904">
        <v>0.51319000000000004</v>
      </c>
      <c r="F904">
        <v>0.54098000000000002</v>
      </c>
      <c r="G904">
        <f>_xlfn.MAXIFS(Crypto[Close],Crypto[Name],Crypto[[#This Row],[Name]],Crypto[Date],"&lt;="&amp;Crypto[[#This Row],[Date]])</f>
        <v>1.1351199999999999</v>
      </c>
      <c r="H904" s="3">
        <f>(Crypto[[#This Row],[Close]]/Crypto[[#This Row],[Peak Close]])-1</f>
        <v>-0.52341602649940089</v>
      </c>
      <c r="I904">
        <v>0.55430999999999997</v>
      </c>
      <c r="J904" s="1">
        <v>45829</v>
      </c>
      <c r="K904" s="3">
        <v>-2.4047915426385898E-2</v>
      </c>
      <c r="L904">
        <v>1168250598</v>
      </c>
      <c r="M904" s="2" t="s">
        <v>10</v>
      </c>
    </row>
    <row r="905" spans="1:13" x14ac:dyDescent="0.3">
      <c r="A905" s="1">
        <v>45831</v>
      </c>
      <c r="B905" s="2" t="s">
        <v>9</v>
      </c>
      <c r="C905">
        <v>0.54100999999999999</v>
      </c>
      <c r="D905">
        <v>0.58538000000000001</v>
      </c>
      <c r="E905">
        <v>0.53085000000000004</v>
      </c>
      <c r="F905">
        <v>0.58328000000000002</v>
      </c>
      <c r="G905">
        <f>_xlfn.MAXIFS(Crypto[Close],Crypto[Name],Crypto[[#This Row],[Name]],Crypto[Date],"&lt;="&amp;Crypto[[#This Row],[Date]])</f>
        <v>1.1351199999999999</v>
      </c>
      <c r="H905" s="3">
        <f>(Crypto[[#This Row],[Close]]/Crypto[[#This Row],[Peak Close]])-1</f>
        <v>-0.48615124392134745</v>
      </c>
      <c r="I905">
        <v>0.54098000000000002</v>
      </c>
      <c r="J905" s="1">
        <v>45830</v>
      </c>
      <c r="K905" s="3">
        <v>7.8191430367111597E-2</v>
      </c>
      <c r="L905">
        <v>1040285762</v>
      </c>
      <c r="M905" s="2" t="s">
        <v>10</v>
      </c>
    </row>
    <row r="906" spans="1:13" x14ac:dyDescent="0.3">
      <c r="A906" s="1">
        <v>45832</v>
      </c>
      <c r="B906" s="2" t="s">
        <v>9</v>
      </c>
      <c r="C906">
        <v>0.58328000000000002</v>
      </c>
      <c r="D906">
        <v>0.59316000000000002</v>
      </c>
      <c r="E906">
        <v>0.57759000000000005</v>
      </c>
      <c r="F906">
        <v>0.58736999999999995</v>
      </c>
      <c r="G906">
        <f>_xlfn.MAXIFS(Crypto[Close],Crypto[Name],Crypto[[#This Row],[Name]],Crypto[Date],"&lt;="&amp;Crypto[[#This Row],[Date]])</f>
        <v>1.1351199999999999</v>
      </c>
      <c r="H906" s="3">
        <f>(Crypto[[#This Row],[Close]]/Crypto[[#This Row],[Peak Close]])-1</f>
        <v>-0.4825481006413419</v>
      </c>
      <c r="I906">
        <v>0.58328000000000002</v>
      </c>
      <c r="J906" s="1">
        <v>45831</v>
      </c>
      <c r="K906" s="3">
        <v>7.0120696749415802E-3</v>
      </c>
      <c r="L906">
        <v>798539329</v>
      </c>
      <c r="M906" s="2" t="s">
        <v>10</v>
      </c>
    </row>
    <row r="907" spans="1:13" x14ac:dyDescent="0.3">
      <c r="A907" s="1">
        <v>45833</v>
      </c>
      <c r="B907" s="2" t="s">
        <v>9</v>
      </c>
      <c r="C907">
        <v>0.58736999999999995</v>
      </c>
      <c r="D907">
        <v>0.58999000000000001</v>
      </c>
      <c r="E907">
        <v>0.56452000000000002</v>
      </c>
      <c r="F907">
        <v>0.56708000000000003</v>
      </c>
      <c r="G907">
        <f>_xlfn.MAXIFS(Crypto[Close],Crypto[Name],Crypto[[#This Row],[Name]],Crypto[Date],"&lt;="&amp;Crypto[[#This Row],[Date]])</f>
        <v>1.1351199999999999</v>
      </c>
      <c r="H907" s="3">
        <f>(Crypto[[#This Row],[Close]]/Crypto[[#This Row],[Peak Close]])-1</f>
        <v>-0.50042286278102743</v>
      </c>
      <c r="I907">
        <v>0.58736999999999995</v>
      </c>
      <c r="J907" s="1">
        <v>45832</v>
      </c>
      <c r="K907" s="3">
        <v>-3.4543813950320801E-2</v>
      </c>
      <c r="L907">
        <v>620996333</v>
      </c>
      <c r="M907" s="2" t="s">
        <v>10</v>
      </c>
    </row>
    <row r="908" spans="1:13" x14ac:dyDescent="0.3">
      <c r="A908" s="1">
        <v>45834</v>
      </c>
      <c r="B908" s="2" t="s">
        <v>9</v>
      </c>
      <c r="C908">
        <v>0.56708000000000003</v>
      </c>
      <c r="D908">
        <v>0.58057000000000003</v>
      </c>
      <c r="E908">
        <v>0.55154999999999998</v>
      </c>
      <c r="F908">
        <v>0.55401999999999996</v>
      </c>
      <c r="G908">
        <f>_xlfn.MAXIFS(Crypto[Close],Crypto[Name],Crypto[[#This Row],[Name]],Crypto[Date],"&lt;="&amp;Crypto[[#This Row],[Date]])</f>
        <v>1.1351199999999999</v>
      </c>
      <c r="H908" s="3">
        <f>(Crypto[[#This Row],[Close]]/Crypto[[#This Row],[Peak Close]])-1</f>
        <v>-0.51192825428148558</v>
      </c>
      <c r="I908">
        <v>0.56708000000000003</v>
      </c>
      <c r="J908" s="1">
        <v>45833</v>
      </c>
      <c r="K908" s="3">
        <v>-2.30302602807365E-2</v>
      </c>
      <c r="L908">
        <v>602838443</v>
      </c>
      <c r="M908" s="2" t="s">
        <v>10</v>
      </c>
    </row>
    <row r="909" spans="1:13" x14ac:dyDescent="0.3">
      <c r="A909" s="1">
        <v>45835</v>
      </c>
      <c r="B909" s="2" t="s">
        <v>9</v>
      </c>
      <c r="C909">
        <v>0.55401999999999996</v>
      </c>
      <c r="D909">
        <v>0.56150999999999995</v>
      </c>
      <c r="E909">
        <v>0.54603000000000002</v>
      </c>
      <c r="F909">
        <v>0.55876000000000003</v>
      </c>
      <c r="G909">
        <f>_xlfn.MAXIFS(Crypto[Close],Crypto[Name],Crypto[[#This Row],[Name]],Crypto[Date],"&lt;="&amp;Crypto[[#This Row],[Date]])</f>
        <v>1.1351199999999999</v>
      </c>
      <c r="H909" s="3">
        <f>(Crypto[[#This Row],[Close]]/Crypto[[#This Row],[Peak Close]])-1</f>
        <v>-0.50775248431883846</v>
      </c>
      <c r="I909">
        <v>0.55401999999999996</v>
      </c>
      <c r="J909" s="1">
        <v>45834</v>
      </c>
      <c r="K909" s="3">
        <v>8.5556478105484994E-3</v>
      </c>
      <c r="L909">
        <v>494464871</v>
      </c>
      <c r="M909" s="2" t="s">
        <v>10</v>
      </c>
    </row>
    <row r="910" spans="1:13" x14ac:dyDescent="0.3">
      <c r="A910" s="1">
        <v>45836</v>
      </c>
      <c r="B910" s="2" t="s">
        <v>9</v>
      </c>
      <c r="C910">
        <v>0.55876999999999999</v>
      </c>
      <c r="D910">
        <v>0.56827000000000005</v>
      </c>
      <c r="E910">
        <v>0.55617000000000005</v>
      </c>
      <c r="F910">
        <v>0.56569999999999998</v>
      </c>
      <c r="G910">
        <f>_xlfn.MAXIFS(Crypto[Close],Crypto[Name],Crypto[[#This Row],[Name]],Crypto[Date],"&lt;="&amp;Crypto[[#This Row],[Date]])</f>
        <v>1.1351199999999999</v>
      </c>
      <c r="H910" s="3">
        <f>(Crypto[[#This Row],[Close]]/Crypto[[#This Row],[Peak Close]])-1</f>
        <v>-0.50163859327648175</v>
      </c>
      <c r="I910">
        <v>0.55876000000000003</v>
      </c>
      <c r="J910" s="1">
        <v>45835</v>
      </c>
      <c r="K910" s="3">
        <v>1.24203593671701E-2</v>
      </c>
      <c r="L910">
        <v>368639849</v>
      </c>
      <c r="M910" s="2" t="s">
        <v>10</v>
      </c>
    </row>
    <row r="911" spans="1:13" x14ac:dyDescent="0.3">
      <c r="A911" s="1">
        <v>45837</v>
      </c>
      <c r="B911" s="2" t="s">
        <v>9</v>
      </c>
      <c r="C911">
        <v>0.56569999999999998</v>
      </c>
      <c r="D911">
        <v>0.58243999999999996</v>
      </c>
      <c r="E911">
        <v>0.55574999999999997</v>
      </c>
      <c r="F911">
        <v>0.57808999999999999</v>
      </c>
      <c r="G911">
        <f>_xlfn.MAXIFS(Crypto[Close],Crypto[Name],Crypto[[#This Row],[Name]],Crypto[Date],"&lt;="&amp;Crypto[[#This Row],[Date]])</f>
        <v>1.1351199999999999</v>
      </c>
      <c r="H911" s="3">
        <f>(Crypto[[#This Row],[Close]]/Crypto[[#This Row],[Peak Close]])-1</f>
        <v>-0.49072344774120791</v>
      </c>
      <c r="I911">
        <v>0.56569999999999998</v>
      </c>
      <c r="J911" s="1">
        <v>45836</v>
      </c>
      <c r="K911" s="3">
        <v>2.19020682340463E-2</v>
      </c>
      <c r="L911">
        <v>583426280</v>
      </c>
      <c r="M911" s="2" t="s">
        <v>10</v>
      </c>
    </row>
    <row r="912" spans="1:13" x14ac:dyDescent="0.3">
      <c r="A912" s="1">
        <v>45838</v>
      </c>
      <c r="B912" s="2" t="s">
        <v>9</v>
      </c>
      <c r="C912">
        <v>0.57808999999999999</v>
      </c>
      <c r="D912">
        <v>0.58880999999999994</v>
      </c>
      <c r="E912">
        <v>0.55825000000000002</v>
      </c>
      <c r="F912">
        <v>0.57211999999999996</v>
      </c>
      <c r="G912">
        <f>_xlfn.MAXIFS(Crypto[Close],Crypto[Name],Crypto[[#This Row],[Name]],Crypto[Date],"&lt;="&amp;Crypto[[#This Row],[Date]])</f>
        <v>1.1351199999999999</v>
      </c>
      <c r="H912" s="3">
        <f>(Crypto[[#This Row],[Close]]/Crypto[[#This Row],[Peak Close]])-1</f>
        <v>-0.49598280358023816</v>
      </c>
      <c r="I912">
        <v>0.57808999999999999</v>
      </c>
      <c r="J912" s="1">
        <v>45837</v>
      </c>
      <c r="K912" s="3">
        <v>-1.03271116954108E-2</v>
      </c>
      <c r="L912">
        <v>746847500</v>
      </c>
      <c r="M912" s="2" t="s">
        <v>10</v>
      </c>
    </row>
    <row r="913" spans="1:13" x14ac:dyDescent="0.3">
      <c r="A913" s="1">
        <v>45839</v>
      </c>
      <c r="B913" s="2" t="s">
        <v>9</v>
      </c>
      <c r="C913">
        <v>0.57211999999999996</v>
      </c>
      <c r="D913">
        <v>0.57596000000000003</v>
      </c>
      <c r="E913">
        <v>0.53842000000000001</v>
      </c>
      <c r="F913">
        <v>0.54215999999999998</v>
      </c>
      <c r="G913">
        <f>_xlfn.MAXIFS(Crypto[Close],Crypto[Name],Crypto[[#This Row],[Name]],Crypto[Date],"&lt;="&amp;Crypto[[#This Row],[Date]])</f>
        <v>1.1351199999999999</v>
      </c>
      <c r="H913" s="3">
        <f>(Crypto[[#This Row],[Close]]/Crypto[[#This Row],[Peak Close]])-1</f>
        <v>-0.52237648882937493</v>
      </c>
      <c r="I913">
        <v>0.57211999999999996</v>
      </c>
      <c r="J913" s="1">
        <v>45838</v>
      </c>
      <c r="K913" s="3">
        <v>-5.2366636369992302E-2</v>
      </c>
      <c r="L913">
        <v>714647761</v>
      </c>
      <c r="M913" s="2" t="s">
        <v>10</v>
      </c>
    </row>
    <row r="914" spans="1:13" x14ac:dyDescent="0.3">
      <c r="A914" s="1">
        <v>45840</v>
      </c>
      <c r="B914" s="2" t="s">
        <v>9</v>
      </c>
      <c r="C914">
        <v>0.54215999999999998</v>
      </c>
      <c r="D914">
        <v>0.59801000000000004</v>
      </c>
      <c r="E914">
        <v>0.54052</v>
      </c>
      <c r="F914">
        <v>0.58409999999999995</v>
      </c>
      <c r="G914">
        <f>_xlfn.MAXIFS(Crypto[Close],Crypto[Name],Crypto[[#This Row],[Name]],Crypto[Date],"&lt;="&amp;Crypto[[#This Row],[Date]])</f>
        <v>1.1351199999999999</v>
      </c>
      <c r="H914" s="3">
        <f>(Crypto[[#This Row],[Close]]/Crypto[[#This Row],[Peak Close]])-1</f>
        <v>-0.48542885333709207</v>
      </c>
      <c r="I914">
        <v>0.54215999999999998</v>
      </c>
      <c r="J914" s="1">
        <v>45839</v>
      </c>
      <c r="K914" s="3">
        <v>7.7357237715803398E-2</v>
      </c>
      <c r="L914">
        <v>991825199</v>
      </c>
      <c r="M914" s="2" t="s">
        <v>10</v>
      </c>
    </row>
    <row r="915" spans="1:13" x14ac:dyDescent="0.3">
      <c r="A915" s="1">
        <v>45841</v>
      </c>
      <c r="B915" s="2" t="s">
        <v>9</v>
      </c>
      <c r="C915">
        <v>0.58409999999999995</v>
      </c>
      <c r="D915">
        <v>0.61051</v>
      </c>
      <c r="E915">
        <v>0.58333000000000002</v>
      </c>
      <c r="F915">
        <v>0.59909000000000001</v>
      </c>
      <c r="G915">
        <f>_xlfn.MAXIFS(Crypto[Close],Crypto[Name],Crypto[[#This Row],[Name]],Crypto[Date],"&lt;="&amp;Crypto[[#This Row],[Date]])</f>
        <v>1.1351199999999999</v>
      </c>
      <c r="H915" s="3">
        <f>(Crypto[[#This Row],[Close]]/Crypto[[#This Row],[Peak Close]])-1</f>
        <v>-0.47222320107125237</v>
      </c>
      <c r="I915">
        <v>0.58409999999999995</v>
      </c>
      <c r="J915" s="1">
        <v>45840</v>
      </c>
      <c r="K915" s="3">
        <v>2.56634137990071E-2</v>
      </c>
      <c r="L915">
        <v>779890753</v>
      </c>
      <c r="M915" s="2" t="s">
        <v>10</v>
      </c>
    </row>
    <row r="916" spans="1:13" x14ac:dyDescent="0.3">
      <c r="A916" s="1">
        <v>45842</v>
      </c>
      <c r="B916" s="2" t="s">
        <v>9</v>
      </c>
      <c r="C916">
        <v>0.59909000000000001</v>
      </c>
      <c r="D916">
        <v>0.60272000000000003</v>
      </c>
      <c r="E916">
        <v>0.56435000000000002</v>
      </c>
      <c r="F916">
        <v>0.57289000000000001</v>
      </c>
      <c r="G916">
        <f>_xlfn.MAXIFS(Crypto[Close],Crypto[Name],Crypto[[#This Row],[Name]],Crypto[Date],"&lt;="&amp;Crypto[[#This Row],[Date]])</f>
        <v>1.1351199999999999</v>
      </c>
      <c r="H916" s="3">
        <f>(Crypto[[#This Row],[Close]]/Crypto[[#This Row],[Peak Close]])-1</f>
        <v>-0.49530446120233984</v>
      </c>
      <c r="I916">
        <v>0.59909000000000001</v>
      </c>
      <c r="J916" s="1">
        <v>45841</v>
      </c>
      <c r="K916" s="3">
        <v>-4.3732995042481099E-2</v>
      </c>
      <c r="L916">
        <v>588008206</v>
      </c>
      <c r="M916" s="2" t="s">
        <v>10</v>
      </c>
    </row>
    <row r="917" spans="1:13" x14ac:dyDescent="0.3">
      <c r="A917" s="1">
        <v>45843</v>
      </c>
      <c r="B917" s="2" t="s">
        <v>9</v>
      </c>
      <c r="C917">
        <v>0.57289000000000001</v>
      </c>
      <c r="D917">
        <v>0.58284999999999998</v>
      </c>
      <c r="E917">
        <v>0.57072000000000001</v>
      </c>
      <c r="F917">
        <v>0.57591000000000003</v>
      </c>
      <c r="G917">
        <f>_xlfn.MAXIFS(Crypto[Close],Crypto[Name],Crypto[[#This Row],[Name]],Crypto[Date],"&lt;="&amp;Crypto[[#This Row],[Date]])</f>
        <v>1.1351199999999999</v>
      </c>
      <c r="H917" s="3">
        <f>(Crypto[[#This Row],[Close]]/Crypto[[#This Row],[Peak Close]])-1</f>
        <v>-0.49264394953837476</v>
      </c>
      <c r="I917">
        <v>0.57289000000000001</v>
      </c>
      <c r="J917" s="1">
        <v>45842</v>
      </c>
      <c r="K917" s="3">
        <v>5.2715180924785303E-3</v>
      </c>
      <c r="L917">
        <v>316451015</v>
      </c>
      <c r="M917" s="2" t="s">
        <v>10</v>
      </c>
    </row>
    <row r="918" spans="1:13" x14ac:dyDescent="0.3">
      <c r="A918" s="1">
        <v>45844</v>
      </c>
      <c r="B918" s="2" t="s">
        <v>9</v>
      </c>
      <c r="C918">
        <v>0.57591000000000003</v>
      </c>
      <c r="D918">
        <v>0.59182999999999997</v>
      </c>
      <c r="E918">
        <v>0.57150000000000001</v>
      </c>
      <c r="F918">
        <v>0.58601000000000003</v>
      </c>
      <c r="G918">
        <f>_xlfn.MAXIFS(Crypto[Close],Crypto[Name],Crypto[[#This Row],[Name]],Crypto[Date],"&lt;="&amp;Crypto[[#This Row],[Date]])</f>
        <v>1.1351199999999999</v>
      </c>
      <c r="H918" s="3">
        <f>(Crypto[[#This Row],[Close]]/Crypto[[#This Row],[Peak Close]])-1</f>
        <v>-0.48374621185425326</v>
      </c>
      <c r="I918">
        <v>0.57591000000000003</v>
      </c>
      <c r="J918" s="1">
        <v>45843</v>
      </c>
      <c r="K918" s="3">
        <v>1.7537462450730099E-2</v>
      </c>
      <c r="L918">
        <v>412178050</v>
      </c>
      <c r="M918" s="2" t="s">
        <v>10</v>
      </c>
    </row>
    <row r="919" spans="1:13" x14ac:dyDescent="0.3">
      <c r="A919" s="1">
        <v>45845</v>
      </c>
      <c r="B919" s="2" t="s">
        <v>9</v>
      </c>
      <c r="C919">
        <v>0.58601000000000003</v>
      </c>
      <c r="D919">
        <v>0.59257000000000004</v>
      </c>
      <c r="E919">
        <v>0.57474999999999998</v>
      </c>
      <c r="F919">
        <v>0.58023999999999998</v>
      </c>
      <c r="G919">
        <f>_xlfn.MAXIFS(Crypto[Close],Crypto[Name],Crypto[[#This Row],[Name]],Crypto[Date],"&lt;="&amp;Crypto[[#This Row],[Date]])</f>
        <v>1.1351199999999999</v>
      </c>
      <c r="H919" s="3">
        <f>(Crypto[[#This Row],[Close]]/Crypto[[#This Row],[Peak Close]])-1</f>
        <v>-0.48882937486785538</v>
      </c>
      <c r="I919">
        <v>0.58601000000000003</v>
      </c>
      <c r="J919" s="1">
        <v>45844</v>
      </c>
      <c r="K919" s="3">
        <v>-9.8462483575366497E-3</v>
      </c>
      <c r="L919">
        <v>604232754</v>
      </c>
      <c r="M919" s="2" t="s">
        <v>10</v>
      </c>
    </row>
    <row r="920" spans="1:13" x14ac:dyDescent="0.3">
      <c r="A920" s="1">
        <v>45846</v>
      </c>
      <c r="B920" s="2" t="s">
        <v>9</v>
      </c>
      <c r="C920">
        <v>0.58023999999999998</v>
      </c>
      <c r="D920">
        <v>0.59145000000000003</v>
      </c>
      <c r="E920">
        <v>0.57350000000000001</v>
      </c>
      <c r="F920">
        <v>0.58847000000000005</v>
      </c>
      <c r="G920">
        <f>_xlfn.MAXIFS(Crypto[Close],Crypto[Name],Crypto[[#This Row],[Name]],Crypto[Date],"&lt;="&amp;Crypto[[#This Row],[Date]])</f>
        <v>1.1351199999999999</v>
      </c>
      <c r="H920" s="3">
        <f>(Crypto[[#This Row],[Close]]/Crypto[[#This Row],[Peak Close]])-1</f>
        <v>-0.481579040101487</v>
      </c>
      <c r="I920">
        <v>0.58023999999999998</v>
      </c>
      <c r="J920" s="1">
        <v>45845</v>
      </c>
      <c r="K920" s="3">
        <v>1.41837860195782E-2</v>
      </c>
      <c r="L920">
        <v>545842174</v>
      </c>
      <c r="M920" s="2" t="s">
        <v>10</v>
      </c>
    </row>
    <row r="921" spans="1:13" x14ac:dyDescent="0.3">
      <c r="A921" s="1">
        <v>45847</v>
      </c>
      <c r="B921" s="2" t="s">
        <v>9</v>
      </c>
      <c r="C921">
        <v>0.58847000000000005</v>
      </c>
      <c r="D921">
        <v>0.62633000000000005</v>
      </c>
      <c r="E921">
        <v>0.58448999999999995</v>
      </c>
      <c r="F921">
        <v>0.62348999999999999</v>
      </c>
      <c r="G921">
        <f>_xlfn.MAXIFS(Crypto[Close],Crypto[Name],Crypto[[#This Row],[Name]],Crypto[Date],"&lt;="&amp;Crypto[[#This Row],[Date]])</f>
        <v>1.1351199999999999</v>
      </c>
      <c r="H921" s="3">
        <f>(Crypto[[#This Row],[Close]]/Crypto[[#This Row],[Peak Close]])-1</f>
        <v>-0.45072767636901823</v>
      </c>
      <c r="I921">
        <v>0.58847000000000005</v>
      </c>
      <c r="J921" s="1">
        <v>45846</v>
      </c>
      <c r="K921" s="3">
        <v>5.95102554080921E-2</v>
      </c>
      <c r="L921">
        <v>1024072721</v>
      </c>
      <c r="M921" s="2" t="s">
        <v>10</v>
      </c>
    </row>
    <row r="922" spans="1:13" x14ac:dyDescent="0.3">
      <c r="A922" s="1">
        <v>45848</v>
      </c>
      <c r="B922" s="2" t="s">
        <v>9</v>
      </c>
      <c r="C922">
        <v>0.62348999999999999</v>
      </c>
      <c r="D922">
        <v>0.67879999999999996</v>
      </c>
      <c r="E922">
        <v>0.61814999999999998</v>
      </c>
      <c r="F922">
        <v>0.67664999999999997</v>
      </c>
      <c r="G922">
        <f>_xlfn.MAXIFS(Crypto[Close],Crypto[Name],Crypto[[#This Row],[Name]],Crypto[Date],"&lt;="&amp;Crypto[[#This Row],[Date]])</f>
        <v>1.1351199999999999</v>
      </c>
      <c r="H922" s="3">
        <f>(Crypto[[#This Row],[Close]]/Crypto[[#This Row],[Peak Close]])-1</f>
        <v>-0.40389562337021634</v>
      </c>
      <c r="I922">
        <v>0.62348999999999999</v>
      </c>
      <c r="J922" s="1">
        <v>45847</v>
      </c>
      <c r="K922" s="3">
        <v>8.5261992975027595E-2</v>
      </c>
      <c r="L922">
        <v>1172708375</v>
      </c>
      <c r="M922" s="2" t="s">
        <v>10</v>
      </c>
    </row>
    <row r="923" spans="1:13" x14ac:dyDescent="0.3">
      <c r="A923" s="1">
        <v>45849</v>
      </c>
      <c r="B923" s="2" t="s">
        <v>9</v>
      </c>
      <c r="C923">
        <v>0.67664000000000002</v>
      </c>
      <c r="D923">
        <v>0.77251999999999998</v>
      </c>
      <c r="E923">
        <v>0.66956000000000004</v>
      </c>
      <c r="F923">
        <v>0.71052999999999999</v>
      </c>
      <c r="G923">
        <f>_xlfn.MAXIFS(Crypto[Close],Crypto[Name],Crypto[[#This Row],[Name]],Crypto[Date],"&lt;="&amp;Crypto[[#This Row],[Date]])</f>
        <v>1.1351199999999999</v>
      </c>
      <c r="H923" s="3">
        <f>(Crypto[[#This Row],[Close]]/Crypto[[#This Row],[Peak Close]])-1</f>
        <v>-0.37404855874268794</v>
      </c>
      <c r="I923">
        <v>0.67664999999999997</v>
      </c>
      <c r="J923" s="1">
        <v>45848</v>
      </c>
      <c r="K923" s="3">
        <v>5.0070198773368803E-2</v>
      </c>
      <c r="L923">
        <v>2869891976</v>
      </c>
      <c r="M923" s="2" t="s">
        <v>10</v>
      </c>
    </row>
    <row r="924" spans="1:13" x14ac:dyDescent="0.3">
      <c r="A924" s="1">
        <v>45850</v>
      </c>
      <c r="B924" s="2" t="s">
        <v>9</v>
      </c>
      <c r="C924">
        <v>0.71052999999999999</v>
      </c>
      <c r="D924">
        <v>0.73368</v>
      </c>
      <c r="E924">
        <v>0.69018999999999997</v>
      </c>
      <c r="F924">
        <v>0.70830000000000004</v>
      </c>
      <c r="G924">
        <f>_xlfn.MAXIFS(Crypto[Close],Crypto[Name],Crypto[[#This Row],[Name]],Crypto[Date],"&lt;="&amp;Crypto[[#This Row],[Date]])</f>
        <v>1.1351199999999999</v>
      </c>
      <c r="H924" s="3">
        <f>(Crypto[[#This Row],[Close]]/Crypto[[#This Row],[Peak Close]])-1</f>
        <v>-0.37601310874621174</v>
      </c>
      <c r="I924">
        <v>0.71052999999999999</v>
      </c>
      <c r="J924" s="1">
        <v>45849</v>
      </c>
      <c r="K924" s="3">
        <v>-3.1385022448031101E-3</v>
      </c>
      <c r="L924">
        <v>1327152134</v>
      </c>
      <c r="M924" s="2" t="s">
        <v>10</v>
      </c>
    </row>
    <row r="925" spans="1:13" x14ac:dyDescent="0.3">
      <c r="A925" s="1">
        <v>45851</v>
      </c>
      <c r="B925" s="2" t="s">
        <v>9</v>
      </c>
      <c r="C925">
        <v>0.70830000000000004</v>
      </c>
      <c r="D925">
        <v>0.75375000000000003</v>
      </c>
      <c r="E925">
        <v>0.70608000000000004</v>
      </c>
      <c r="F925">
        <v>0.73724999999999996</v>
      </c>
      <c r="G925">
        <f>_xlfn.MAXIFS(Crypto[Close],Crypto[Name],Crypto[[#This Row],[Name]],Crypto[Date],"&lt;="&amp;Crypto[[#This Row],[Date]])</f>
        <v>1.1351199999999999</v>
      </c>
      <c r="H925" s="3">
        <f>(Crypto[[#This Row],[Close]]/Crypto[[#This Row],[Peak Close]])-1</f>
        <v>-0.35050919726548735</v>
      </c>
      <c r="I925">
        <v>0.70830000000000004</v>
      </c>
      <c r="J925" s="1">
        <v>45850</v>
      </c>
      <c r="K925" s="3">
        <v>4.0872511647606802E-2</v>
      </c>
      <c r="L925">
        <v>1559998665</v>
      </c>
      <c r="M925" s="2" t="s">
        <v>10</v>
      </c>
    </row>
    <row r="926" spans="1:13" x14ac:dyDescent="0.3">
      <c r="A926" s="1">
        <v>45852</v>
      </c>
      <c r="B926" s="2" t="s">
        <v>9</v>
      </c>
      <c r="C926">
        <v>0.73724999999999996</v>
      </c>
      <c r="D926">
        <v>0.76546999999999998</v>
      </c>
      <c r="E926">
        <v>0.72372999999999998</v>
      </c>
      <c r="F926">
        <v>0.73433999999999999</v>
      </c>
      <c r="G926">
        <f>_xlfn.MAXIFS(Crypto[Close],Crypto[Name],Crypto[[#This Row],[Name]],Crypto[Date],"&lt;="&amp;Crypto[[#This Row],[Date]])</f>
        <v>1.1351199999999999</v>
      </c>
      <c r="H926" s="3">
        <f>(Crypto[[#This Row],[Close]]/Crypto[[#This Row],[Peak Close]])-1</f>
        <v>-0.35307280287546683</v>
      </c>
      <c r="I926">
        <v>0.73724999999999996</v>
      </c>
      <c r="J926" s="1">
        <v>45851</v>
      </c>
      <c r="K926" s="3">
        <v>-3.94710071210576E-3</v>
      </c>
      <c r="L926">
        <v>1794877371</v>
      </c>
      <c r="M926" s="2" t="s">
        <v>10</v>
      </c>
    </row>
    <row r="927" spans="1:13" x14ac:dyDescent="0.3">
      <c r="A927" s="1">
        <v>45853</v>
      </c>
      <c r="B927" s="2" t="s">
        <v>9</v>
      </c>
      <c r="C927">
        <v>0.73433000000000004</v>
      </c>
      <c r="D927">
        <v>0.74829999999999997</v>
      </c>
      <c r="E927">
        <v>0.71172000000000002</v>
      </c>
      <c r="F927">
        <v>0.74682000000000004</v>
      </c>
      <c r="G927">
        <f>_xlfn.MAXIFS(Crypto[Close],Crypto[Name],Crypto[[#This Row],[Name]],Crypto[Date],"&lt;="&amp;Crypto[[#This Row],[Date]])</f>
        <v>1.1351199999999999</v>
      </c>
      <c r="H927" s="3">
        <f>(Crypto[[#This Row],[Close]]/Crypto[[#This Row],[Peak Close]])-1</f>
        <v>-0.34207837056875035</v>
      </c>
      <c r="I927">
        <v>0.73433999999999999</v>
      </c>
      <c r="J927" s="1">
        <v>45852</v>
      </c>
      <c r="K927" s="3">
        <v>1.69948525206308E-2</v>
      </c>
      <c r="L927">
        <v>1523030830</v>
      </c>
      <c r="M927" s="2" t="s">
        <v>10</v>
      </c>
    </row>
    <row r="928" spans="1:13" x14ac:dyDescent="0.3">
      <c r="A928" s="1">
        <v>45854</v>
      </c>
      <c r="B928" s="2" t="s">
        <v>9</v>
      </c>
      <c r="C928">
        <v>0.74682000000000004</v>
      </c>
      <c r="D928">
        <v>0.78356000000000003</v>
      </c>
      <c r="E928">
        <v>0.73407</v>
      </c>
      <c r="F928">
        <v>0.76454999999999995</v>
      </c>
      <c r="G928">
        <f>_xlfn.MAXIFS(Crypto[Close],Crypto[Name],Crypto[[#This Row],[Name]],Crypto[Date],"&lt;="&amp;Crypto[[#This Row],[Date]])</f>
        <v>1.1351199999999999</v>
      </c>
      <c r="H928" s="3">
        <f>(Crypto[[#This Row],[Close]]/Crypto[[#This Row],[Peak Close]])-1</f>
        <v>-0.32645887659454509</v>
      </c>
      <c r="I928">
        <v>0.74682000000000004</v>
      </c>
      <c r="J928" s="1">
        <v>45853</v>
      </c>
      <c r="K928" s="3">
        <v>2.37406604000963E-2</v>
      </c>
      <c r="L928">
        <v>1535471266</v>
      </c>
      <c r="M928" s="2" t="s">
        <v>10</v>
      </c>
    </row>
    <row r="929" spans="1:13" x14ac:dyDescent="0.3">
      <c r="A929" s="1">
        <v>45855</v>
      </c>
      <c r="B929" s="2" t="s">
        <v>9</v>
      </c>
      <c r="C929">
        <v>0.76454999999999995</v>
      </c>
      <c r="D929">
        <v>0.83716000000000002</v>
      </c>
      <c r="E929">
        <v>0.74280000000000002</v>
      </c>
      <c r="F929">
        <v>0.82379000000000002</v>
      </c>
      <c r="G929">
        <f>_xlfn.MAXIFS(Crypto[Close],Crypto[Name],Crypto[[#This Row],[Name]],Crypto[Date],"&lt;="&amp;Crypto[[#This Row],[Date]])</f>
        <v>1.1351199999999999</v>
      </c>
      <c r="H929" s="3">
        <f>(Crypto[[#This Row],[Close]]/Crypto[[#This Row],[Peak Close]])-1</f>
        <v>-0.27427056170272734</v>
      </c>
      <c r="I929">
        <v>0.76454999999999995</v>
      </c>
      <c r="J929" s="1">
        <v>45854</v>
      </c>
      <c r="K929" s="3">
        <v>7.7483487018507699E-2</v>
      </c>
      <c r="L929">
        <v>2647535949</v>
      </c>
      <c r="M929" s="2" t="s">
        <v>10</v>
      </c>
    </row>
    <row r="930" spans="1:13" x14ac:dyDescent="0.3">
      <c r="A930" s="1">
        <v>45856</v>
      </c>
      <c r="B930" s="2" t="s">
        <v>9</v>
      </c>
      <c r="C930">
        <v>0.82371000000000005</v>
      </c>
      <c r="D930">
        <v>0.89217000000000002</v>
      </c>
      <c r="E930">
        <v>0.80076999999999998</v>
      </c>
      <c r="F930">
        <v>0.81586000000000003</v>
      </c>
      <c r="G930">
        <f>_xlfn.MAXIFS(Crypto[Close],Crypto[Name],Crypto[[#This Row],[Name]],Crypto[Date],"&lt;="&amp;Crypto[[#This Row],[Date]])</f>
        <v>1.1351199999999999</v>
      </c>
      <c r="H930" s="3">
        <f>(Crypto[[#This Row],[Close]]/Crypto[[#This Row],[Peak Close]])-1</f>
        <v>-0.28125660723095347</v>
      </c>
      <c r="I930">
        <v>0.82379000000000002</v>
      </c>
      <c r="J930" s="1">
        <v>45855</v>
      </c>
      <c r="K930" s="3">
        <v>-9.6262396970101492E-3</v>
      </c>
      <c r="L930">
        <v>3058416972</v>
      </c>
      <c r="M930" s="2" t="s">
        <v>10</v>
      </c>
    </row>
    <row r="931" spans="1:13" x14ac:dyDescent="0.3">
      <c r="A931" s="1">
        <v>45857</v>
      </c>
      <c r="B931" s="2" t="s">
        <v>9</v>
      </c>
      <c r="C931">
        <v>0.81586000000000003</v>
      </c>
      <c r="D931">
        <v>0.83545999999999998</v>
      </c>
      <c r="E931">
        <v>0.80569000000000002</v>
      </c>
      <c r="F931">
        <v>0.83033999999999997</v>
      </c>
      <c r="G931">
        <f>_xlfn.MAXIFS(Crypto[Close],Crypto[Name],Crypto[[#This Row],[Name]],Crypto[Date],"&lt;="&amp;Crypto[[#This Row],[Date]])</f>
        <v>1.1351199999999999</v>
      </c>
      <c r="H931" s="3">
        <f>(Crypto[[#This Row],[Close]]/Crypto[[#This Row],[Peak Close]])-1</f>
        <v>-0.26850024666995553</v>
      </c>
      <c r="I931">
        <v>0.81586000000000003</v>
      </c>
      <c r="J931" s="1">
        <v>45856</v>
      </c>
      <c r="K931" s="3">
        <v>1.77481430637609E-2</v>
      </c>
      <c r="L931">
        <v>1047545712</v>
      </c>
      <c r="M931" s="2" t="s">
        <v>10</v>
      </c>
    </row>
    <row r="932" spans="1:13" x14ac:dyDescent="0.3">
      <c r="A932" s="1">
        <v>45858</v>
      </c>
      <c r="B932" s="2" t="s">
        <v>9</v>
      </c>
      <c r="C932">
        <v>0.83033000000000001</v>
      </c>
      <c r="D932">
        <v>0.87580000000000002</v>
      </c>
      <c r="E932">
        <v>0.82452999999999999</v>
      </c>
      <c r="F932">
        <v>0.85873999999999995</v>
      </c>
      <c r="G932">
        <f>_xlfn.MAXIFS(Crypto[Close],Crypto[Name],Crypto[[#This Row],[Name]],Crypto[Date],"&lt;="&amp;Crypto[[#This Row],[Date]])</f>
        <v>1.1351199999999999</v>
      </c>
      <c r="H932" s="3">
        <f>(Crypto[[#This Row],[Close]]/Crypto[[#This Row],[Peak Close]])-1</f>
        <v>-0.24348086545915848</v>
      </c>
      <c r="I932">
        <v>0.83033999999999997</v>
      </c>
      <c r="J932" s="1">
        <v>45857</v>
      </c>
      <c r="K932" s="3">
        <v>3.4202856661126803E-2</v>
      </c>
      <c r="L932">
        <v>1751415542</v>
      </c>
      <c r="M932" s="2" t="s">
        <v>10</v>
      </c>
    </row>
    <row r="933" spans="1:13" x14ac:dyDescent="0.3">
      <c r="A933" s="1">
        <v>45859</v>
      </c>
      <c r="B933" s="2" t="s">
        <v>9</v>
      </c>
      <c r="C933">
        <v>0.85873999999999995</v>
      </c>
      <c r="D933">
        <v>0.92966000000000004</v>
      </c>
      <c r="E933">
        <v>0.84414999999999996</v>
      </c>
      <c r="F933">
        <v>0.89043000000000005</v>
      </c>
      <c r="G933">
        <f>_xlfn.MAXIFS(Crypto[Close],Crypto[Name],Crypto[[#This Row],[Name]],Crypto[Date],"&lt;="&amp;Crypto[[#This Row],[Date]])</f>
        <v>1.1351199999999999</v>
      </c>
      <c r="H933" s="3">
        <f>(Crypto[[#This Row],[Close]]/Crypto[[#This Row],[Peak Close]])-1</f>
        <v>-0.2155631122700683</v>
      </c>
      <c r="I933">
        <v>0.85873999999999995</v>
      </c>
      <c r="J933" s="1">
        <v>45858</v>
      </c>
      <c r="K933" s="3">
        <v>3.6902904255071499E-2</v>
      </c>
      <c r="L933">
        <v>2494414873</v>
      </c>
      <c r="M933" s="2" t="s">
        <v>10</v>
      </c>
    </row>
    <row r="934" spans="1:13" x14ac:dyDescent="0.3">
      <c r="A934" s="1">
        <v>45860</v>
      </c>
      <c r="B934" s="2" t="s">
        <v>9</v>
      </c>
      <c r="C934">
        <v>0.89041000000000003</v>
      </c>
      <c r="D934">
        <v>0.90700999999999998</v>
      </c>
      <c r="E934">
        <v>0.85492000000000001</v>
      </c>
      <c r="F934">
        <v>0.90293999999999996</v>
      </c>
      <c r="G934">
        <f>_xlfn.MAXIFS(Crypto[Close],Crypto[Name],Crypto[[#This Row],[Name]],Crypto[Date],"&lt;="&amp;Crypto[[#This Row],[Date]])</f>
        <v>1.1351199999999999</v>
      </c>
      <c r="H934" s="3">
        <f>(Crypto[[#This Row],[Close]]/Crypto[[#This Row],[Peak Close]])-1</f>
        <v>-0.2045422510395376</v>
      </c>
      <c r="I934">
        <v>0.89043000000000005</v>
      </c>
      <c r="J934" s="1">
        <v>45859</v>
      </c>
      <c r="K934" s="3">
        <v>1.40493918668507E-2</v>
      </c>
      <c r="L934">
        <v>2097520070</v>
      </c>
      <c r="M934" s="2" t="s">
        <v>10</v>
      </c>
    </row>
    <row r="935" spans="1:13" x14ac:dyDescent="0.3">
      <c r="A935" s="1">
        <v>45861</v>
      </c>
      <c r="B935" s="2" t="s">
        <v>9</v>
      </c>
      <c r="C935">
        <v>0.90295000000000003</v>
      </c>
      <c r="D935">
        <v>0.90346000000000004</v>
      </c>
      <c r="E935">
        <v>0.79335</v>
      </c>
      <c r="F935">
        <v>0.81623000000000001</v>
      </c>
      <c r="G935">
        <f>_xlfn.MAXIFS(Crypto[Close],Crypto[Name],Crypto[[#This Row],[Name]],Crypto[Date],"&lt;="&amp;Crypto[[#This Row],[Date]])</f>
        <v>1.1351199999999999</v>
      </c>
      <c r="H935" s="3">
        <f>(Crypto[[#This Row],[Close]]/Crypto[[#This Row],[Peak Close]])-1</f>
        <v>-0.28093065050391142</v>
      </c>
      <c r="I935">
        <v>0.90293999999999996</v>
      </c>
      <c r="J935" s="1">
        <v>45860</v>
      </c>
      <c r="K935" s="3">
        <v>-9.6030744013998706E-2</v>
      </c>
      <c r="L935">
        <v>1971435839</v>
      </c>
      <c r="M935" s="2" t="s">
        <v>10</v>
      </c>
    </row>
    <row r="936" spans="1:13" x14ac:dyDescent="0.3">
      <c r="A936" s="1">
        <v>45862</v>
      </c>
      <c r="B936" s="2" t="s">
        <v>9</v>
      </c>
      <c r="C936">
        <v>0.81623000000000001</v>
      </c>
      <c r="D936">
        <v>0.83670999999999995</v>
      </c>
      <c r="E936">
        <v>0.76566000000000001</v>
      </c>
      <c r="F936">
        <v>0.80557999999999996</v>
      </c>
      <c r="G936">
        <f>_xlfn.MAXIFS(Crypto[Close],Crypto[Name],Crypto[[#This Row],[Name]],Crypto[Date],"&lt;="&amp;Crypto[[#This Row],[Date]])</f>
        <v>1.1351199999999999</v>
      </c>
      <c r="H936" s="3">
        <f>(Crypto[[#This Row],[Close]]/Crypto[[#This Row],[Peak Close]])-1</f>
        <v>-0.29031291845796037</v>
      </c>
      <c r="I936">
        <v>0.81623000000000001</v>
      </c>
      <c r="J936" s="1">
        <v>45861</v>
      </c>
      <c r="K936" s="3">
        <v>-1.30477929015107E-2</v>
      </c>
      <c r="L936">
        <v>2091907443</v>
      </c>
      <c r="M936" s="2" t="s">
        <v>10</v>
      </c>
    </row>
    <row r="937" spans="1:13" x14ac:dyDescent="0.3">
      <c r="A937" s="1">
        <v>45863</v>
      </c>
      <c r="B937" s="2" t="s">
        <v>9</v>
      </c>
      <c r="C937">
        <v>0.80557999999999996</v>
      </c>
      <c r="D937">
        <v>0.81625000000000003</v>
      </c>
      <c r="E937">
        <v>0.77768999999999999</v>
      </c>
      <c r="F937">
        <v>0.81606999999999996</v>
      </c>
      <c r="G937">
        <f>_xlfn.MAXIFS(Crypto[Close],Crypto[Name],Crypto[[#This Row],[Name]],Crypto[Date],"&lt;="&amp;Crypto[[#This Row],[Date]])</f>
        <v>1.1351199999999999</v>
      </c>
      <c r="H937" s="3">
        <f>(Crypto[[#This Row],[Close]]/Crypto[[#This Row],[Peak Close]])-1</f>
        <v>-0.28107160476425397</v>
      </c>
      <c r="I937">
        <v>0.80557999999999996</v>
      </c>
      <c r="J937" s="1">
        <v>45862</v>
      </c>
      <c r="K937" s="3">
        <v>1.30216738250701E-2</v>
      </c>
      <c r="L937">
        <v>1448176900</v>
      </c>
      <c r="M937" s="2" t="s">
        <v>10</v>
      </c>
    </row>
    <row r="938" spans="1:13" x14ac:dyDescent="0.3">
      <c r="A938" s="1">
        <v>45864</v>
      </c>
      <c r="B938" s="2" t="s">
        <v>9</v>
      </c>
      <c r="C938">
        <v>0.81605000000000005</v>
      </c>
      <c r="D938">
        <v>0.83748</v>
      </c>
      <c r="E938">
        <v>0.81303999999999998</v>
      </c>
      <c r="F938">
        <v>0.81979999999999997</v>
      </c>
      <c r="G938">
        <f>_xlfn.MAXIFS(Crypto[Close],Crypto[Name],Crypto[[#This Row],[Name]],Crypto[Date],"&lt;="&amp;Crypto[[#This Row],[Date]])</f>
        <v>1.1351199999999999</v>
      </c>
      <c r="H938" s="3">
        <f>(Crypto[[#This Row],[Close]]/Crypto[[#This Row],[Peak Close]])-1</f>
        <v>-0.27778560857001899</v>
      </c>
      <c r="I938">
        <v>0.81606999999999996</v>
      </c>
      <c r="J938" s="1">
        <v>45863</v>
      </c>
      <c r="K938" s="3">
        <v>4.5706863381817899E-3</v>
      </c>
      <c r="L938">
        <v>869250145</v>
      </c>
      <c r="M938" s="2" t="s">
        <v>10</v>
      </c>
    </row>
    <row r="939" spans="1:13" x14ac:dyDescent="0.3">
      <c r="A939" s="1">
        <v>45865</v>
      </c>
      <c r="B939" s="2" t="s">
        <v>9</v>
      </c>
      <c r="C939">
        <v>0.81979999999999997</v>
      </c>
      <c r="D939">
        <v>0.83816000000000002</v>
      </c>
      <c r="E939">
        <v>0.81545999999999996</v>
      </c>
      <c r="F939">
        <v>0.83201000000000003</v>
      </c>
      <c r="G939">
        <f>_xlfn.MAXIFS(Crypto[Close],Crypto[Name],Crypto[[#This Row],[Name]],Crypto[Date],"&lt;="&amp;Crypto[[#This Row],[Date]])</f>
        <v>1.1351199999999999</v>
      </c>
      <c r="H939" s="3">
        <f>(Crypto[[#This Row],[Close]]/Crypto[[#This Row],[Peak Close]])-1</f>
        <v>-0.26702903657763044</v>
      </c>
      <c r="I939">
        <v>0.81979999999999997</v>
      </c>
      <c r="J939" s="1">
        <v>45864</v>
      </c>
      <c r="K939" s="3">
        <v>1.4893876555257399E-2</v>
      </c>
      <c r="L939">
        <v>969262242</v>
      </c>
      <c r="M939" s="2" t="s">
        <v>10</v>
      </c>
    </row>
    <row r="940" spans="1:13" x14ac:dyDescent="0.3">
      <c r="A940" s="1">
        <v>45866</v>
      </c>
      <c r="B940" s="2" t="s">
        <v>9</v>
      </c>
      <c r="C940">
        <v>0.83201000000000003</v>
      </c>
      <c r="D940">
        <v>0.85399999999999998</v>
      </c>
      <c r="E940">
        <v>0.78907000000000005</v>
      </c>
      <c r="F940">
        <v>0.79088999999999998</v>
      </c>
      <c r="G940">
        <f>_xlfn.MAXIFS(Crypto[Close],Crypto[Name],Crypto[[#This Row],[Name]],Crypto[Date],"&lt;="&amp;Crypto[[#This Row],[Date]])</f>
        <v>1.1351199999999999</v>
      </c>
      <c r="H940" s="3">
        <f>(Crypto[[#This Row],[Close]]/Crypto[[#This Row],[Peak Close]])-1</f>
        <v>-0.30325428148565792</v>
      </c>
      <c r="I940">
        <v>0.83201000000000003</v>
      </c>
      <c r="J940" s="1">
        <v>45865</v>
      </c>
      <c r="K940" s="3">
        <v>-4.9422482902849799E-2</v>
      </c>
      <c r="L940">
        <v>1298724819</v>
      </c>
      <c r="M940" s="2" t="s">
        <v>10</v>
      </c>
    </row>
    <row r="941" spans="1:13" x14ac:dyDescent="0.3">
      <c r="A941" s="1">
        <v>45867</v>
      </c>
      <c r="B941" s="2" t="s">
        <v>9</v>
      </c>
      <c r="C941">
        <v>0.79088000000000003</v>
      </c>
      <c r="D941">
        <v>0.80894999999999995</v>
      </c>
      <c r="E941">
        <v>0.77151000000000003</v>
      </c>
      <c r="F941">
        <v>0.78247</v>
      </c>
      <c r="G941">
        <f>_xlfn.MAXIFS(Crypto[Close],Crypto[Name],Crypto[[#This Row],[Name]],Crypto[Date],"&lt;="&amp;Crypto[[#This Row],[Date]])</f>
        <v>1.1351199999999999</v>
      </c>
      <c r="H941" s="3">
        <f>(Crypto[[#This Row],[Close]]/Crypto[[#This Row],[Peak Close]])-1</f>
        <v>-0.31067199943618296</v>
      </c>
      <c r="I941">
        <v>0.79088999999999998</v>
      </c>
      <c r="J941" s="1">
        <v>45866</v>
      </c>
      <c r="K941" s="3">
        <v>-1.0646233989555999E-2</v>
      </c>
      <c r="L941">
        <v>986793262</v>
      </c>
      <c r="M941" s="2" t="s">
        <v>10</v>
      </c>
    </row>
    <row r="942" spans="1:13" x14ac:dyDescent="0.3">
      <c r="A942" s="1">
        <v>45868</v>
      </c>
      <c r="B942" s="2" t="s">
        <v>9</v>
      </c>
      <c r="C942">
        <v>0.78247</v>
      </c>
      <c r="D942">
        <v>0.78832000000000002</v>
      </c>
      <c r="E942">
        <v>0.74261999999999995</v>
      </c>
      <c r="F942">
        <v>0.76344000000000001</v>
      </c>
      <c r="G942">
        <f>_xlfn.MAXIFS(Crypto[Close],Crypto[Name],Crypto[[#This Row],[Name]],Crypto[Date],"&lt;="&amp;Crypto[[#This Row],[Date]])</f>
        <v>1.1351199999999999</v>
      </c>
      <c r="H942" s="3">
        <f>(Crypto[[#This Row],[Close]]/Crypto[[#This Row],[Peak Close]])-1</f>
        <v>-0.32743674677567125</v>
      </c>
      <c r="I942">
        <v>0.78247</v>
      </c>
      <c r="J942" s="1">
        <v>45867</v>
      </c>
      <c r="K942" s="3">
        <v>-2.43204212302069E-2</v>
      </c>
      <c r="L942">
        <v>1181054301</v>
      </c>
      <c r="M942" s="2" t="s">
        <v>10</v>
      </c>
    </row>
    <row r="943" spans="1:13" x14ac:dyDescent="0.3">
      <c r="A943" s="1">
        <v>45869</v>
      </c>
      <c r="B943" s="2" t="s">
        <v>9</v>
      </c>
      <c r="C943">
        <v>0.76341999999999999</v>
      </c>
      <c r="D943">
        <v>0.78769</v>
      </c>
      <c r="E943">
        <v>0.73824000000000001</v>
      </c>
      <c r="F943">
        <v>0.74006000000000005</v>
      </c>
      <c r="G943">
        <f>_xlfn.MAXIFS(Crypto[Close],Crypto[Name],Crypto[[#This Row],[Name]],Crypto[Date],"&lt;="&amp;Crypto[[#This Row],[Date]])</f>
        <v>1.1351199999999999</v>
      </c>
      <c r="H943" s="3">
        <f>(Crypto[[#This Row],[Close]]/Crypto[[#This Row],[Peak Close]])-1</f>
        <v>-0.34803368806822177</v>
      </c>
      <c r="I943">
        <v>0.76344000000000001</v>
      </c>
      <c r="J943" s="1">
        <v>45868</v>
      </c>
      <c r="K943" s="3">
        <v>-3.0624541548779201E-2</v>
      </c>
      <c r="L943">
        <v>977040210</v>
      </c>
      <c r="M943" s="2" t="s">
        <v>10</v>
      </c>
    </row>
    <row r="944" spans="1:13" x14ac:dyDescent="0.3">
      <c r="A944" s="1">
        <v>45870</v>
      </c>
      <c r="B944" s="2" t="s">
        <v>9</v>
      </c>
      <c r="C944">
        <v>0.74006000000000005</v>
      </c>
      <c r="D944">
        <v>0.74006000000000005</v>
      </c>
      <c r="E944">
        <v>0.70086000000000004</v>
      </c>
      <c r="F944">
        <v>0.71567000000000003</v>
      </c>
      <c r="G944">
        <f>_xlfn.MAXIFS(Crypto[Close],Crypto[Name],Crypto[[#This Row],[Name]],Crypto[Date],"&lt;="&amp;Crypto[[#This Row],[Date]])</f>
        <v>1.1351199999999999</v>
      </c>
      <c r="H944" s="3">
        <f>(Crypto[[#This Row],[Close]]/Crypto[[#This Row],[Peak Close]])-1</f>
        <v>-0.36952040312918455</v>
      </c>
      <c r="I944">
        <v>0.74006000000000005</v>
      </c>
      <c r="J944" s="1">
        <v>45869</v>
      </c>
      <c r="K944" s="3">
        <v>-3.2956787287517303E-2</v>
      </c>
      <c r="L944">
        <v>1471507567</v>
      </c>
      <c r="M944" s="2" t="s">
        <v>10</v>
      </c>
    </row>
    <row r="945" spans="1:13" x14ac:dyDescent="0.3">
      <c r="A945" s="1">
        <v>45871</v>
      </c>
      <c r="B945" s="2" t="s">
        <v>9</v>
      </c>
      <c r="C945">
        <v>0.71562999999999999</v>
      </c>
      <c r="D945">
        <v>0.72685</v>
      </c>
      <c r="E945">
        <v>0.68652000000000002</v>
      </c>
      <c r="F945">
        <v>0.69767000000000001</v>
      </c>
      <c r="G945">
        <f>_xlfn.MAXIFS(Crypto[Close],Crypto[Name],Crypto[[#This Row],[Name]],Crypto[Date],"&lt;="&amp;Crypto[[#This Row],[Date]])</f>
        <v>1.1351199999999999</v>
      </c>
      <c r="H945" s="3">
        <f>(Crypto[[#This Row],[Close]]/Crypto[[#This Row],[Peak Close]])-1</f>
        <v>-0.38537775741771785</v>
      </c>
      <c r="I945">
        <v>0.71567000000000003</v>
      </c>
      <c r="J945" s="1">
        <v>45870</v>
      </c>
      <c r="K945" s="3">
        <v>-2.51512568641972E-2</v>
      </c>
      <c r="L945">
        <v>921584134</v>
      </c>
      <c r="M945" s="2" t="s">
        <v>10</v>
      </c>
    </row>
    <row r="946" spans="1:13" x14ac:dyDescent="0.3">
      <c r="A946" s="1">
        <v>45872</v>
      </c>
      <c r="B946" s="2" t="s">
        <v>9</v>
      </c>
      <c r="C946">
        <v>0.69767000000000001</v>
      </c>
      <c r="D946">
        <v>0.72902</v>
      </c>
      <c r="E946">
        <v>0.69103999999999999</v>
      </c>
      <c r="F946">
        <v>0.72697999999999996</v>
      </c>
      <c r="G946">
        <f>_xlfn.MAXIFS(Crypto[Close],Crypto[Name],Crypto[[#This Row],[Name]],Crypto[Date],"&lt;="&amp;Crypto[[#This Row],[Date]])</f>
        <v>1.1351199999999999</v>
      </c>
      <c r="H946" s="3">
        <f>(Crypto[[#This Row],[Close]]/Crypto[[#This Row],[Peak Close]])-1</f>
        <v>-0.35955669885122277</v>
      </c>
      <c r="I946">
        <v>0.69767000000000001</v>
      </c>
      <c r="J946" s="1">
        <v>45871</v>
      </c>
      <c r="K946" s="3">
        <v>4.2011266071351701E-2</v>
      </c>
      <c r="L946">
        <v>757511852</v>
      </c>
      <c r="M946" s="2" t="s">
        <v>10</v>
      </c>
    </row>
    <row r="947" spans="1:13" x14ac:dyDescent="0.3">
      <c r="A947" s="1">
        <v>45873</v>
      </c>
      <c r="B947" s="2" t="s">
        <v>9</v>
      </c>
      <c r="C947">
        <v>0.72697999999999996</v>
      </c>
      <c r="D947">
        <v>0.75851000000000002</v>
      </c>
      <c r="E947">
        <v>0.72591000000000006</v>
      </c>
      <c r="F947">
        <v>0.75480999999999998</v>
      </c>
      <c r="G947">
        <f>_xlfn.MAXIFS(Crypto[Close],Crypto[Name],Crypto[[#This Row],[Name]],Crypto[Date],"&lt;="&amp;Crypto[[#This Row],[Date]])</f>
        <v>1.1351199999999999</v>
      </c>
      <c r="H947" s="3">
        <f>(Crypto[[#This Row],[Close]]/Crypto[[#This Row],[Peak Close]])-1</f>
        <v>-0.3350394671928959</v>
      </c>
      <c r="I947">
        <v>0.72697999999999996</v>
      </c>
      <c r="J947" s="1">
        <v>45872</v>
      </c>
      <c r="K947" s="3">
        <v>3.8281658367492997E-2</v>
      </c>
      <c r="L947">
        <v>893498948</v>
      </c>
      <c r="M947" s="2" t="s">
        <v>10</v>
      </c>
    </row>
    <row r="948" spans="1:13" x14ac:dyDescent="0.3">
      <c r="A948" s="1">
        <v>45874</v>
      </c>
      <c r="B948" s="2" t="s">
        <v>9</v>
      </c>
      <c r="C948">
        <v>0.75480999999999998</v>
      </c>
      <c r="D948">
        <v>0.75931000000000004</v>
      </c>
      <c r="E948">
        <v>0.71523000000000003</v>
      </c>
      <c r="F948">
        <v>0.72604000000000002</v>
      </c>
      <c r="G948">
        <f>_xlfn.MAXIFS(Crypto[Close],Crypto[Name],Crypto[[#This Row],[Name]],Crypto[Date],"&lt;="&amp;Crypto[[#This Row],[Date]])</f>
        <v>1.1351199999999999</v>
      </c>
      <c r="H948" s="3">
        <f>(Crypto[[#This Row],[Close]]/Crypto[[#This Row],[Peak Close]])-1</f>
        <v>-0.36038480513073501</v>
      </c>
      <c r="I948">
        <v>0.75480999999999998</v>
      </c>
      <c r="J948" s="1">
        <v>45873</v>
      </c>
      <c r="K948" s="3">
        <v>-3.8115552258184103E-2</v>
      </c>
      <c r="L948">
        <v>945408782</v>
      </c>
      <c r="M948" s="2" t="s">
        <v>10</v>
      </c>
    </row>
    <row r="949" spans="1:13" x14ac:dyDescent="0.3">
      <c r="A949" s="1">
        <v>45875</v>
      </c>
      <c r="B949" s="2" t="s">
        <v>9</v>
      </c>
      <c r="C949">
        <v>0.72604000000000002</v>
      </c>
      <c r="D949">
        <v>0.74729999999999996</v>
      </c>
      <c r="E949">
        <v>0.71143000000000001</v>
      </c>
      <c r="F949">
        <v>0.74178999999999995</v>
      </c>
      <c r="G949">
        <f>_xlfn.MAXIFS(Crypto[Close],Crypto[Name],Crypto[[#This Row],[Name]],Crypto[Date],"&lt;="&amp;Crypto[[#This Row],[Date]])</f>
        <v>1.1351199999999999</v>
      </c>
      <c r="H949" s="3">
        <f>(Crypto[[#This Row],[Close]]/Crypto[[#This Row],[Peak Close]])-1</f>
        <v>-0.34650962012826836</v>
      </c>
      <c r="I949">
        <v>0.72604000000000002</v>
      </c>
      <c r="J949" s="1">
        <v>45874</v>
      </c>
      <c r="K949" s="3">
        <v>2.1693019668337699E-2</v>
      </c>
      <c r="L949">
        <v>740545524</v>
      </c>
      <c r="M949" s="2" t="s">
        <v>10</v>
      </c>
    </row>
    <row r="950" spans="1:13" x14ac:dyDescent="0.3">
      <c r="A950" s="1">
        <v>45876</v>
      </c>
      <c r="B950" s="2" t="s">
        <v>9</v>
      </c>
      <c r="C950">
        <v>0.74178999999999995</v>
      </c>
      <c r="D950">
        <v>0.78744000000000003</v>
      </c>
      <c r="E950">
        <v>0.73492000000000002</v>
      </c>
      <c r="F950">
        <v>0.78639999999999999</v>
      </c>
      <c r="G950">
        <f>_xlfn.MAXIFS(Crypto[Close],Crypto[Name],Crypto[[#This Row],[Name]],Crypto[Date],"&lt;="&amp;Crypto[[#This Row],[Date]])</f>
        <v>1.1351199999999999</v>
      </c>
      <c r="H950" s="3">
        <f>(Crypto[[#This Row],[Close]]/Crypto[[#This Row],[Peak Close]])-1</f>
        <v>-0.30720981041651985</v>
      </c>
      <c r="I950">
        <v>0.74178999999999995</v>
      </c>
      <c r="J950" s="1">
        <v>45875</v>
      </c>
      <c r="K950" s="3">
        <v>6.01383140781084E-2</v>
      </c>
      <c r="L950">
        <v>1066141350</v>
      </c>
      <c r="M950" s="2" t="s">
        <v>10</v>
      </c>
    </row>
    <row r="951" spans="1:13" x14ac:dyDescent="0.3">
      <c r="A951" s="1">
        <v>45877</v>
      </c>
      <c r="B951" s="2" t="s">
        <v>9</v>
      </c>
      <c r="C951">
        <v>0.78641000000000005</v>
      </c>
      <c r="D951">
        <v>0.80442999999999998</v>
      </c>
      <c r="E951">
        <v>0.77798</v>
      </c>
      <c r="F951">
        <v>0.79117999999999999</v>
      </c>
      <c r="G951">
        <f>_xlfn.MAXIFS(Crypto[Close],Crypto[Name],Crypto[[#This Row],[Name]],Crypto[Date],"&lt;="&amp;Crypto[[#This Row],[Date]])</f>
        <v>1.1351199999999999</v>
      </c>
      <c r="H951" s="3">
        <f>(Crypto[[#This Row],[Close]]/Crypto[[#This Row],[Peak Close]])-1</f>
        <v>-0.30299880188878703</v>
      </c>
      <c r="I951">
        <v>0.78639999999999999</v>
      </c>
      <c r="J951" s="1">
        <v>45876</v>
      </c>
      <c r="K951" s="3">
        <v>6.07833163784334E-3</v>
      </c>
      <c r="L951">
        <v>1342179780</v>
      </c>
      <c r="M951" s="2" t="s">
        <v>10</v>
      </c>
    </row>
    <row r="952" spans="1:13" x14ac:dyDescent="0.3">
      <c r="A952" s="1">
        <v>45878</v>
      </c>
      <c r="B952" s="2" t="s">
        <v>9</v>
      </c>
      <c r="C952">
        <v>0.79117999999999999</v>
      </c>
      <c r="D952">
        <v>0.81945999999999997</v>
      </c>
      <c r="E952">
        <v>0.79071999999999998</v>
      </c>
      <c r="F952">
        <v>0.80403999999999998</v>
      </c>
      <c r="G952">
        <f>_xlfn.MAXIFS(Crypto[Close],Crypto[Name],Crypto[[#This Row],[Name]],Crypto[Date],"&lt;="&amp;Crypto[[#This Row],[Date]])</f>
        <v>1.1351199999999999</v>
      </c>
      <c r="H952" s="3">
        <f>(Crypto[[#This Row],[Close]]/Crypto[[#This Row],[Peak Close]])-1</f>
        <v>-0.29166960321375712</v>
      </c>
      <c r="I952">
        <v>0.79117999999999999</v>
      </c>
      <c r="J952" s="1">
        <v>45877</v>
      </c>
      <c r="K952" s="3">
        <v>1.62542025834829E-2</v>
      </c>
      <c r="L952">
        <v>1023977315</v>
      </c>
      <c r="M952" s="2" t="s">
        <v>10</v>
      </c>
    </row>
    <row r="953" spans="1:13" x14ac:dyDescent="0.3">
      <c r="A953" s="1">
        <v>45879</v>
      </c>
      <c r="B953" s="2" t="s">
        <v>9</v>
      </c>
      <c r="C953">
        <v>0.80405000000000004</v>
      </c>
      <c r="D953">
        <v>0.83274999999999999</v>
      </c>
      <c r="E953">
        <v>0.78818999999999995</v>
      </c>
      <c r="F953">
        <v>0.80228999999999995</v>
      </c>
      <c r="G953">
        <f>_xlfn.MAXIFS(Crypto[Close],Crypto[Name],Crypto[[#This Row],[Name]],Crypto[Date],"&lt;="&amp;Crypto[[#This Row],[Date]])</f>
        <v>1.1351199999999999</v>
      </c>
      <c r="H953" s="3">
        <f>(Crypto[[#This Row],[Close]]/Crypto[[#This Row],[Peak Close]])-1</f>
        <v>-0.29321129043625338</v>
      </c>
      <c r="I953">
        <v>0.80403999999999998</v>
      </c>
      <c r="J953" s="1">
        <v>45878</v>
      </c>
      <c r="K953" s="3">
        <v>-2.1765086314114099E-3</v>
      </c>
      <c r="L953">
        <v>1080500013</v>
      </c>
      <c r="M953" s="2" t="s">
        <v>10</v>
      </c>
    </row>
    <row r="954" spans="1:13" x14ac:dyDescent="0.3">
      <c r="A954" s="1">
        <v>45880</v>
      </c>
      <c r="B954" s="2" t="s">
        <v>9</v>
      </c>
      <c r="C954">
        <v>0.80228999999999995</v>
      </c>
      <c r="D954">
        <v>0.83223999999999998</v>
      </c>
      <c r="E954">
        <v>0.76837999999999995</v>
      </c>
      <c r="F954">
        <v>0.77398</v>
      </c>
      <c r="G954">
        <f>_xlfn.MAXIFS(Crypto[Close],Crypto[Name],Crypto[[#This Row],[Name]],Crypto[Date],"&lt;="&amp;Crypto[[#This Row],[Date]])</f>
        <v>1.1351199999999999</v>
      </c>
      <c r="H954" s="3">
        <f>(Crypto[[#This Row],[Close]]/Crypto[[#This Row],[Peak Close]])-1</f>
        <v>-0.31815138487560779</v>
      </c>
      <c r="I954">
        <v>0.80228999999999995</v>
      </c>
      <c r="J954" s="1">
        <v>45879</v>
      </c>
      <c r="K954" s="3">
        <v>-3.5286492415460703E-2</v>
      </c>
      <c r="L954">
        <v>1413948082</v>
      </c>
      <c r="M954" s="2" t="s">
        <v>10</v>
      </c>
    </row>
    <row r="955" spans="1:13" x14ac:dyDescent="0.3">
      <c r="A955" s="1">
        <v>45881</v>
      </c>
      <c r="B955" s="2" t="s">
        <v>9</v>
      </c>
      <c r="C955">
        <v>0.77397000000000005</v>
      </c>
      <c r="D955">
        <v>0.85374000000000005</v>
      </c>
      <c r="E955">
        <v>0.76776</v>
      </c>
      <c r="F955">
        <v>0.84119999999999995</v>
      </c>
      <c r="G955">
        <f>_xlfn.MAXIFS(Crypto[Close],Crypto[Name],Crypto[[#This Row],[Name]],Crypto[Date],"&lt;="&amp;Crypto[[#This Row],[Date]])</f>
        <v>1.1351199999999999</v>
      </c>
      <c r="H955" s="3">
        <f>(Crypto[[#This Row],[Close]]/Crypto[[#This Row],[Peak Close]])-1</f>
        <v>-0.25893297624920708</v>
      </c>
      <c r="I955">
        <v>0.77398</v>
      </c>
      <c r="J955" s="1">
        <v>45880</v>
      </c>
      <c r="K955" s="3">
        <v>8.6849789400242794E-2</v>
      </c>
      <c r="L955">
        <v>1984793671</v>
      </c>
      <c r="M955" s="2" t="s">
        <v>10</v>
      </c>
    </row>
    <row r="956" spans="1:13" x14ac:dyDescent="0.3">
      <c r="A956" s="1">
        <v>45882</v>
      </c>
      <c r="B956" s="2" t="s">
        <v>9</v>
      </c>
      <c r="C956">
        <v>0.84119999999999995</v>
      </c>
      <c r="D956">
        <v>0.91801999999999995</v>
      </c>
      <c r="E956">
        <v>0.83404</v>
      </c>
      <c r="F956">
        <v>0.90591999999999995</v>
      </c>
      <c r="G956">
        <f>_xlfn.MAXIFS(Crypto[Close],Crypto[Name],Crypto[[#This Row],[Name]],Crypto[Date],"&lt;="&amp;Crypto[[#This Row],[Date]])</f>
        <v>1.1351199999999999</v>
      </c>
      <c r="H956" s="3">
        <f>(Crypto[[#This Row],[Close]]/Crypto[[#This Row],[Peak Close]])-1</f>
        <v>-0.20191697794065822</v>
      </c>
      <c r="I956">
        <v>0.84119999999999995</v>
      </c>
      <c r="J956" s="1">
        <v>45881</v>
      </c>
      <c r="K956" s="3">
        <v>7.6937708036138794E-2</v>
      </c>
      <c r="L956">
        <v>2355898692</v>
      </c>
      <c r="M956" s="2" t="s">
        <v>10</v>
      </c>
    </row>
    <row r="957" spans="1:13" x14ac:dyDescent="0.3">
      <c r="A957" s="1">
        <v>45883</v>
      </c>
      <c r="B957" s="2" t="s">
        <v>9</v>
      </c>
      <c r="C957">
        <v>0.90591999999999995</v>
      </c>
      <c r="D957">
        <v>1.0164599999999999</v>
      </c>
      <c r="E957">
        <v>0.88117000000000001</v>
      </c>
      <c r="F957">
        <v>0.92537999999999998</v>
      </c>
      <c r="G957">
        <f>_xlfn.MAXIFS(Crypto[Close],Crypto[Name],Crypto[[#This Row],[Name]],Crypto[Date],"&lt;="&amp;Crypto[[#This Row],[Date]])</f>
        <v>1.1351199999999999</v>
      </c>
      <c r="H957" s="3">
        <f>(Crypto[[#This Row],[Close]]/Crypto[[#This Row],[Peak Close]])-1</f>
        <v>-0.18477341602649933</v>
      </c>
      <c r="I957">
        <v>0.90591999999999995</v>
      </c>
      <c r="J957" s="1">
        <v>45882</v>
      </c>
      <c r="K957" s="3">
        <v>2.14809254680325E-2</v>
      </c>
      <c r="L957">
        <v>6566984812</v>
      </c>
      <c r="M957" s="2" t="s">
        <v>10</v>
      </c>
    </row>
    <row r="958" spans="1:13" x14ac:dyDescent="0.3">
      <c r="A958" s="1">
        <v>45884</v>
      </c>
      <c r="B958" s="2" t="s">
        <v>9</v>
      </c>
      <c r="C958">
        <v>0.9254</v>
      </c>
      <c r="D958">
        <v>0.96108000000000005</v>
      </c>
      <c r="E958">
        <v>0.91417000000000004</v>
      </c>
      <c r="F958">
        <v>0.94384000000000001</v>
      </c>
      <c r="G958">
        <f>_xlfn.MAXIFS(Crypto[Close],Crypto[Name],Crypto[[#This Row],[Name]],Crypto[Date],"&lt;="&amp;Crypto[[#This Row],[Date]])</f>
        <v>1.1351199999999999</v>
      </c>
      <c r="H958" s="3">
        <f>(Crypto[[#This Row],[Close]]/Crypto[[#This Row],[Peak Close]])-1</f>
        <v>-0.16851081823948122</v>
      </c>
      <c r="I958">
        <v>0.92537999999999998</v>
      </c>
      <c r="J958" s="1">
        <v>45883</v>
      </c>
      <c r="K958" s="3">
        <v>1.9948561671961799E-2</v>
      </c>
      <c r="L958">
        <v>3727215369</v>
      </c>
      <c r="M958" s="2" t="s">
        <v>10</v>
      </c>
    </row>
    <row r="959" spans="1:13" x14ac:dyDescent="0.3">
      <c r="A959" s="1">
        <v>45885</v>
      </c>
      <c r="B959" s="2" t="s">
        <v>9</v>
      </c>
      <c r="C959">
        <v>0.94384000000000001</v>
      </c>
      <c r="D959">
        <v>0.97526000000000002</v>
      </c>
      <c r="E959">
        <v>0.90383000000000002</v>
      </c>
      <c r="F959">
        <v>0.92127999999999999</v>
      </c>
      <c r="G959">
        <f>_xlfn.MAXIFS(Crypto[Close],Crypto[Name],Crypto[[#This Row],[Name]],Crypto[Date],"&lt;="&amp;Crypto[[#This Row],[Date]])</f>
        <v>1.1351199999999999</v>
      </c>
      <c r="H959" s="3">
        <f>(Crypto[[#This Row],[Close]]/Crypto[[#This Row],[Peak Close]])-1</f>
        <v>-0.18838536894777635</v>
      </c>
      <c r="I959">
        <v>0.94384000000000001</v>
      </c>
      <c r="J959" s="1">
        <v>45884</v>
      </c>
      <c r="K959" s="3">
        <v>-2.3902356331581599E-2</v>
      </c>
      <c r="L959">
        <v>2342325704</v>
      </c>
      <c r="M959" s="2" t="s">
        <v>10</v>
      </c>
    </row>
    <row r="960" spans="1:13" x14ac:dyDescent="0.3">
      <c r="A960" s="1">
        <v>45886</v>
      </c>
      <c r="B960" s="2" t="s">
        <v>9</v>
      </c>
      <c r="C960">
        <v>0.92130000000000001</v>
      </c>
      <c r="D960">
        <v>0.98484000000000005</v>
      </c>
      <c r="E960">
        <v>0.90688999999999997</v>
      </c>
      <c r="F960">
        <v>0.96189000000000002</v>
      </c>
      <c r="G960">
        <f>_xlfn.MAXIFS(Crypto[Close],Crypto[Name],Crypto[[#This Row],[Name]],Crypto[Date],"&lt;="&amp;Crypto[[#This Row],[Date]])</f>
        <v>1.1351199999999999</v>
      </c>
      <c r="H960" s="3">
        <f>(Crypto[[#This Row],[Close]]/Crypto[[#This Row],[Peak Close]])-1</f>
        <v>-0.15260941574459075</v>
      </c>
      <c r="I960">
        <v>0.92127999999999999</v>
      </c>
      <c r="J960" s="1">
        <v>45885</v>
      </c>
      <c r="K960" s="3">
        <v>4.4079975686002103E-2</v>
      </c>
      <c r="L960">
        <v>2190571305</v>
      </c>
      <c r="M960" s="2" t="s">
        <v>10</v>
      </c>
    </row>
    <row r="961" spans="1:13" x14ac:dyDescent="0.3">
      <c r="A961" s="1">
        <v>45887</v>
      </c>
      <c r="B961" s="2" t="s">
        <v>9</v>
      </c>
      <c r="C961">
        <v>0.96187</v>
      </c>
      <c r="D961">
        <v>0.96599000000000002</v>
      </c>
      <c r="E961">
        <v>0.89449000000000001</v>
      </c>
      <c r="F961">
        <v>0.92325999999999997</v>
      </c>
      <c r="G961">
        <f>_xlfn.MAXIFS(Crypto[Close],Crypto[Name],Crypto[[#This Row],[Name]],Crypto[Date],"&lt;="&amp;Crypto[[#This Row],[Date]])</f>
        <v>1.1351199999999999</v>
      </c>
      <c r="H961" s="3">
        <f>(Crypto[[#This Row],[Close]]/Crypto[[#This Row],[Peak Close]])-1</f>
        <v>-0.18664105997603775</v>
      </c>
      <c r="I961">
        <v>0.96189000000000002</v>
      </c>
      <c r="J961" s="1">
        <v>45886</v>
      </c>
      <c r="K961" s="3">
        <v>-4.01605173148697E-2</v>
      </c>
      <c r="L961">
        <v>2301661145</v>
      </c>
      <c r="M961" s="2" t="s">
        <v>10</v>
      </c>
    </row>
    <row r="962" spans="1:13" x14ac:dyDescent="0.3">
      <c r="A962" s="1">
        <v>45888</v>
      </c>
      <c r="B962" s="2" t="s">
        <v>9</v>
      </c>
      <c r="C962">
        <v>0.92323999999999995</v>
      </c>
      <c r="D962">
        <v>0.9506</v>
      </c>
      <c r="E962">
        <v>0.84492999999999996</v>
      </c>
      <c r="F962">
        <v>0.84504000000000001</v>
      </c>
      <c r="G962">
        <f>_xlfn.MAXIFS(Crypto[Close],Crypto[Name],Crypto[[#This Row],[Name]],Crypto[Date],"&lt;="&amp;Crypto[[#This Row],[Date]])</f>
        <v>1.1351199999999999</v>
      </c>
      <c r="H962" s="3">
        <f>(Crypto[[#This Row],[Close]]/Crypto[[#This Row],[Peak Close]])-1</f>
        <v>-0.25555007400098662</v>
      </c>
      <c r="I962">
        <v>0.92325999999999997</v>
      </c>
      <c r="J962" s="1">
        <v>45887</v>
      </c>
      <c r="K962" s="3">
        <v>-8.4721530229837694E-2</v>
      </c>
      <c r="L962">
        <v>2803347062</v>
      </c>
      <c r="M962" s="2" t="s">
        <v>10</v>
      </c>
    </row>
    <row r="963" spans="1:13" x14ac:dyDescent="0.3">
      <c r="A963" s="1">
        <v>45889</v>
      </c>
      <c r="B963" s="2" t="s">
        <v>9</v>
      </c>
      <c r="C963">
        <v>0.84506999999999999</v>
      </c>
      <c r="D963">
        <v>0.89098999999999995</v>
      </c>
      <c r="E963">
        <v>0.83977000000000002</v>
      </c>
      <c r="F963">
        <v>0.88082000000000005</v>
      </c>
      <c r="G963">
        <f>_xlfn.MAXIFS(Crypto[Close],Crypto[Name],Crypto[[#This Row],[Name]],Crypto[Date],"&lt;="&amp;Crypto[[#This Row],[Date]])</f>
        <v>1.1351199999999999</v>
      </c>
      <c r="H963" s="3">
        <f>(Crypto[[#This Row],[Close]]/Crypto[[#This Row],[Peak Close]])-1</f>
        <v>-0.22402917753189078</v>
      </c>
      <c r="I963">
        <v>0.84504000000000001</v>
      </c>
      <c r="J963" s="1">
        <v>45888</v>
      </c>
      <c r="K963" s="3">
        <v>4.2341190949540898E-2</v>
      </c>
      <c r="L963">
        <v>2190768811</v>
      </c>
      <c r="M963" s="2" t="s">
        <v>10</v>
      </c>
    </row>
    <row r="964" spans="1:13" x14ac:dyDescent="0.3">
      <c r="A964" s="1">
        <v>45890</v>
      </c>
      <c r="B964" s="2" t="s">
        <v>9</v>
      </c>
      <c r="C964">
        <v>0.88082000000000005</v>
      </c>
      <c r="D964">
        <v>0.89073000000000002</v>
      </c>
      <c r="E964">
        <v>0.84853000000000001</v>
      </c>
      <c r="F964">
        <v>0.85102</v>
      </c>
      <c r="G964">
        <f>_xlfn.MAXIFS(Crypto[Close],Crypto[Name],Crypto[[#This Row],[Name]],Crypto[Date],"&lt;="&amp;Crypto[[#This Row],[Date]])</f>
        <v>1.1351199999999999</v>
      </c>
      <c r="H964" s="3">
        <f>(Crypto[[#This Row],[Close]]/Crypto[[#This Row],[Peak Close]])-1</f>
        <v>-0.25028190852068499</v>
      </c>
      <c r="I964">
        <v>0.88082000000000005</v>
      </c>
      <c r="J964" s="1">
        <v>45889</v>
      </c>
      <c r="K964" s="3">
        <v>-3.3832110987488999E-2</v>
      </c>
      <c r="L964">
        <v>1294029938</v>
      </c>
      <c r="M964" s="2" t="s">
        <v>10</v>
      </c>
    </row>
    <row r="965" spans="1:13" x14ac:dyDescent="0.3">
      <c r="A965" s="1">
        <v>45891</v>
      </c>
      <c r="B965" s="2" t="s">
        <v>9</v>
      </c>
      <c r="C965">
        <v>0.85102</v>
      </c>
      <c r="D965">
        <v>0.93901999999999997</v>
      </c>
      <c r="E965">
        <v>0.82342000000000004</v>
      </c>
      <c r="F965">
        <v>0.92991999999999997</v>
      </c>
      <c r="G965">
        <f>_xlfn.MAXIFS(Crypto[Close],Crypto[Name],Crypto[[#This Row],[Name]],Crypto[Date],"&lt;="&amp;Crypto[[#This Row],[Date]])</f>
        <v>1.1351199999999999</v>
      </c>
      <c r="H965" s="3">
        <f>(Crypto[[#This Row],[Close]]/Crypto[[#This Row],[Peak Close]])-1</f>
        <v>-0.18077383888928034</v>
      </c>
      <c r="I965">
        <v>0.85102</v>
      </c>
      <c r="J965" s="1">
        <v>45890</v>
      </c>
      <c r="K965" s="3">
        <v>9.2712274682146101E-2</v>
      </c>
      <c r="L965">
        <v>2834699734</v>
      </c>
      <c r="M965" s="2" t="s">
        <v>10</v>
      </c>
    </row>
    <row r="966" spans="1:13" x14ac:dyDescent="0.3">
      <c r="A966" s="1">
        <v>45892</v>
      </c>
      <c r="B966" s="2" t="s">
        <v>9</v>
      </c>
      <c r="C966">
        <v>0.92991999999999997</v>
      </c>
      <c r="D966">
        <v>0.93359000000000003</v>
      </c>
      <c r="E966">
        <v>0.89229999999999998</v>
      </c>
      <c r="F966">
        <v>0.91313</v>
      </c>
      <c r="G966">
        <f>_xlfn.MAXIFS(Crypto[Close],Crypto[Name],Crypto[[#This Row],[Name]],Crypto[Date],"&lt;="&amp;Crypto[[#This Row],[Date]])</f>
        <v>1.1351199999999999</v>
      </c>
      <c r="H966" s="3">
        <f>(Crypto[[#This Row],[Close]]/Crypto[[#This Row],[Peak Close]])-1</f>
        <v>-0.19556522658397346</v>
      </c>
      <c r="I966">
        <v>0.92991999999999997</v>
      </c>
      <c r="J966" s="1">
        <v>45891</v>
      </c>
      <c r="K966" s="3">
        <v>-1.8055316586373001E-2</v>
      </c>
      <c r="L966">
        <v>1485858765</v>
      </c>
      <c r="M966" s="2" t="s">
        <v>10</v>
      </c>
    </row>
    <row r="967" spans="1:13" x14ac:dyDescent="0.3">
      <c r="A967" s="1">
        <v>45893</v>
      </c>
      <c r="B967" s="2" t="s">
        <v>9</v>
      </c>
      <c r="C967">
        <v>0.91315000000000002</v>
      </c>
      <c r="D967">
        <v>0.96009</v>
      </c>
      <c r="E967">
        <v>0.88915999999999995</v>
      </c>
      <c r="F967">
        <v>0.90961000000000003</v>
      </c>
      <c r="G967">
        <f>_xlfn.MAXIFS(Crypto[Close],Crypto[Name],Crypto[[#This Row],[Name]],Crypto[Date],"&lt;="&amp;Crypto[[#This Row],[Date]])</f>
        <v>1.1351199999999999</v>
      </c>
      <c r="H967" s="3">
        <f>(Crypto[[#This Row],[Close]]/Crypto[[#This Row],[Peak Close]])-1</f>
        <v>-0.19866622031150882</v>
      </c>
      <c r="I967">
        <v>0.91313</v>
      </c>
      <c r="J967" s="1">
        <v>45892</v>
      </c>
      <c r="K967" s="3">
        <v>-3.8548728001488999E-3</v>
      </c>
      <c r="L967">
        <v>2134094046</v>
      </c>
      <c r="M967" s="2" t="s">
        <v>10</v>
      </c>
    </row>
    <row r="968" spans="1:13" x14ac:dyDescent="0.3">
      <c r="A968" s="1">
        <v>45894</v>
      </c>
      <c r="B968" s="2" t="s">
        <v>9</v>
      </c>
      <c r="C968">
        <v>0.90961000000000003</v>
      </c>
      <c r="D968">
        <v>0.92523</v>
      </c>
      <c r="E968">
        <v>0.83304999999999996</v>
      </c>
      <c r="F968">
        <v>0.83762999999999999</v>
      </c>
      <c r="G968">
        <f>_xlfn.MAXIFS(Crypto[Close],Crypto[Name],Crypto[[#This Row],[Name]],Crypto[Date],"&lt;="&amp;Crypto[[#This Row],[Date]])</f>
        <v>1.1351199999999999</v>
      </c>
      <c r="H968" s="3">
        <f>(Crypto[[#This Row],[Close]]/Crypto[[#This Row],[Peak Close]])-1</f>
        <v>-0.2620780181830995</v>
      </c>
      <c r="I968">
        <v>0.90961000000000003</v>
      </c>
      <c r="J968" s="1">
        <v>45893</v>
      </c>
      <c r="K968" s="3">
        <v>-7.9132815162542197E-2</v>
      </c>
      <c r="L968">
        <v>2362229556</v>
      </c>
      <c r="M968" s="2" t="s">
        <v>10</v>
      </c>
    </row>
    <row r="969" spans="1:13" x14ac:dyDescent="0.3">
      <c r="A969" s="1">
        <v>45895</v>
      </c>
      <c r="B969" s="2" t="s">
        <v>9</v>
      </c>
      <c r="C969">
        <v>0.83762999999999999</v>
      </c>
      <c r="D969">
        <v>0.87382000000000004</v>
      </c>
      <c r="E969">
        <v>0.83209999999999995</v>
      </c>
      <c r="F969">
        <v>0.86668000000000001</v>
      </c>
      <c r="G969">
        <f>_xlfn.MAXIFS(Crypto[Close],Crypto[Name],Crypto[[#This Row],[Name]],Crypto[Date],"&lt;="&amp;Crypto[[#This Row],[Date]])</f>
        <v>1.1351199999999999</v>
      </c>
      <c r="H969" s="3">
        <f>(Crypto[[#This Row],[Close]]/Crypto[[#This Row],[Peak Close]])-1</f>
        <v>-0.23648601028966099</v>
      </c>
      <c r="I969">
        <v>0.83762999999999999</v>
      </c>
      <c r="J969" s="1">
        <v>45894</v>
      </c>
      <c r="K969" s="3">
        <v>3.4681183816243501E-2</v>
      </c>
      <c r="L969">
        <v>1410119067</v>
      </c>
      <c r="M969" s="2" t="s">
        <v>10</v>
      </c>
    </row>
    <row r="970" spans="1:13" x14ac:dyDescent="0.3">
      <c r="A970" s="1">
        <v>45896</v>
      </c>
      <c r="B970" s="2" t="s">
        <v>9</v>
      </c>
      <c r="C970">
        <v>0.86668000000000001</v>
      </c>
      <c r="D970">
        <v>0.87519000000000002</v>
      </c>
      <c r="E970">
        <v>0.85009999999999997</v>
      </c>
      <c r="F970">
        <v>0.85016000000000003</v>
      </c>
      <c r="G970">
        <f>_xlfn.MAXIFS(Crypto[Close],Crypto[Name],Crypto[[#This Row],[Name]],Crypto[Date],"&lt;="&amp;Crypto[[#This Row],[Date]])</f>
        <v>1.1351199999999999</v>
      </c>
      <c r="H970" s="3">
        <f>(Crypto[[#This Row],[Close]]/Crypto[[#This Row],[Peak Close]])-1</f>
        <v>-0.25103953767002596</v>
      </c>
      <c r="I970">
        <v>0.86668000000000001</v>
      </c>
      <c r="J970" s="1">
        <v>45895</v>
      </c>
      <c r="K970" s="3">
        <v>-1.90612452116121E-2</v>
      </c>
      <c r="L970">
        <v>1323719490</v>
      </c>
      <c r="M970" s="2" t="s">
        <v>10</v>
      </c>
    </row>
    <row r="971" spans="1:13" x14ac:dyDescent="0.3">
      <c r="A971" s="1">
        <v>45897</v>
      </c>
      <c r="B971" s="2" t="s">
        <v>9</v>
      </c>
      <c r="C971">
        <v>0.85016000000000003</v>
      </c>
      <c r="D971">
        <v>0.87785000000000002</v>
      </c>
      <c r="E971">
        <v>0.84382999999999997</v>
      </c>
      <c r="F971">
        <v>0.85775000000000001</v>
      </c>
      <c r="G971">
        <f>_xlfn.MAXIFS(Crypto[Close],Crypto[Name],Crypto[[#This Row],[Name]],Crypto[Date],"&lt;="&amp;Crypto[[#This Row],[Date]])</f>
        <v>1.1351199999999999</v>
      </c>
      <c r="H971" s="3">
        <f>(Crypto[[#This Row],[Close]]/Crypto[[#This Row],[Peak Close]])-1</f>
        <v>-0.24435301994502778</v>
      </c>
      <c r="I971">
        <v>0.85016000000000003</v>
      </c>
      <c r="J971" s="1">
        <v>45896</v>
      </c>
      <c r="K971" s="3">
        <v>8.9277312505881105E-3</v>
      </c>
      <c r="L971">
        <v>1202927839</v>
      </c>
      <c r="M971" s="2" t="s">
        <v>10</v>
      </c>
    </row>
    <row r="972" spans="1:13" x14ac:dyDescent="0.3">
      <c r="A972" s="1">
        <v>45898</v>
      </c>
      <c r="B972" s="2" t="s">
        <v>9</v>
      </c>
      <c r="C972">
        <v>0.85775999999999997</v>
      </c>
      <c r="D972">
        <v>0.86262000000000005</v>
      </c>
      <c r="E972">
        <v>0.81220000000000003</v>
      </c>
      <c r="F972">
        <v>0.82713999999999999</v>
      </c>
      <c r="G972">
        <f>_xlfn.MAXIFS(Crypto[Close],Crypto[Name],Crypto[[#This Row],[Name]],Crypto[Date],"&lt;="&amp;Crypto[[#This Row],[Date]])</f>
        <v>1.1351199999999999</v>
      </c>
      <c r="H972" s="3">
        <f>(Crypto[[#This Row],[Close]]/Crypto[[#This Row],[Peak Close]])-1</f>
        <v>-0.2713193318768059</v>
      </c>
      <c r="I972">
        <v>0.85775000000000001</v>
      </c>
      <c r="J972" s="1">
        <v>45897</v>
      </c>
      <c r="K972" s="3">
        <v>-3.5686388807927703E-2</v>
      </c>
      <c r="L972">
        <v>1678140344</v>
      </c>
      <c r="M972" s="2" t="s">
        <v>10</v>
      </c>
    </row>
    <row r="973" spans="1:13" x14ac:dyDescent="0.3">
      <c r="A973" s="1">
        <v>45899</v>
      </c>
      <c r="B973" s="2" t="s">
        <v>9</v>
      </c>
      <c r="C973">
        <v>0.82715000000000005</v>
      </c>
      <c r="D973">
        <v>0.84184999999999999</v>
      </c>
      <c r="E973">
        <v>0.80911</v>
      </c>
      <c r="F973">
        <v>0.82240000000000002</v>
      </c>
      <c r="G973">
        <f>_xlfn.MAXIFS(Crypto[Close],Crypto[Name],Crypto[[#This Row],[Name]],Crypto[Date],"&lt;="&amp;Crypto[[#This Row],[Date]])</f>
        <v>1.1351199999999999</v>
      </c>
      <c r="H973" s="3">
        <f>(Crypto[[#This Row],[Close]]/Crypto[[#This Row],[Peak Close]])-1</f>
        <v>-0.27549510183945303</v>
      </c>
      <c r="I973">
        <v>0.82713999999999999</v>
      </c>
      <c r="J973" s="1">
        <v>45898</v>
      </c>
      <c r="K973" s="3">
        <v>-5.7305897429697104E-3</v>
      </c>
      <c r="L973">
        <v>795989685</v>
      </c>
      <c r="M973" s="2" t="s">
        <v>10</v>
      </c>
    </row>
    <row r="974" spans="1:13" x14ac:dyDescent="0.3">
      <c r="A974" s="1">
        <v>45900</v>
      </c>
      <c r="B974" s="2" t="s">
        <v>9</v>
      </c>
      <c r="C974">
        <v>0.82240999999999997</v>
      </c>
      <c r="D974">
        <v>0.83694000000000002</v>
      </c>
      <c r="E974">
        <v>0.81100000000000005</v>
      </c>
      <c r="F974">
        <v>0.81135999999999997</v>
      </c>
      <c r="G974">
        <f>_xlfn.MAXIFS(Crypto[Close],Crypto[Name],Crypto[[#This Row],[Name]],Crypto[Date],"&lt;="&amp;Crypto[[#This Row],[Date]])</f>
        <v>1.1351199999999999</v>
      </c>
      <c r="H974" s="3">
        <f>(Crypto[[#This Row],[Close]]/Crypto[[#This Row],[Peak Close]])-1</f>
        <v>-0.28522094580308688</v>
      </c>
      <c r="I974">
        <v>0.82240000000000002</v>
      </c>
      <c r="J974" s="1">
        <v>45899</v>
      </c>
      <c r="K974" s="3">
        <v>-1.34241245136187E-2</v>
      </c>
      <c r="L974">
        <v>686397615</v>
      </c>
      <c r="M974" s="2" t="s">
        <v>10</v>
      </c>
    </row>
    <row r="975" spans="1:13" x14ac:dyDescent="0.3">
      <c r="A975" s="1">
        <v>45901</v>
      </c>
      <c r="B975" s="2" t="s">
        <v>9</v>
      </c>
      <c r="C975">
        <v>0.81135999999999997</v>
      </c>
      <c r="D975">
        <v>0.84269000000000005</v>
      </c>
      <c r="E975">
        <v>0.78576999999999997</v>
      </c>
      <c r="F975">
        <v>0.80018999999999996</v>
      </c>
      <c r="G975">
        <f>_xlfn.MAXIFS(Crypto[Close],Crypto[Name],Crypto[[#This Row],[Name]],Crypto[Date],"&lt;="&amp;Crypto[[#This Row],[Date]])</f>
        <v>1.1351199999999999</v>
      </c>
      <c r="H975" s="3">
        <f>(Crypto[[#This Row],[Close]]/Crypto[[#This Row],[Peak Close]])-1</f>
        <v>-0.29506131510324896</v>
      </c>
      <c r="I975">
        <v>0.81135999999999997</v>
      </c>
      <c r="J975" s="1">
        <v>45900</v>
      </c>
      <c r="K975" s="3">
        <v>-1.3767008479589799E-2</v>
      </c>
      <c r="L975">
        <v>1560962898</v>
      </c>
      <c r="M975" s="2" t="s">
        <v>10</v>
      </c>
    </row>
    <row r="976" spans="1:13" x14ac:dyDescent="0.3">
      <c r="A976" s="1">
        <v>45902</v>
      </c>
      <c r="B976" s="2" t="s">
        <v>9</v>
      </c>
      <c r="C976">
        <v>0.80018999999999996</v>
      </c>
      <c r="D976">
        <v>0.83472999999999997</v>
      </c>
      <c r="E976">
        <v>0.79932999999999998</v>
      </c>
      <c r="F976">
        <v>0.83457999999999999</v>
      </c>
      <c r="G976">
        <f>_xlfn.MAXIFS(Crypto[Close],Crypto[Name],Crypto[[#This Row],[Name]],Crypto[Date],"&lt;="&amp;Crypto[[#This Row],[Date]])</f>
        <v>1.1351199999999999</v>
      </c>
      <c r="H976" s="3">
        <f>(Crypto[[#This Row],[Close]]/Crypto[[#This Row],[Peak Close]])-1</f>
        <v>-0.2647649587708788</v>
      </c>
      <c r="I976">
        <v>0.80018999999999996</v>
      </c>
      <c r="J976" s="1">
        <v>45901</v>
      </c>
      <c r="K976" s="3">
        <v>4.2977292892938002E-2</v>
      </c>
      <c r="L976">
        <v>1225760452</v>
      </c>
      <c r="M976" s="2" t="s">
        <v>10</v>
      </c>
    </row>
    <row r="977" spans="1:13" x14ac:dyDescent="0.3">
      <c r="A977" s="1">
        <v>45903</v>
      </c>
      <c r="B977" s="2" t="s">
        <v>9</v>
      </c>
      <c r="C977">
        <v>0.83457999999999999</v>
      </c>
      <c r="D977">
        <v>0.84301000000000004</v>
      </c>
      <c r="E977">
        <v>0.82735999999999998</v>
      </c>
      <c r="F977">
        <v>0.83653</v>
      </c>
      <c r="G977">
        <f>_xlfn.MAXIFS(Crypto[Close],Crypto[Name],Crypto[[#This Row],[Name]],Crypto[Date],"&lt;="&amp;Crypto[[#This Row],[Date]])</f>
        <v>1.1351199999999999</v>
      </c>
      <c r="H977" s="3">
        <f>(Crypto[[#This Row],[Close]]/Crypto[[#This Row],[Peak Close]])-1</f>
        <v>-0.2630470787229543</v>
      </c>
      <c r="I977">
        <v>0.83457999999999999</v>
      </c>
      <c r="J977" s="1">
        <v>45902</v>
      </c>
      <c r="K977" s="3">
        <v>2.33650458913466E-3</v>
      </c>
      <c r="L977">
        <v>873946795</v>
      </c>
      <c r="M977" s="2" t="s">
        <v>10</v>
      </c>
    </row>
    <row r="978" spans="1:13" x14ac:dyDescent="0.3">
      <c r="A978" s="1">
        <v>45904</v>
      </c>
      <c r="B978" s="2" t="s">
        <v>9</v>
      </c>
      <c r="C978">
        <v>0.83653</v>
      </c>
      <c r="D978">
        <v>0.84135000000000004</v>
      </c>
      <c r="E978">
        <v>0.80417000000000005</v>
      </c>
      <c r="F978">
        <v>0.80989</v>
      </c>
      <c r="G978">
        <f>_xlfn.MAXIFS(Crypto[Close],Crypto[Name],Crypto[[#This Row],[Name]],Crypto[Date],"&lt;="&amp;Crypto[[#This Row],[Date]])</f>
        <v>1.1351199999999999</v>
      </c>
      <c r="H978" s="3">
        <f>(Crypto[[#This Row],[Close]]/Crypto[[#This Row],[Peak Close]])-1</f>
        <v>-0.28651596306998373</v>
      </c>
      <c r="I978">
        <v>0.83653</v>
      </c>
      <c r="J978" s="1">
        <v>45903</v>
      </c>
      <c r="K978" s="3">
        <v>-3.18458393602142E-2</v>
      </c>
      <c r="L978">
        <v>865781781</v>
      </c>
      <c r="M978" s="2" t="s">
        <v>10</v>
      </c>
    </row>
    <row r="979" spans="1:13" x14ac:dyDescent="0.3">
      <c r="A979" s="1">
        <v>45905</v>
      </c>
      <c r="B979" s="2" t="s">
        <v>9</v>
      </c>
      <c r="C979">
        <v>0.80986999999999998</v>
      </c>
      <c r="D979">
        <v>0.84606999999999999</v>
      </c>
      <c r="E979">
        <v>0.80578000000000005</v>
      </c>
      <c r="F979">
        <v>0.83106999999999998</v>
      </c>
      <c r="G979">
        <f>_xlfn.MAXIFS(Crypto[Close],Crypto[Name],Crypto[[#This Row],[Name]],Crypto[Date],"&lt;="&amp;Crypto[[#This Row],[Date]])</f>
        <v>1.1351199999999999</v>
      </c>
      <c r="H979" s="3">
        <f>(Crypto[[#This Row],[Close]]/Crypto[[#This Row],[Peak Close]])-1</f>
        <v>-0.26785714285714279</v>
      </c>
      <c r="I979">
        <v>0.80989</v>
      </c>
      <c r="J979" s="1">
        <v>45904</v>
      </c>
      <c r="K979" s="3">
        <v>2.6151699613527701E-2</v>
      </c>
      <c r="L979">
        <v>1262808667</v>
      </c>
      <c r="M979" s="2" t="s">
        <v>10</v>
      </c>
    </row>
    <row r="980" spans="1:13" x14ac:dyDescent="0.3">
      <c r="A980" s="1">
        <v>45906</v>
      </c>
      <c r="B980" s="2" t="s">
        <v>9</v>
      </c>
      <c r="C980">
        <v>0.83106999999999998</v>
      </c>
      <c r="D980">
        <v>0.83526999999999996</v>
      </c>
      <c r="E980">
        <v>0.81542999999999999</v>
      </c>
      <c r="F980">
        <v>0.81845000000000001</v>
      </c>
      <c r="G980">
        <f>_xlfn.MAXIFS(Crypto[Close],Crypto[Name],Crypto[[#This Row],[Name]],Crypto[Date],"&lt;="&amp;Crypto[[#This Row],[Date]])</f>
        <v>1.1351199999999999</v>
      </c>
      <c r="H980" s="3">
        <f>(Crypto[[#This Row],[Close]]/Crypto[[#This Row],[Peak Close]])-1</f>
        <v>-0.27897491014165898</v>
      </c>
      <c r="I980">
        <v>0.83106999999999998</v>
      </c>
      <c r="J980" s="1">
        <v>45905</v>
      </c>
      <c r="K980" s="3">
        <v>-1.51852431203147E-2</v>
      </c>
      <c r="L980">
        <v>579154321</v>
      </c>
      <c r="M980" s="2" t="s">
        <v>10</v>
      </c>
    </row>
    <row r="981" spans="1:13" x14ac:dyDescent="0.3">
      <c r="A981" s="1">
        <v>45907</v>
      </c>
      <c r="B981" s="2" t="s">
        <v>9</v>
      </c>
      <c r="C981">
        <v>0.81845000000000001</v>
      </c>
      <c r="D981">
        <v>0.84082000000000001</v>
      </c>
      <c r="E981">
        <v>0.81843999999999995</v>
      </c>
      <c r="F981">
        <v>0.83506000000000002</v>
      </c>
      <c r="G981">
        <f>_xlfn.MAXIFS(Crypto[Close],Crypto[Name],Crypto[[#This Row],[Name]],Crypto[Date],"&lt;="&amp;Crypto[[#This Row],[Date]])</f>
        <v>1.1351199999999999</v>
      </c>
      <c r="H981" s="3">
        <f>(Crypto[[#This Row],[Close]]/Crypto[[#This Row],[Peak Close]])-1</f>
        <v>-0.26434209598985126</v>
      </c>
      <c r="I981">
        <v>0.81845000000000001</v>
      </c>
      <c r="J981" s="1">
        <v>45906</v>
      </c>
      <c r="K981" s="3">
        <v>2.0294459038426301E-2</v>
      </c>
      <c r="L981">
        <v>719398251</v>
      </c>
      <c r="M981" s="2" t="s">
        <v>10</v>
      </c>
    </row>
    <row r="982" spans="1:13" x14ac:dyDescent="0.3">
      <c r="A982" s="1">
        <v>45908</v>
      </c>
      <c r="B982" s="2" t="s">
        <v>9</v>
      </c>
      <c r="C982">
        <v>0.83506000000000002</v>
      </c>
      <c r="D982">
        <v>0.86851</v>
      </c>
      <c r="E982">
        <v>0.83120000000000005</v>
      </c>
      <c r="F982">
        <v>0.86504999999999999</v>
      </c>
      <c r="G982">
        <f>_xlfn.MAXIFS(Crypto[Close],Crypto[Name],Crypto[[#This Row],[Name]],Crypto[Date],"&lt;="&amp;Crypto[[#This Row],[Date]])</f>
        <v>1.1351199999999999</v>
      </c>
      <c r="H982" s="3">
        <f>(Crypto[[#This Row],[Close]]/Crypto[[#This Row],[Peak Close]])-1</f>
        <v>-0.23792198181690039</v>
      </c>
      <c r="I982">
        <v>0.83506000000000002</v>
      </c>
      <c r="J982" s="1">
        <v>45907</v>
      </c>
      <c r="K982" s="3">
        <v>3.5913587047637197E-2</v>
      </c>
      <c r="L982">
        <v>1398016818</v>
      </c>
      <c r="M982" s="2" t="s">
        <v>10</v>
      </c>
    </row>
    <row r="983" spans="1:13" x14ac:dyDescent="0.3">
      <c r="A983" s="1">
        <v>45909</v>
      </c>
      <c r="B983" s="2" t="s">
        <v>9</v>
      </c>
      <c r="C983">
        <v>0.86506000000000005</v>
      </c>
      <c r="D983">
        <v>0.89363000000000004</v>
      </c>
      <c r="E983">
        <v>0.85370999999999997</v>
      </c>
      <c r="F983">
        <v>0.86502999999999997</v>
      </c>
      <c r="G983">
        <f>_xlfn.MAXIFS(Crypto[Close],Crypto[Name],Crypto[[#This Row],[Name]],Crypto[Date],"&lt;="&amp;Crypto[[#This Row],[Date]])</f>
        <v>1.1351199999999999</v>
      </c>
      <c r="H983" s="3">
        <f>(Crypto[[#This Row],[Close]]/Crypto[[#This Row],[Peak Close]])-1</f>
        <v>-0.23793960109944323</v>
      </c>
      <c r="I983">
        <v>0.86504999999999999</v>
      </c>
      <c r="J983" s="1">
        <v>45908</v>
      </c>
      <c r="K983" s="3">
        <v>-2.3120050864134999E-5</v>
      </c>
      <c r="L983">
        <v>1730015556</v>
      </c>
      <c r="M983" s="2" t="s">
        <v>10</v>
      </c>
    </row>
    <row r="984" spans="1:13" x14ac:dyDescent="0.3">
      <c r="A984" s="1">
        <v>45910</v>
      </c>
      <c r="B984" s="2" t="s">
        <v>9</v>
      </c>
      <c r="C984">
        <v>0.86502999999999997</v>
      </c>
      <c r="D984">
        <v>0.89397000000000004</v>
      </c>
      <c r="E984">
        <v>0.86063000000000001</v>
      </c>
      <c r="F984">
        <v>0.88468999999999998</v>
      </c>
      <c r="G984">
        <f>_xlfn.MAXIFS(Crypto[Close],Crypto[Name],Crypto[[#This Row],[Name]],Crypto[Date],"&lt;="&amp;Crypto[[#This Row],[Date]])</f>
        <v>1.1351199999999999</v>
      </c>
      <c r="H984" s="3">
        <f>(Crypto[[#This Row],[Close]]/Crypto[[#This Row],[Peak Close]])-1</f>
        <v>-0.22061984635985621</v>
      </c>
      <c r="I984">
        <v>0.86502999999999997</v>
      </c>
      <c r="J984" s="1">
        <v>45909</v>
      </c>
      <c r="K984" s="3">
        <v>2.2727535461197899E-2</v>
      </c>
      <c r="L984">
        <v>1204166506</v>
      </c>
      <c r="M984" s="2" t="s">
        <v>10</v>
      </c>
    </row>
    <row r="985" spans="1:13" x14ac:dyDescent="0.3">
      <c r="A985" s="1">
        <v>45911</v>
      </c>
      <c r="B985" s="2" t="s">
        <v>9</v>
      </c>
      <c r="C985">
        <v>0.88470000000000004</v>
      </c>
      <c r="D985">
        <v>0.89544999999999997</v>
      </c>
      <c r="E985">
        <v>0.87360000000000004</v>
      </c>
      <c r="F985">
        <v>0.89420999999999995</v>
      </c>
      <c r="G985">
        <f>_xlfn.MAXIFS(Crypto[Close],Crypto[Name],Crypto[[#This Row],[Name]],Crypto[Date],"&lt;="&amp;Crypto[[#This Row],[Date]])</f>
        <v>1.1351199999999999</v>
      </c>
      <c r="H985" s="3">
        <f>(Crypto[[#This Row],[Close]]/Crypto[[#This Row],[Peak Close]])-1</f>
        <v>-0.21223306786947638</v>
      </c>
      <c r="I985">
        <v>0.88468999999999998</v>
      </c>
      <c r="J985" s="1">
        <v>45910</v>
      </c>
      <c r="K985" s="3">
        <v>1.07608314776927E-2</v>
      </c>
      <c r="L985">
        <v>1307050671</v>
      </c>
      <c r="M985" s="2" t="s">
        <v>10</v>
      </c>
    </row>
    <row r="986" spans="1:13" x14ac:dyDescent="0.3">
      <c r="A986" s="1">
        <v>45912</v>
      </c>
      <c r="B986" s="2" t="s">
        <v>9</v>
      </c>
      <c r="C986">
        <v>0.89420999999999995</v>
      </c>
      <c r="D986">
        <v>0.91710000000000003</v>
      </c>
      <c r="E986">
        <v>0.88483999999999996</v>
      </c>
      <c r="F986">
        <v>0.91708999999999996</v>
      </c>
      <c r="G986">
        <f>_xlfn.MAXIFS(Crypto[Close],Crypto[Name],Crypto[[#This Row],[Name]],Crypto[Date],"&lt;="&amp;Crypto[[#This Row],[Date]])</f>
        <v>1.1351199999999999</v>
      </c>
      <c r="H986" s="3">
        <f>(Crypto[[#This Row],[Close]]/Crypto[[#This Row],[Peak Close]])-1</f>
        <v>-0.19207660864049614</v>
      </c>
      <c r="I986">
        <v>0.89420999999999995</v>
      </c>
      <c r="J986" s="1">
        <v>45911</v>
      </c>
      <c r="K986" s="3">
        <v>2.55868308339205E-2</v>
      </c>
      <c r="L986">
        <v>1586142736</v>
      </c>
      <c r="M986" s="2" t="s">
        <v>10</v>
      </c>
    </row>
    <row r="987" spans="1:13" x14ac:dyDescent="0.3">
      <c r="A987" s="1">
        <v>45913</v>
      </c>
      <c r="B987" s="2" t="s">
        <v>9</v>
      </c>
      <c r="C987">
        <v>0.91708000000000001</v>
      </c>
      <c r="D987">
        <v>0.95257000000000003</v>
      </c>
      <c r="E987">
        <v>0.91705000000000003</v>
      </c>
      <c r="F987">
        <v>0.92984</v>
      </c>
      <c r="G987">
        <f>_xlfn.MAXIFS(Crypto[Close],Crypto[Name],Crypto[[#This Row],[Name]],Crypto[Date],"&lt;="&amp;Crypto[[#This Row],[Date]])</f>
        <v>1.1351199999999999</v>
      </c>
      <c r="H987" s="3">
        <f>(Crypto[[#This Row],[Close]]/Crypto[[#This Row],[Peak Close]])-1</f>
        <v>-0.18084431601945161</v>
      </c>
      <c r="I987">
        <v>0.91708999999999996</v>
      </c>
      <c r="J987" s="1">
        <v>45912</v>
      </c>
      <c r="K987" s="3">
        <v>1.3902670403122999E-2</v>
      </c>
      <c r="L987">
        <v>2205805247</v>
      </c>
      <c r="M987" s="2" t="s">
        <v>10</v>
      </c>
    </row>
    <row r="988" spans="1:13" x14ac:dyDescent="0.3">
      <c r="A988" s="1">
        <v>45914</v>
      </c>
      <c r="B988" s="2" t="s">
        <v>9</v>
      </c>
      <c r="C988">
        <v>0.92984</v>
      </c>
      <c r="D988">
        <v>0.93047999999999997</v>
      </c>
      <c r="E988">
        <v>0.88136000000000003</v>
      </c>
      <c r="F988">
        <v>0.88898999999999995</v>
      </c>
      <c r="G988">
        <f>_xlfn.MAXIFS(Crypto[Close],Crypto[Name],Crypto[[#This Row],[Name]],Crypto[Date],"&lt;="&amp;Crypto[[#This Row],[Date]])</f>
        <v>1.1351199999999999</v>
      </c>
      <c r="H988" s="3">
        <f>(Crypto[[#This Row],[Close]]/Crypto[[#This Row],[Peak Close]])-1</f>
        <v>-0.21683170061315105</v>
      </c>
      <c r="I988">
        <v>0.92984</v>
      </c>
      <c r="J988" s="1">
        <v>45913</v>
      </c>
      <c r="K988" s="3">
        <v>-4.3932289426137902E-2</v>
      </c>
      <c r="L988">
        <v>1388605835</v>
      </c>
      <c r="M988" s="2" t="s">
        <v>10</v>
      </c>
    </row>
    <row r="989" spans="1:13" x14ac:dyDescent="0.3">
      <c r="A989" s="1">
        <v>45915</v>
      </c>
      <c r="B989" s="2" t="s">
        <v>9</v>
      </c>
      <c r="C989">
        <v>0.88898999999999995</v>
      </c>
      <c r="D989">
        <v>0.90215999999999996</v>
      </c>
      <c r="E989">
        <v>0.85477999999999998</v>
      </c>
      <c r="F989">
        <v>0.86351</v>
      </c>
      <c r="G989">
        <f>_xlfn.MAXIFS(Crypto[Close],Crypto[Name],Crypto[[#This Row],[Name]],Crypto[Date],"&lt;="&amp;Crypto[[#This Row],[Date]])</f>
        <v>1.1351199999999999</v>
      </c>
      <c r="H989" s="3">
        <f>(Crypto[[#This Row],[Close]]/Crypto[[#This Row],[Peak Close]])-1</f>
        <v>-0.23927866657269714</v>
      </c>
      <c r="I989">
        <v>0.88898999999999995</v>
      </c>
      <c r="J989" s="1">
        <v>45914</v>
      </c>
      <c r="K989" s="3">
        <v>-2.8661739727105999E-2</v>
      </c>
      <c r="L989">
        <v>1947621867</v>
      </c>
      <c r="M989" s="2" t="s">
        <v>10</v>
      </c>
    </row>
    <row r="990" spans="1:13" x14ac:dyDescent="0.3">
      <c r="A990" s="1">
        <v>45916</v>
      </c>
      <c r="B990" s="2" t="s">
        <v>9</v>
      </c>
      <c r="C990">
        <v>0.86351</v>
      </c>
      <c r="D990">
        <v>0.88382000000000005</v>
      </c>
      <c r="E990">
        <v>0.85602999999999996</v>
      </c>
      <c r="F990">
        <v>0.88068999999999997</v>
      </c>
      <c r="G990">
        <f>_xlfn.MAXIFS(Crypto[Close],Crypto[Name],Crypto[[#This Row],[Name]],Crypto[Date],"&lt;="&amp;Crypto[[#This Row],[Date]])</f>
        <v>1.1351199999999999</v>
      </c>
      <c r="H990" s="3">
        <f>(Crypto[[#This Row],[Close]]/Crypto[[#This Row],[Peak Close]])-1</f>
        <v>-0.22414370286841911</v>
      </c>
      <c r="I990">
        <v>0.86351</v>
      </c>
      <c r="J990" s="1">
        <v>45915</v>
      </c>
      <c r="K990" s="3">
        <v>1.9895542610971501E-2</v>
      </c>
      <c r="L990">
        <v>1267357116</v>
      </c>
      <c r="M990" s="2" t="s">
        <v>10</v>
      </c>
    </row>
    <row r="991" spans="1:13" x14ac:dyDescent="0.3">
      <c r="A991" s="1">
        <v>45917</v>
      </c>
      <c r="B991" s="2" t="s">
        <v>9</v>
      </c>
      <c r="C991">
        <v>0.88068999999999997</v>
      </c>
      <c r="D991">
        <v>0.91832000000000003</v>
      </c>
      <c r="E991">
        <v>0.86429</v>
      </c>
      <c r="F991">
        <v>0.91308999999999996</v>
      </c>
      <c r="G991">
        <f>_xlfn.MAXIFS(Crypto[Close],Crypto[Name],Crypto[[#This Row],[Name]],Crypto[Date],"&lt;="&amp;Crypto[[#This Row],[Date]])</f>
        <v>1.1351199999999999</v>
      </c>
      <c r="H991" s="3">
        <f>(Crypto[[#This Row],[Close]]/Crypto[[#This Row],[Peak Close]])-1</f>
        <v>-0.19560046514905916</v>
      </c>
      <c r="I991">
        <v>0.88068999999999997</v>
      </c>
      <c r="J991" s="1">
        <v>45916</v>
      </c>
      <c r="K991" s="3">
        <v>3.6789335634559203E-2</v>
      </c>
      <c r="L991">
        <v>1875277351</v>
      </c>
      <c r="M991" s="2" t="s">
        <v>10</v>
      </c>
    </row>
    <row r="992" spans="1:13" x14ac:dyDescent="0.3">
      <c r="A992" s="1">
        <v>45918</v>
      </c>
      <c r="B992" s="2" t="s">
        <v>9</v>
      </c>
      <c r="C992">
        <v>0.91310999999999998</v>
      </c>
      <c r="D992">
        <v>0.93781999999999999</v>
      </c>
      <c r="E992">
        <v>0.90100999999999998</v>
      </c>
      <c r="F992">
        <v>0.92535999999999996</v>
      </c>
      <c r="G992">
        <f>_xlfn.MAXIFS(Crypto[Close],Crypto[Name],Crypto[[#This Row],[Name]],Crypto[Date],"&lt;="&amp;Crypto[[#This Row],[Date]])</f>
        <v>1.1351199999999999</v>
      </c>
      <c r="H992" s="3">
        <f>(Crypto[[#This Row],[Close]]/Crypto[[#This Row],[Peak Close]])-1</f>
        <v>-0.18479103530904217</v>
      </c>
      <c r="I992">
        <v>0.91308999999999996</v>
      </c>
      <c r="J992" s="1">
        <v>45917</v>
      </c>
      <c r="K992" s="3">
        <v>1.3437886736247301E-2</v>
      </c>
      <c r="L992">
        <v>2009670534</v>
      </c>
      <c r="M992" s="2" t="s">
        <v>10</v>
      </c>
    </row>
    <row r="993" spans="1:13" x14ac:dyDescent="0.3">
      <c r="A993" s="1">
        <v>45919</v>
      </c>
      <c r="B993" s="2" t="s">
        <v>9</v>
      </c>
      <c r="C993">
        <v>0.92535999999999996</v>
      </c>
      <c r="D993">
        <v>0.93637999999999999</v>
      </c>
      <c r="E993">
        <v>0.88743000000000005</v>
      </c>
      <c r="F993">
        <v>0.89093999999999995</v>
      </c>
      <c r="G993">
        <f>_xlfn.MAXIFS(Crypto[Close],Crypto[Name],Crypto[[#This Row],[Name]],Crypto[Date],"&lt;="&amp;Crypto[[#This Row],[Date]])</f>
        <v>1.1351199999999999</v>
      </c>
      <c r="H993" s="3">
        <f>(Crypto[[#This Row],[Close]]/Crypto[[#This Row],[Peak Close]])-1</f>
        <v>-0.21511382056522654</v>
      </c>
      <c r="I993">
        <v>0.92535999999999996</v>
      </c>
      <c r="J993" s="1">
        <v>45918</v>
      </c>
      <c r="K993" s="3">
        <v>-3.7196334399585002E-2</v>
      </c>
      <c r="L993">
        <v>1573603604</v>
      </c>
      <c r="M993" s="2" t="s">
        <v>10</v>
      </c>
    </row>
    <row r="994" spans="1:13" x14ac:dyDescent="0.3">
      <c r="A994" s="1">
        <v>45920</v>
      </c>
      <c r="B994" s="2" t="s">
        <v>9</v>
      </c>
      <c r="C994">
        <v>0.89093</v>
      </c>
      <c r="D994">
        <v>0.90632000000000001</v>
      </c>
      <c r="E994">
        <v>0.88870000000000005</v>
      </c>
      <c r="F994">
        <v>0.89393</v>
      </c>
      <c r="G994">
        <f>_xlfn.MAXIFS(Crypto[Close],Crypto[Name],Crypto[[#This Row],[Name]],Crypto[Date],"&lt;="&amp;Crypto[[#This Row],[Date]])</f>
        <v>1.1351199999999999</v>
      </c>
      <c r="H994" s="3">
        <f>(Crypto[[#This Row],[Close]]/Crypto[[#This Row],[Peak Close]])-1</f>
        <v>-0.21247973782507568</v>
      </c>
      <c r="I994">
        <v>0.89093999999999995</v>
      </c>
      <c r="J994" s="1">
        <v>45919</v>
      </c>
      <c r="K994" s="3">
        <v>3.35600601611786E-3</v>
      </c>
      <c r="L994">
        <v>785758505</v>
      </c>
      <c r="M994" s="2" t="s">
        <v>10</v>
      </c>
    </row>
    <row r="995" spans="1:13" x14ac:dyDescent="0.3">
      <c r="A995" s="1">
        <v>45921</v>
      </c>
      <c r="B995" s="2" t="s">
        <v>9</v>
      </c>
      <c r="C995">
        <v>0.89393</v>
      </c>
      <c r="D995">
        <v>0.90232999999999997</v>
      </c>
      <c r="E995">
        <v>0.87790000000000001</v>
      </c>
      <c r="F995">
        <v>0.88527999999999996</v>
      </c>
      <c r="G995">
        <f>_xlfn.MAXIFS(Crypto[Close],Crypto[Name],Crypto[[#This Row],[Name]],Crypto[Date],"&lt;="&amp;Crypto[[#This Row],[Date]])</f>
        <v>1.1351199999999999</v>
      </c>
      <c r="H995" s="3">
        <f>(Crypto[[#This Row],[Close]]/Crypto[[#This Row],[Peak Close]])-1</f>
        <v>-0.22010007752484317</v>
      </c>
      <c r="I995">
        <v>0.89393</v>
      </c>
      <c r="J995" s="1">
        <v>45920</v>
      </c>
      <c r="K995" s="3">
        <v>-9.6763728703590304E-3</v>
      </c>
      <c r="L995">
        <v>878284682</v>
      </c>
      <c r="M995" s="2" t="s">
        <v>10</v>
      </c>
    </row>
    <row r="996" spans="1:13" x14ac:dyDescent="0.3">
      <c r="A996" s="1">
        <v>45922</v>
      </c>
      <c r="B996" s="2" t="s">
        <v>9</v>
      </c>
      <c r="C996">
        <v>0.88526000000000005</v>
      </c>
      <c r="D996">
        <v>0.88748000000000005</v>
      </c>
      <c r="E996">
        <v>0.80603000000000002</v>
      </c>
      <c r="F996">
        <v>0.82574999999999998</v>
      </c>
      <c r="G996">
        <f>_xlfn.MAXIFS(Crypto[Close],Crypto[Name],Crypto[[#This Row],[Name]],Crypto[Date],"&lt;="&amp;Crypto[[#This Row],[Date]])</f>
        <v>1.1351199999999999</v>
      </c>
      <c r="H996" s="3">
        <f>(Crypto[[#This Row],[Close]]/Crypto[[#This Row],[Peak Close]])-1</f>
        <v>-0.27254387201353159</v>
      </c>
      <c r="I996">
        <v>0.88527999999999996</v>
      </c>
      <c r="J996" s="1">
        <v>45921</v>
      </c>
      <c r="K996" s="3">
        <v>-6.7244261702512201E-2</v>
      </c>
      <c r="L996">
        <v>2389033730</v>
      </c>
      <c r="M996" s="2" t="s">
        <v>10</v>
      </c>
    </row>
    <row r="997" spans="1:13" x14ac:dyDescent="0.3">
      <c r="A997" s="1">
        <v>45923</v>
      </c>
      <c r="B997" s="2" t="s">
        <v>9</v>
      </c>
      <c r="C997">
        <v>0.82577</v>
      </c>
      <c r="D997">
        <v>0.82915000000000005</v>
      </c>
      <c r="E997">
        <v>0.80532999999999999</v>
      </c>
      <c r="F997">
        <v>0.80762</v>
      </c>
      <c r="G997">
        <f>_xlfn.MAXIFS(Crypto[Close],Crypto[Name],Crypto[[#This Row],[Name]],Crypto[Date],"&lt;="&amp;Crypto[[#This Row],[Date]])</f>
        <v>1.1351199999999999</v>
      </c>
      <c r="H997" s="3">
        <f>(Crypto[[#This Row],[Close]]/Crypto[[#This Row],[Peak Close]])-1</f>
        <v>-0.28851575163859322</v>
      </c>
      <c r="I997">
        <v>0.82574999999999998</v>
      </c>
      <c r="J997" s="1">
        <v>45922</v>
      </c>
      <c r="K997" s="3">
        <v>-2.19557977596124E-2</v>
      </c>
      <c r="L997">
        <v>1108855046</v>
      </c>
      <c r="M997" s="2" t="s">
        <v>10</v>
      </c>
    </row>
    <row r="998" spans="1:13" x14ac:dyDescent="0.3">
      <c r="A998" s="1">
        <v>45924</v>
      </c>
      <c r="B998" s="2" t="s">
        <v>9</v>
      </c>
      <c r="C998">
        <v>0.80762</v>
      </c>
      <c r="D998">
        <v>0.82908000000000004</v>
      </c>
      <c r="E998">
        <v>0.79490000000000005</v>
      </c>
      <c r="F998">
        <v>0.81318999999999997</v>
      </c>
      <c r="G998">
        <f>_xlfn.MAXIFS(Crypto[Close],Crypto[Name],Crypto[[#This Row],[Name]],Crypto[Date],"&lt;="&amp;Crypto[[#This Row],[Date]])</f>
        <v>1.1351199999999999</v>
      </c>
      <c r="H998" s="3">
        <f>(Crypto[[#This Row],[Close]]/Crypto[[#This Row],[Peak Close]])-1</f>
        <v>-0.28360878145041934</v>
      </c>
      <c r="I998">
        <v>0.80762</v>
      </c>
      <c r="J998" s="1">
        <v>45923</v>
      </c>
      <c r="K998" s="3">
        <v>6.89680790470762E-3</v>
      </c>
      <c r="L998">
        <v>1067044180</v>
      </c>
      <c r="M998" s="2" t="s">
        <v>10</v>
      </c>
    </row>
    <row r="999" spans="1:13" x14ac:dyDescent="0.3">
      <c r="A999" s="1">
        <v>45925</v>
      </c>
      <c r="B999" s="2" t="s">
        <v>9</v>
      </c>
      <c r="C999">
        <v>0.81318999999999997</v>
      </c>
      <c r="D999">
        <v>0.81440999999999997</v>
      </c>
      <c r="E999">
        <v>0.75834999999999997</v>
      </c>
      <c r="F999">
        <v>0.76278999999999997</v>
      </c>
      <c r="G999">
        <f>_xlfn.MAXIFS(Crypto[Close],Crypto[Name],Crypto[[#This Row],[Name]],Crypto[Date],"&lt;="&amp;Crypto[[#This Row],[Date]])</f>
        <v>1.1351199999999999</v>
      </c>
      <c r="H999" s="3">
        <f>(Crypto[[#This Row],[Close]]/Crypto[[#This Row],[Peak Close]])-1</f>
        <v>-0.32800937345831271</v>
      </c>
      <c r="I999">
        <v>0.81318999999999997</v>
      </c>
      <c r="J999" s="1">
        <v>45924</v>
      </c>
      <c r="K999" s="3">
        <v>-6.1978135491090602E-2</v>
      </c>
      <c r="L999">
        <v>1914562312</v>
      </c>
      <c r="M999" s="2" t="s">
        <v>10</v>
      </c>
    </row>
    <row r="1000" spans="1:13" x14ac:dyDescent="0.3">
      <c r="A1000" s="1">
        <v>45926</v>
      </c>
      <c r="B1000" s="2" t="s">
        <v>9</v>
      </c>
      <c r="C1000">
        <v>0.76278000000000001</v>
      </c>
      <c r="D1000">
        <v>0.79610000000000003</v>
      </c>
      <c r="E1000">
        <v>0.75924999999999998</v>
      </c>
      <c r="F1000">
        <v>0.79218999999999995</v>
      </c>
      <c r="G1000">
        <f>_xlfn.MAXIFS(Crypto[Close],Crypto[Name],Crypto[[#This Row],[Name]],Crypto[Date],"&lt;="&amp;Crypto[[#This Row],[Date]])</f>
        <v>1.1351199999999999</v>
      </c>
      <c r="H1000" s="3">
        <f>(Crypto[[#This Row],[Close]]/Crypto[[#This Row],[Peak Close]])-1</f>
        <v>-0.30210902812037488</v>
      </c>
      <c r="I1000">
        <v>0.76278999999999997</v>
      </c>
      <c r="J1000" s="1">
        <v>45925</v>
      </c>
      <c r="K1000" s="3">
        <v>3.8542718179315399E-2</v>
      </c>
      <c r="L1000">
        <v>1170359717</v>
      </c>
      <c r="M1000" s="2" t="s">
        <v>10</v>
      </c>
    </row>
    <row r="1001" spans="1:13" x14ac:dyDescent="0.3">
      <c r="A1001" s="1">
        <v>45927</v>
      </c>
      <c r="B1001" s="2" t="s">
        <v>9</v>
      </c>
      <c r="C1001">
        <v>0.79218999999999995</v>
      </c>
      <c r="D1001">
        <v>0.79415000000000002</v>
      </c>
      <c r="E1001">
        <v>0.77751000000000003</v>
      </c>
      <c r="F1001">
        <v>0.78169999999999995</v>
      </c>
      <c r="G1001">
        <f>_xlfn.MAXIFS(Crypto[Close],Crypto[Name],Crypto[[#This Row],[Name]],Crypto[Date],"&lt;="&amp;Crypto[[#This Row],[Date]])</f>
        <v>1.1351199999999999</v>
      </c>
      <c r="H1001" s="3">
        <f>(Crypto[[#This Row],[Close]]/Crypto[[#This Row],[Peak Close]])-1</f>
        <v>-0.31135034181408128</v>
      </c>
      <c r="I1001">
        <v>0.79218999999999995</v>
      </c>
      <c r="J1001" s="1">
        <v>45926</v>
      </c>
      <c r="K1001" s="3">
        <v>-1.3241772807028601E-2</v>
      </c>
      <c r="L1001">
        <v>554628951</v>
      </c>
      <c r="M1001" s="2" t="s">
        <v>10</v>
      </c>
    </row>
    <row r="1002" spans="1:13" x14ac:dyDescent="0.3">
      <c r="A1002" s="1">
        <v>45928</v>
      </c>
      <c r="B1002" s="2" t="s">
        <v>9</v>
      </c>
      <c r="C1002">
        <v>0.78169999999999995</v>
      </c>
      <c r="D1002">
        <v>0.81125000000000003</v>
      </c>
      <c r="E1002">
        <v>0.76593</v>
      </c>
      <c r="F1002">
        <v>0.80817000000000005</v>
      </c>
      <c r="G1002">
        <f>_xlfn.MAXIFS(Crypto[Close],Crypto[Name],Crypto[[#This Row],[Name]],Crypto[Date],"&lt;="&amp;Crypto[[#This Row],[Date]])</f>
        <v>1.1351199999999999</v>
      </c>
      <c r="H1002" s="3">
        <f>(Crypto[[#This Row],[Close]]/Crypto[[#This Row],[Peak Close]])-1</f>
        <v>-0.28803122136866577</v>
      </c>
      <c r="I1002">
        <v>0.78169999999999995</v>
      </c>
      <c r="J1002" s="1">
        <v>45927</v>
      </c>
      <c r="K1002" s="3">
        <v>3.3862095433030703E-2</v>
      </c>
      <c r="L1002">
        <v>744912865</v>
      </c>
      <c r="M1002" s="2" t="s">
        <v>10</v>
      </c>
    </row>
    <row r="1003" spans="1:13" x14ac:dyDescent="0.3">
      <c r="A1003" s="1">
        <v>45929</v>
      </c>
      <c r="B1003" s="2" t="s">
        <v>9</v>
      </c>
      <c r="C1003">
        <v>0.80817000000000005</v>
      </c>
      <c r="D1003">
        <v>0.81496000000000002</v>
      </c>
      <c r="E1003">
        <v>0.78996999999999995</v>
      </c>
      <c r="F1003">
        <v>0.80679999999999996</v>
      </c>
      <c r="G1003">
        <f>_xlfn.MAXIFS(Crypto[Close],Crypto[Name],Crypto[[#This Row],[Name]],Crypto[Date],"&lt;="&amp;Crypto[[#This Row],[Date]])</f>
        <v>1.1351199999999999</v>
      </c>
      <c r="H1003" s="3">
        <f>(Crypto[[#This Row],[Close]]/Crypto[[#This Row],[Peak Close]])-1</f>
        <v>-0.28923814222284872</v>
      </c>
      <c r="I1003">
        <v>0.80817000000000005</v>
      </c>
      <c r="J1003" s="1">
        <v>45928</v>
      </c>
      <c r="K1003" s="3">
        <v>-1.6951878936363599E-3</v>
      </c>
      <c r="L1003">
        <v>1048602865</v>
      </c>
      <c r="M1003" s="2" t="s">
        <v>10</v>
      </c>
    </row>
    <row r="1004" spans="1:13" x14ac:dyDescent="0.3">
      <c r="A1004" s="1">
        <v>45930</v>
      </c>
      <c r="B1004" s="2" t="s">
        <v>9</v>
      </c>
      <c r="C1004">
        <v>0.80679000000000001</v>
      </c>
      <c r="D1004">
        <v>0.81198000000000004</v>
      </c>
      <c r="E1004">
        <v>0.77995000000000003</v>
      </c>
      <c r="F1004">
        <v>0.80720000000000003</v>
      </c>
      <c r="G1004">
        <f>_xlfn.MAXIFS(Crypto[Close],Crypto[Name],Crypto[[#This Row],[Name]],Crypto[Date],"&lt;="&amp;Crypto[[#This Row],[Date]])</f>
        <v>1.1351199999999999</v>
      </c>
      <c r="H1004" s="3">
        <f>(Crypto[[#This Row],[Close]]/Crypto[[#This Row],[Peak Close]])-1</f>
        <v>-0.28888575657199234</v>
      </c>
      <c r="I1004">
        <v>0.80679999999999996</v>
      </c>
      <c r="J1004" s="1">
        <v>45929</v>
      </c>
      <c r="K1004" s="3">
        <v>4.9578582052561598E-4</v>
      </c>
      <c r="L1004">
        <v>1095173989</v>
      </c>
      <c r="M1004" s="2" t="s">
        <v>10</v>
      </c>
    </row>
    <row r="1005" spans="1:13" x14ac:dyDescent="0.3">
      <c r="A1005" s="1">
        <v>45931</v>
      </c>
      <c r="B1005" s="2" t="s">
        <v>9</v>
      </c>
      <c r="C1005">
        <v>0.80720000000000003</v>
      </c>
      <c r="D1005">
        <v>0.85004000000000002</v>
      </c>
      <c r="E1005">
        <v>0.79820000000000002</v>
      </c>
      <c r="F1005">
        <v>0.85004000000000002</v>
      </c>
      <c r="G1005">
        <f>_xlfn.MAXIFS(Crypto[Close],Crypto[Name],Crypto[[#This Row],[Name]],Crypto[Date],"&lt;="&amp;Crypto[[#This Row],[Date]])</f>
        <v>1.1351199999999999</v>
      </c>
      <c r="H1005" s="3">
        <f>(Crypto[[#This Row],[Close]]/Crypto[[#This Row],[Peak Close]])-1</f>
        <v>-0.25114525336528293</v>
      </c>
      <c r="I1005">
        <v>0.80720000000000003</v>
      </c>
      <c r="J1005" s="1">
        <v>45930</v>
      </c>
      <c r="K1005" s="3">
        <v>5.3072348860257697E-2</v>
      </c>
      <c r="L1005">
        <v>1380143338</v>
      </c>
      <c r="M1005" s="2" t="s">
        <v>10</v>
      </c>
    </row>
    <row r="1006" spans="1:13" x14ac:dyDescent="0.3">
      <c r="A1006" s="1">
        <v>45932</v>
      </c>
      <c r="B1006" s="2" t="s">
        <v>9</v>
      </c>
      <c r="C1006">
        <v>0.85004000000000002</v>
      </c>
      <c r="D1006">
        <v>0.87726999999999999</v>
      </c>
      <c r="E1006">
        <v>0.83911999999999998</v>
      </c>
      <c r="F1006">
        <v>0.87031999999999998</v>
      </c>
      <c r="G1006">
        <f>_xlfn.MAXIFS(Crypto[Close],Crypto[Name],Crypto[[#This Row],[Name]],Crypto[Date],"&lt;="&amp;Crypto[[#This Row],[Date]])</f>
        <v>1.1351199999999999</v>
      </c>
      <c r="H1006" s="3">
        <f>(Crypto[[#This Row],[Close]]/Crypto[[#This Row],[Peak Close]])-1</f>
        <v>-0.23327930086686866</v>
      </c>
      <c r="I1006">
        <v>0.85004000000000002</v>
      </c>
      <c r="J1006" s="1">
        <v>45931</v>
      </c>
      <c r="K1006" s="3">
        <v>2.38577008140793E-2</v>
      </c>
      <c r="L1006">
        <v>1417653094</v>
      </c>
      <c r="M1006" s="2" t="s">
        <v>10</v>
      </c>
    </row>
    <row r="1007" spans="1:13" x14ac:dyDescent="0.3">
      <c r="A1007" s="1">
        <v>45933</v>
      </c>
      <c r="B1007" s="2" t="s">
        <v>9</v>
      </c>
      <c r="C1007">
        <v>0.87031999999999998</v>
      </c>
      <c r="D1007">
        <v>0.89098999999999995</v>
      </c>
      <c r="E1007">
        <v>0.85043999999999997</v>
      </c>
      <c r="F1007">
        <v>0.86631999999999998</v>
      </c>
      <c r="G1007">
        <f>_xlfn.MAXIFS(Crypto[Close],Crypto[Name],Crypto[[#This Row],[Name]],Crypto[Date],"&lt;="&amp;Crypto[[#This Row],[Date]])</f>
        <v>1.1351199999999999</v>
      </c>
      <c r="H1007" s="3">
        <f>(Crypto[[#This Row],[Close]]/Crypto[[#This Row],[Peak Close]])-1</f>
        <v>-0.23680315737543167</v>
      </c>
      <c r="I1007">
        <v>0.87031999999999998</v>
      </c>
      <c r="J1007" s="1">
        <v>45932</v>
      </c>
      <c r="K1007" s="3">
        <v>-4.5960106627447404E-3</v>
      </c>
      <c r="L1007">
        <v>1417255332</v>
      </c>
      <c r="M1007" s="2" t="s">
        <v>10</v>
      </c>
    </row>
    <row r="1008" spans="1:13" x14ac:dyDescent="0.3">
      <c r="A1008" s="1">
        <v>45934</v>
      </c>
      <c r="B1008" s="2" t="s">
        <v>9</v>
      </c>
      <c r="C1008">
        <v>0.86631999999999998</v>
      </c>
      <c r="D1008">
        <v>0.86851</v>
      </c>
      <c r="E1008">
        <v>0.83467000000000002</v>
      </c>
      <c r="F1008">
        <v>0.83992</v>
      </c>
      <c r="G1008">
        <f>_xlfn.MAXIFS(Crypto[Close],Crypto[Name],Crypto[[#This Row],[Name]],Crypto[Date],"&lt;="&amp;Crypto[[#This Row],[Date]])</f>
        <v>1.1351199999999999</v>
      </c>
      <c r="H1008" s="3">
        <f>(Crypto[[#This Row],[Close]]/Crypto[[#This Row],[Peak Close]])-1</f>
        <v>-0.26006061033194727</v>
      </c>
      <c r="I1008">
        <v>0.86631999999999998</v>
      </c>
      <c r="J1008" s="1">
        <v>45933</v>
      </c>
      <c r="K1008" s="3">
        <v>-3.04737279527195E-2</v>
      </c>
      <c r="L1008">
        <v>923179980</v>
      </c>
      <c r="M1008" s="2" t="s">
        <v>10</v>
      </c>
    </row>
    <row r="1009" spans="1:13" x14ac:dyDescent="0.3">
      <c r="A1009" s="1">
        <v>45935</v>
      </c>
      <c r="B1009" s="2" t="s">
        <v>9</v>
      </c>
      <c r="C1009">
        <v>0.83992</v>
      </c>
      <c r="D1009">
        <v>0.88002999999999998</v>
      </c>
      <c r="E1009">
        <v>0.83013000000000003</v>
      </c>
      <c r="F1009">
        <v>0.83735000000000004</v>
      </c>
      <c r="G1009">
        <f>_xlfn.MAXIFS(Crypto[Close],Crypto[Name],Crypto[[#This Row],[Name]],Crypto[Date],"&lt;="&amp;Crypto[[#This Row],[Date]])</f>
        <v>1.1351199999999999</v>
      </c>
      <c r="H1009" s="3">
        <f>(Crypto[[#This Row],[Close]]/Crypto[[#This Row],[Peak Close]])-1</f>
        <v>-0.26232468813869891</v>
      </c>
      <c r="I1009">
        <v>0.83992</v>
      </c>
      <c r="J1009" s="1">
        <v>45934</v>
      </c>
      <c r="K1009" s="3">
        <v>-3.0598152204971401E-3</v>
      </c>
      <c r="L1009">
        <v>1432571585</v>
      </c>
      <c r="M1009" s="2" t="s">
        <v>10</v>
      </c>
    </row>
    <row r="1010" spans="1:13" x14ac:dyDescent="0.3">
      <c r="A1010" s="1">
        <v>45936</v>
      </c>
      <c r="B1010" s="2" t="s">
        <v>9</v>
      </c>
      <c r="C1010">
        <v>0.83735999999999999</v>
      </c>
      <c r="D1010">
        <v>0.87970999999999999</v>
      </c>
      <c r="E1010">
        <v>0.83401999999999998</v>
      </c>
      <c r="F1010">
        <v>0.87182000000000004</v>
      </c>
      <c r="G1010">
        <f>_xlfn.MAXIFS(Crypto[Close],Crypto[Name],Crypto[[#This Row],[Name]],Crypto[Date],"&lt;="&amp;Crypto[[#This Row],[Date]])</f>
        <v>1.1351199999999999</v>
      </c>
      <c r="H1010" s="3">
        <f>(Crypto[[#This Row],[Close]]/Crypto[[#This Row],[Peak Close]])-1</f>
        <v>-0.23195785467615748</v>
      </c>
      <c r="I1010">
        <v>0.83735000000000004</v>
      </c>
      <c r="J1010" s="1">
        <v>45935</v>
      </c>
      <c r="K1010" s="3">
        <v>4.1165581895264799E-2</v>
      </c>
      <c r="L1010">
        <v>1536337222</v>
      </c>
      <c r="M1010" s="2" t="s">
        <v>10</v>
      </c>
    </row>
    <row r="1011" spans="1:13" x14ac:dyDescent="0.3">
      <c r="A1011" s="1">
        <v>45937</v>
      </c>
      <c r="B1011" s="2" t="s">
        <v>9</v>
      </c>
      <c r="C1011">
        <v>0.87182000000000004</v>
      </c>
      <c r="D1011">
        <v>0.87692999999999999</v>
      </c>
      <c r="E1011">
        <v>0.81959000000000004</v>
      </c>
      <c r="F1011">
        <v>0.82089999999999996</v>
      </c>
      <c r="G1011">
        <f>_xlfn.MAXIFS(Crypto[Close],Crypto[Name],Crypto[[#This Row],[Name]],Crypto[Date],"&lt;="&amp;Crypto[[#This Row],[Date]])</f>
        <v>1.1351199999999999</v>
      </c>
      <c r="H1011" s="3">
        <f>(Crypto[[#This Row],[Close]]/Crypto[[#This Row],[Peak Close]])-1</f>
        <v>-0.2768165480301642</v>
      </c>
      <c r="I1011">
        <v>0.87182000000000004</v>
      </c>
      <c r="J1011" s="1">
        <v>45936</v>
      </c>
      <c r="K1011" s="3">
        <v>-5.8406551811153798E-2</v>
      </c>
      <c r="L1011">
        <v>1591420298</v>
      </c>
      <c r="M1011" s="2" t="s">
        <v>10</v>
      </c>
    </row>
    <row r="1012" spans="1:13" x14ac:dyDescent="0.3">
      <c r="A1012" s="1">
        <v>45938</v>
      </c>
      <c r="B1012" s="2" t="s">
        <v>9</v>
      </c>
      <c r="C1012">
        <v>0.82091000000000003</v>
      </c>
      <c r="D1012">
        <v>0.84533000000000003</v>
      </c>
      <c r="E1012">
        <v>0.81172999999999995</v>
      </c>
      <c r="F1012">
        <v>0.83892</v>
      </c>
      <c r="G1012">
        <f>_xlfn.MAXIFS(Crypto[Close],Crypto[Name],Crypto[[#This Row],[Name]],Crypto[Date],"&lt;="&amp;Crypto[[#This Row],[Date]])</f>
        <v>1.1351199999999999</v>
      </c>
      <c r="H1012" s="3">
        <f>(Crypto[[#This Row],[Close]]/Crypto[[#This Row],[Peak Close]])-1</f>
        <v>-0.26094157445908794</v>
      </c>
      <c r="I1012">
        <v>0.82089999999999996</v>
      </c>
      <c r="J1012" s="1">
        <v>45937</v>
      </c>
      <c r="K1012" s="3">
        <v>2.1951516628091201E-2</v>
      </c>
      <c r="L1012">
        <v>1135536629</v>
      </c>
      <c r="M1012" s="2" t="s">
        <v>10</v>
      </c>
    </row>
    <row r="1013" spans="1:13" x14ac:dyDescent="0.3">
      <c r="A1013" s="1">
        <v>45939</v>
      </c>
      <c r="B1013" s="2" t="s">
        <v>9</v>
      </c>
      <c r="C1013">
        <v>0.83891000000000004</v>
      </c>
      <c r="D1013">
        <v>0.83911999999999998</v>
      </c>
      <c r="E1013">
        <v>0.79713999999999996</v>
      </c>
      <c r="F1013">
        <v>0.81564999999999999</v>
      </c>
      <c r="G1013">
        <f>_xlfn.MAXIFS(Crypto[Close],Crypto[Name],Crypto[[#This Row],[Name]],Crypto[Date],"&lt;="&amp;Crypto[[#This Row],[Date]])</f>
        <v>1.1351199999999999</v>
      </c>
      <c r="H1013" s="3">
        <f>(Crypto[[#This Row],[Close]]/Crypto[[#This Row],[Peak Close]])-1</f>
        <v>-0.28144160969765308</v>
      </c>
      <c r="I1013">
        <v>0.83892</v>
      </c>
      <c r="J1013" s="1">
        <v>45938</v>
      </c>
      <c r="K1013" s="3">
        <v>-2.7738044152004999E-2</v>
      </c>
      <c r="L1013">
        <v>1196536220</v>
      </c>
      <c r="M1013" s="2" t="s">
        <v>10</v>
      </c>
    </row>
    <row r="1014" spans="1:13" x14ac:dyDescent="0.3">
      <c r="A1014" s="1">
        <v>45940</v>
      </c>
      <c r="B1014" s="2" t="s">
        <v>9</v>
      </c>
      <c r="C1014">
        <v>0.81564000000000003</v>
      </c>
      <c r="D1014">
        <v>0.82269999999999999</v>
      </c>
      <c r="E1014">
        <v>0.33296999999999999</v>
      </c>
      <c r="F1014">
        <v>0.63483999999999996</v>
      </c>
      <c r="G1014">
        <f>_xlfn.MAXIFS(Crypto[Close],Crypto[Name],Crypto[[#This Row],[Name]],Crypto[Date],"&lt;="&amp;Crypto[[#This Row],[Date]])</f>
        <v>1.1351199999999999</v>
      </c>
      <c r="H1014" s="3">
        <f>(Crypto[[#This Row],[Close]]/Crypto[[#This Row],[Peak Close]])-1</f>
        <v>-0.44072873352597086</v>
      </c>
      <c r="I1014">
        <v>0.81564999999999999</v>
      </c>
      <c r="J1014" s="1">
        <v>45939</v>
      </c>
      <c r="K1014" s="3">
        <v>-0.22167596395512801</v>
      </c>
      <c r="L1014">
        <v>4203182760</v>
      </c>
      <c r="M1014" s="2" t="s">
        <v>10</v>
      </c>
    </row>
    <row r="1015" spans="1:13" x14ac:dyDescent="0.3">
      <c r="A1015" s="1">
        <v>45941</v>
      </c>
      <c r="B1015" s="2" t="s">
        <v>9</v>
      </c>
      <c r="C1015">
        <v>0.63483999999999996</v>
      </c>
      <c r="D1015">
        <v>0.68196000000000001</v>
      </c>
      <c r="E1015">
        <v>0.61492999999999998</v>
      </c>
      <c r="F1015">
        <v>0.63217999999999996</v>
      </c>
      <c r="G1015">
        <f>_xlfn.MAXIFS(Crypto[Close],Crypto[Name],Crypto[[#This Row],[Name]],Crypto[Date],"&lt;="&amp;Crypto[[#This Row],[Date]])</f>
        <v>1.1351199999999999</v>
      </c>
      <c r="H1015" s="3">
        <f>(Crypto[[#This Row],[Close]]/Crypto[[#This Row],[Peak Close]])-1</f>
        <v>-0.44307209810416515</v>
      </c>
      <c r="I1015">
        <v>0.63483999999999996</v>
      </c>
      <c r="J1015" s="1">
        <v>45940</v>
      </c>
      <c r="K1015" s="3">
        <v>-4.1900321340810204E-3</v>
      </c>
      <c r="L1015">
        <v>2703054560</v>
      </c>
      <c r="M1015" s="2" t="s">
        <v>10</v>
      </c>
    </row>
    <row r="1016" spans="1:13" x14ac:dyDescent="0.3">
      <c r="A1016" s="1">
        <v>45942</v>
      </c>
      <c r="B1016" s="2" t="s">
        <v>9</v>
      </c>
      <c r="C1016">
        <v>0.63214000000000004</v>
      </c>
      <c r="D1016">
        <v>0.70821999999999996</v>
      </c>
      <c r="E1016">
        <v>0.62151999999999996</v>
      </c>
      <c r="F1016">
        <v>0.70150999999999997</v>
      </c>
      <c r="G1016">
        <f>_xlfn.MAXIFS(Crypto[Close],Crypto[Name],Crypto[[#This Row],[Name]],Crypto[Date],"&lt;="&amp;Crypto[[#This Row],[Date]])</f>
        <v>1.1351199999999999</v>
      </c>
      <c r="H1016" s="3">
        <f>(Crypto[[#This Row],[Close]]/Crypto[[#This Row],[Peak Close]])-1</f>
        <v>-0.38199485516949749</v>
      </c>
      <c r="I1016">
        <v>0.63217999999999996</v>
      </c>
      <c r="J1016" s="1">
        <v>45941</v>
      </c>
      <c r="K1016" s="3">
        <v>0.10966813249391</v>
      </c>
      <c r="L1016">
        <v>1600069384</v>
      </c>
      <c r="M1016" s="2" t="s">
        <v>10</v>
      </c>
    </row>
    <row r="1017" spans="1:13" x14ac:dyDescent="0.3">
      <c r="A1017" s="1">
        <v>45943</v>
      </c>
      <c r="B1017" s="2" t="s">
        <v>9</v>
      </c>
      <c r="C1017">
        <v>0.70152999999999999</v>
      </c>
      <c r="D1017">
        <v>0.73504999999999998</v>
      </c>
      <c r="E1017">
        <v>0.69813000000000003</v>
      </c>
      <c r="F1017">
        <v>0.72926000000000002</v>
      </c>
      <c r="G1017">
        <f>_xlfn.MAXIFS(Crypto[Close],Crypto[Name],Crypto[[#This Row],[Name]],Crypto[Date],"&lt;="&amp;Crypto[[#This Row],[Date]])</f>
        <v>1.1351199999999999</v>
      </c>
      <c r="H1017" s="3">
        <f>(Crypto[[#This Row],[Close]]/Crypto[[#This Row],[Peak Close]])-1</f>
        <v>-0.35754810064134179</v>
      </c>
      <c r="I1017">
        <v>0.70150999999999997</v>
      </c>
      <c r="J1017" s="1">
        <v>45942</v>
      </c>
      <c r="K1017" s="3">
        <v>3.95575259083977E-2</v>
      </c>
      <c r="L1017">
        <v>1714657141</v>
      </c>
      <c r="M1017" s="2" t="s">
        <v>10</v>
      </c>
    </row>
    <row r="1018" spans="1:13" x14ac:dyDescent="0.3">
      <c r="A1018" s="1">
        <v>45944</v>
      </c>
      <c r="B1018" s="2" t="s">
        <v>9</v>
      </c>
      <c r="C1018">
        <v>0.72926000000000002</v>
      </c>
      <c r="D1018">
        <v>0.73258999999999996</v>
      </c>
      <c r="E1018">
        <v>0.66571999999999998</v>
      </c>
      <c r="F1018">
        <v>0.69969000000000003</v>
      </c>
      <c r="G1018">
        <f>_xlfn.MAXIFS(Crypto[Close],Crypto[Name],Crypto[[#This Row],[Name]],Crypto[Date],"&lt;="&amp;Crypto[[#This Row],[Date]])</f>
        <v>1.1351199999999999</v>
      </c>
      <c r="H1018" s="3">
        <f>(Crypto[[#This Row],[Close]]/Crypto[[#This Row],[Peak Close]])-1</f>
        <v>-0.38359820988089355</v>
      </c>
      <c r="I1018">
        <v>0.72926000000000002</v>
      </c>
      <c r="J1018" s="1">
        <v>45943</v>
      </c>
      <c r="K1018" s="3">
        <v>-4.0547952719194799E-2</v>
      </c>
      <c r="L1018">
        <v>1861960330</v>
      </c>
      <c r="M1018" s="2" t="s">
        <v>10</v>
      </c>
    </row>
    <row r="1019" spans="1:13" x14ac:dyDescent="0.3">
      <c r="A1019" s="1">
        <v>45945</v>
      </c>
      <c r="B1019" s="2" t="s">
        <v>9</v>
      </c>
      <c r="C1019">
        <v>0.69969000000000003</v>
      </c>
      <c r="D1019">
        <v>0.71333000000000002</v>
      </c>
      <c r="E1019">
        <v>0.66186999999999996</v>
      </c>
      <c r="F1019">
        <v>0.66879999999999995</v>
      </c>
      <c r="G1019">
        <f>_xlfn.MAXIFS(Crypto[Close],Crypto[Name],Crypto[[#This Row],[Name]],Crypto[Date],"&lt;="&amp;Crypto[[#This Row],[Date]])</f>
        <v>1.1351199999999999</v>
      </c>
      <c r="H1019" s="3">
        <f>(Crypto[[#This Row],[Close]]/Crypto[[#This Row],[Peak Close]])-1</f>
        <v>-0.41081119176827119</v>
      </c>
      <c r="I1019">
        <v>0.69969000000000003</v>
      </c>
      <c r="J1019" s="1">
        <v>45944</v>
      </c>
      <c r="K1019" s="3">
        <v>-4.4148122740070697E-2</v>
      </c>
      <c r="L1019">
        <v>1209547947</v>
      </c>
      <c r="M1019" s="2" t="s">
        <v>10</v>
      </c>
    </row>
    <row r="1020" spans="1:13" x14ac:dyDescent="0.3">
      <c r="A1020" s="1">
        <v>45946</v>
      </c>
      <c r="B1020" s="2" t="s">
        <v>9</v>
      </c>
      <c r="C1020">
        <v>0.66879999999999995</v>
      </c>
      <c r="D1020">
        <v>0.68354999999999999</v>
      </c>
      <c r="E1020">
        <v>0.63583999999999996</v>
      </c>
      <c r="F1020">
        <v>0.64493999999999996</v>
      </c>
      <c r="G1020">
        <f>_xlfn.MAXIFS(Crypto[Close],Crypto[Name],Crypto[[#This Row],[Name]],Crypto[Date],"&lt;="&amp;Crypto[[#This Row],[Date]])</f>
        <v>1.1351199999999999</v>
      </c>
      <c r="H1020" s="3">
        <f>(Crypto[[#This Row],[Close]]/Crypto[[#This Row],[Peak Close]])-1</f>
        <v>-0.43183099584184936</v>
      </c>
      <c r="I1020">
        <v>0.66879999999999995</v>
      </c>
      <c r="J1020" s="1">
        <v>45945</v>
      </c>
      <c r="K1020" s="3">
        <v>-3.5675837320574201E-2</v>
      </c>
      <c r="L1020">
        <v>1359176043</v>
      </c>
      <c r="M1020" s="2" t="s">
        <v>10</v>
      </c>
    </row>
    <row r="1021" spans="1:13" x14ac:dyDescent="0.3">
      <c r="A1021" s="1">
        <v>45947</v>
      </c>
      <c r="B1021" s="2" t="s">
        <v>9</v>
      </c>
      <c r="C1021">
        <v>0.64493999999999996</v>
      </c>
      <c r="D1021">
        <v>0.65393999999999997</v>
      </c>
      <c r="E1021">
        <v>0.59516999999999998</v>
      </c>
      <c r="F1021">
        <v>0.62483999999999995</v>
      </c>
      <c r="G1021">
        <f>_xlfn.MAXIFS(Crypto[Close],Crypto[Name],Crypto[[#This Row],[Name]],Crypto[Date],"&lt;="&amp;Crypto[[#This Row],[Date]])</f>
        <v>1.1351199999999999</v>
      </c>
      <c r="H1021" s="3">
        <f>(Crypto[[#This Row],[Close]]/Crypto[[#This Row],[Peak Close]])-1</f>
        <v>-0.44953837479737824</v>
      </c>
      <c r="I1021">
        <v>0.64493999999999996</v>
      </c>
      <c r="J1021" s="1">
        <v>45946</v>
      </c>
      <c r="K1021" s="3">
        <v>-3.11656898316123E-2</v>
      </c>
      <c r="L1021">
        <v>1684167803</v>
      </c>
      <c r="M1021" s="2" t="s">
        <v>10</v>
      </c>
    </row>
    <row r="1022" spans="1:13" x14ac:dyDescent="0.3">
      <c r="A1022" s="1">
        <v>45948</v>
      </c>
      <c r="B1022" s="2" t="s">
        <v>9</v>
      </c>
      <c r="C1022">
        <v>0.62485000000000002</v>
      </c>
      <c r="D1022">
        <v>0.64081999999999995</v>
      </c>
      <c r="E1022">
        <v>0.62434999999999996</v>
      </c>
      <c r="F1022">
        <v>0.63446000000000002</v>
      </c>
      <c r="G1022">
        <f>_xlfn.MAXIFS(Crypto[Close],Crypto[Name],Crypto[[#This Row],[Name]],Crypto[Date],"&lt;="&amp;Crypto[[#This Row],[Date]])</f>
        <v>1.1351199999999999</v>
      </c>
      <c r="H1022" s="3">
        <f>(Crypto[[#This Row],[Close]]/Crypto[[#This Row],[Peak Close]])-1</f>
        <v>-0.44106349989428428</v>
      </c>
      <c r="I1022">
        <v>0.62483999999999995</v>
      </c>
      <c r="J1022" s="1">
        <v>45947</v>
      </c>
      <c r="K1022" s="3">
        <v>1.5395941360988499E-2</v>
      </c>
      <c r="L1022">
        <v>549396048</v>
      </c>
      <c r="M1022" s="2" t="s">
        <v>10</v>
      </c>
    </row>
    <row r="1023" spans="1:13" x14ac:dyDescent="0.3">
      <c r="A1023" s="1">
        <v>45949</v>
      </c>
      <c r="B1023" s="2" t="s">
        <v>9</v>
      </c>
      <c r="C1023">
        <v>0.63446000000000002</v>
      </c>
      <c r="D1023">
        <v>0.66449000000000003</v>
      </c>
      <c r="E1023">
        <v>0.62341000000000002</v>
      </c>
      <c r="F1023">
        <v>0.65254999999999996</v>
      </c>
      <c r="G1023">
        <f>_xlfn.MAXIFS(Crypto[Close],Crypto[Name],Crypto[[#This Row],[Name]],Crypto[Date],"&lt;="&amp;Crypto[[#This Row],[Date]])</f>
        <v>1.1351199999999999</v>
      </c>
      <c r="H1023" s="3">
        <f>(Crypto[[#This Row],[Close]]/Crypto[[#This Row],[Peak Close]])-1</f>
        <v>-0.42512685883430823</v>
      </c>
      <c r="I1023">
        <v>0.63446000000000002</v>
      </c>
      <c r="J1023" s="1">
        <v>45948</v>
      </c>
      <c r="K1023" s="3">
        <v>2.8512435772152601E-2</v>
      </c>
      <c r="L1023">
        <v>874038329</v>
      </c>
      <c r="M1023" s="2" t="s">
        <v>10</v>
      </c>
    </row>
    <row r="1024" spans="1:13" x14ac:dyDescent="0.3">
      <c r="A1024" s="1">
        <v>45950</v>
      </c>
      <c r="B1024" s="2" t="s">
        <v>9</v>
      </c>
      <c r="C1024">
        <v>0.65254999999999996</v>
      </c>
      <c r="D1024">
        <v>0.67549999999999999</v>
      </c>
      <c r="E1024">
        <v>0.64068000000000003</v>
      </c>
      <c r="F1024">
        <v>0.66325000000000001</v>
      </c>
      <c r="G1024">
        <f>_xlfn.MAXIFS(Crypto[Close],Crypto[Name],Crypto[[#This Row],[Name]],Crypto[Date],"&lt;="&amp;Crypto[[#This Row],[Date]])</f>
        <v>1.1351199999999999</v>
      </c>
      <c r="H1024" s="3">
        <f>(Crypto[[#This Row],[Close]]/Crypto[[#This Row],[Peak Close]])-1</f>
        <v>-0.41570054267390222</v>
      </c>
      <c r="I1024">
        <v>0.65254999999999996</v>
      </c>
      <c r="J1024" s="1">
        <v>45949</v>
      </c>
      <c r="K1024" s="3">
        <v>1.6397210941690402E-2</v>
      </c>
      <c r="L1024">
        <v>1048326206</v>
      </c>
      <c r="M1024" s="2" t="s">
        <v>10</v>
      </c>
    </row>
    <row r="1025" spans="1:13" x14ac:dyDescent="0.3">
      <c r="A1025" s="1">
        <v>45951</v>
      </c>
      <c r="B1025" s="2" t="s">
        <v>9</v>
      </c>
      <c r="C1025">
        <v>0.66320999999999997</v>
      </c>
      <c r="D1025">
        <v>0.68462999999999996</v>
      </c>
      <c r="E1025">
        <v>0.63793</v>
      </c>
      <c r="F1025">
        <v>0.64290999999999998</v>
      </c>
      <c r="G1025">
        <f>_xlfn.MAXIFS(Crypto[Close],Crypto[Name],Crypto[[#This Row],[Name]],Crypto[Date],"&lt;="&amp;Crypto[[#This Row],[Date]])</f>
        <v>1.1351199999999999</v>
      </c>
      <c r="H1025" s="3">
        <f>(Crypto[[#This Row],[Close]]/Crypto[[#This Row],[Peak Close]])-1</f>
        <v>-0.43361935301994503</v>
      </c>
      <c r="I1025">
        <v>0.66325000000000001</v>
      </c>
      <c r="J1025" s="1">
        <v>45950</v>
      </c>
      <c r="K1025" s="3">
        <v>-3.06671692423672E-2</v>
      </c>
      <c r="L1025">
        <v>1195836837</v>
      </c>
      <c r="M1025" s="2" t="s">
        <v>10</v>
      </c>
    </row>
    <row r="1026" spans="1:13" x14ac:dyDescent="0.3">
      <c r="A1026" s="1">
        <v>45952</v>
      </c>
      <c r="B1026" s="2" t="s">
        <v>9</v>
      </c>
      <c r="C1026">
        <v>0.64292000000000005</v>
      </c>
      <c r="D1026">
        <v>0.64668000000000003</v>
      </c>
      <c r="E1026">
        <v>0.61134999999999995</v>
      </c>
      <c r="F1026">
        <v>0.62397000000000002</v>
      </c>
      <c r="G1026">
        <f>_xlfn.MAXIFS(Crypto[Close],Crypto[Name],Crypto[[#This Row],[Name]],Crypto[Date],"&lt;="&amp;Crypto[[#This Row],[Date]])</f>
        <v>1.1351199999999999</v>
      </c>
      <c r="H1026" s="3">
        <f>(Crypto[[#This Row],[Close]]/Crypto[[#This Row],[Peak Close]])-1</f>
        <v>-0.45030481358799068</v>
      </c>
      <c r="I1026">
        <v>0.64290999999999998</v>
      </c>
      <c r="J1026" s="1">
        <v>45951</v>
      </c>
      <c r="K1026" s="3">
        <v>-2.9459799972002199E-2</v>
      </c>
      <c r="L1026">
        <v>1083621498</v>
      </c>
      <c r="M1026" s="2" t="s">
        <v>10</v>
      </c>
    </row>
    <row r="1027" spans="1:13" x14ac:dyDescent="0.3">
      <c r="A1027" s="1">
        <v>45953</v>
      </c>
      <c r="B1027" s="2" t="s">
        <v>9</v>
      </c>
      <c r="C1027">
        <v>0.62397000000000002</v>
      </c>
      <c r="D1027">
        <v>0.65295999999999998</v>
      </c>
      <c r="E1027">
        <v>0.62324999999999997</v>
      </c>
      <c r="F1027">
        <v>0.64283999999999997</v>
      </c>
      <c r="G1027">
        <f>_xlfn.MAXIFS(Crypto[Close],Crypto[Name],Crypto[[#This Row],[Name]],Crypto[Date],"&lt;="&amp;Crypto[[#This Row],[Date]])</f>
        <v>1.1351199999999999</v>
      </c>
      <c r="H1027" s="3">
        <f>(Crypto[[#This Row],[Close]]/Crypto[[#This Row],[Peak Close]])-1</f>
        <v>-0.43368102050884483</v>
      </c>
      <c r="I1027">
        <v>0.62397000000000002</v>
      </c>
      <c r="J1027" s="1">
        <v>45952</v>
      </c>
      <c r="K1027" s="3">
        <v>3.0241838549930199E-2</v>
      </c>
      <c r="L1027">
        <v>786265376</v>
      </c>
      <c r="M1027" s="2" t="s">
        <v>10</v>
      </c>
    </row>
    <row r="1028" spans="1:13" x14ac:dyDescent="0.3">
      <c r="A1028" s="1">
        <v>45954</v>
      </c>
      <c r="B1028" s="2" t="s">
        <v>9</v>
      </c>
      <c r="C1028">
        <v>0.64285000000000003</v>
      </c>
      <c r="D1028">
        <v>0.65883000000000003</v>
      </c>
      <c r="E1028">
        <v>0.63968999999999998</v>
      </c>
      <c r="F1028">
        <v>0.65588999999999997</v>
      </c>
      <c r="G1028">
        <f>_xlfn.MAXIFS(Crypto[Close],Crypto[Name],Crypto[[#This Row],[Name]],Crypto[Date],"&lt;="&amp;Crypto[[#This Row],[Date]])</f>
        <v>1.1351199999999999</v>
      </c>
      <c r="H1028" s="3">
        <f>(Crypto[[#This Row],[Close]]/Crypto[[#This Row],[Peak Close]])-1</f>
        <v>-0.42218443864965816</v>
      </c>
      <c r="I1028">
        <v>0.64283999999999997</v>
      </c>
      <c r="J1028" s="1">
        <v>45953</v>
      </c>
      <c r="K1028" s="3">
        <v>2.0300541347769301E-2</v>
      </c>
      <c r="L1028">
        <v>838536144</v>
      </c>
      <c r="M1028" s="2" t="s">
        <v>10</v>
      </c>
    </row>
    <row r="1029" spans="1:13" x14ac:dyDescent="0.3">
      <c r="A1029" s="1">
        <v>45955</v>
      </c>
      <c r="B1029" s="2" t="s">
        <v>9</v>
      </c>
      <c r="C1029">
        <v>0.65588999999999997</v>
      </c>
      <c r="D1029">
        <v>0.65864999999999996</v>
      </c>
      <c r="E1029">
        <v>0.64900999999999998</v>
      </c>
      <c r="F1029">
        <v>0.65466000000000002</v>
      </c>
      <c r="G1029">
        <f>_xlfn.MAXIFS(Crypto[Close],Crypto[Name],Crypto[[#This Row],[Name]],Crypto[Date],"&lt;="&amp;Crypto[[#This Row],[Date]])</f>
        <v>1.1351199999999999</v>
      </c>
      <c r="H1029" s="3">
        <f>(Crypto[[#This Row],[Close]]/Crypto[[#This Row],[Peak Close]])-1</f>
        <v>-0.42326802452604129</v>
      </c>
      <c r="I1029">
        <v>0.65588999999999997</v>
      </c>
      <c r="J1029" s="1">
        <v>45954</v>
      </c>
      <c r="K1029" s="3">
        <v>-1.87531445821701E-3</v>
      </c>
      <c r="L1029">
        <v>469372495</v>
      </c>
      <c r="M1029" s="2" t="s">
        <v>10</v>
      </c>
    </row>
    <row r="1030" spans="1:13" x14ac:dyDescent="0.3">
      <c r="A1030" s="1">
        <v>45956</v>
      </c>
      <c r="B1030" s="2" t="s">
        <v>9</v>
      </c>
      <c r="C1030">
        <v>0.65466000000000002</v>
      </c>
      <c r="D1030">
        <v>0.68423</v>
      </c>
      <c r="E1030">
        <v>0.64748000000000006</v>
      </c>
      <c r="F1030">
        <v>0.68106</v>
      </c>
      <c r="G1030">
        <f>_xlfn.MAXIFS(Crypto[Close],Crypto[Name],Crypto[[#This Row],[Name]],Crypto[Date],"&lt;="&amp;Crypto[[#This Row],[Date]])</f>
        <v>1.1351199999999999</v>
      </c>
      <c r="H1030" s="3">
        <f>(Crypto[[#This Row],[Close]]/Crypto[[#This Row],[Peak Close]])-1</f>
        <v>-0.40001057156952569</v>
      </c>
      <c r="I1030">
        <v>0.65466000000000002</v>
      </c>
      <c r="J1030" s="1">
        <v>45955</v>
      </c>
      <c r="K1030" s="3">
        <v>4.03262762349922E-2</v>
      </c>
      <c r="L1030">
        <v>788298972</v>
      </c>
      <c r="M1030" s="2" t="s">
        <v>10</v>
      </c>
    </row>
    <row r="1031" spans="1:13" x14ac:dyDescent="0.3">
      <c r="A1031" s="1">
        <v>45957</v>
      </c>
      <c r="B1031" s="2" t="s">
        <v>9</v>
      </c>
      <c r="C1031">
        <v>0.68106</v>
      </c>
      <c r="D1031">
        <v>0.69186999999999999</v>
      </c>
      <c r="E1031">
        <v>0.66525000000000001</v>
      </c>
      <c r="F1031">
        <v>0.66737000000000002</v>
      </c>
      <c r="G1031">
        <f>_xlfn.MAXIFS(Crypto[Close],Crypto[Name],Crypto[[#This Row],[Name]],Crypto[Date],"&lt;="&amp;Crypto[[#This Row],[Date]])</f>
        <v>1.1351199999999999</v>
      </c>
      <c r="H1031" s="3">
        <f>(Crypto[[#This Row],[Close]]/Crypto[[#This Row],[Peak Close]])-1</f>
        <v>-0.41207097047008234</v>
      </c>
      <c r="I1031">
        <v>0.68106</v>
      </c>
      <c r="J1031" s="1">
        <v>45956</v>
      </c>
      <c r="K1031" s="3">
        <v>-2.0101018999794398E-2</v>
      </c>
      <c r="L1031">
        <v>909288252</v>
      </c>
      <c r="M1031" s="2" t="s">
        <v>10</v>
      </c>
    </row>
    <row r="1032" spans="1:13" x14ac:dyDescent="0.3">
      <c r="A1032" s="1">
        <v>45958</v>
      </c>
      <c r="B1032" s="2" t="s">
        <v>9</v>
      </c>
      <c r="C1032">
        <v>0.66735999999999995</v>
      </c>
      <c r="D1032">
        <v>0.67452000000000001</v>
      </c>
      <c r="E1032">
        <v>0.63941000000000003</v>
      </c>
      <c r="F1032">
        <v>0.64627000000000001</v>
      </c>
      <c r="G1032">
        <f>_xlfn.MAXIFS(Crypto[Close],Crypto[Name],Crypto[[#This Row],[Name]],Crypto[Date],"&lt;="&amp;Crypto[[#This Row],[Date]])</f>
        <v>1.1351199999999999</v>
      </c>
      <c r="H1032" s="3">
        <f>(Crypto[[#This Row],[Close]]/Crypto[[#This Row],[Peak Close]])-1</f>
        <v>-0.43065931355275211</v>
      </c>
      <c r="I1032">
        <v>0.66737000000000002</v>
      </c>
      <c r="J1032" s="1">
        <v>45957</v>
      </c>
      <c r="K1032" s="3">
        <v>-3.16166444401157E-2</v>
      </c>
      <c r="L1032">
        <v>1559874688</v>
      </c>
      <c r="M1032" s="2" t="s">
        <v>10</v>
      </c>
    </row>
    <row r="1033" spans="1:13" x14ac:dyDescent="0.3">
      <c r="A1033" s="1">
        <v>45959</v>
      </c>
      <c r="B1033" s="2" t="s">
        <v>9</v>
      </c>
      <c r="C1033">
        <v>0.64625999999999995</v>
      </c>
      <c r="D1033">
        <v>0.65664</v>
      </c>
      <c r="E1033">
        <v>0.63427</v>
      </c>
      <c r="F1033">
        <v>0.64015999999999995</v>
      </c>
      <c r="G1033">
        <f>_xlfn.MAXIFS(Crypto[Close],Crypto[Name],Crypto[[#This Row],[Name]],Crypto[Date],"&lt;="&amp;Crypto[[#This Row],[Date]])</f>
        <v>1.1351199999999999</v>
      </c>
      <c r="H1033" s="3">
        <f>(Crypto[[#This Row],[Close]]/Crypto[[#This Row],[Peak Close]])-1</f>
        <v>-0.43604200436958207</v>
      </c>
      <c r="I1033">
        <v>0.64627000000000001</v>
      </c>
      <c r="J1033" s="1">
        <v>45958</v>
      </c>
      <c r="K1033" s="3">
        <v>-9.4542528664490998E-3</v>
      </c>
      <c r="L1033">
        <v>1145954584</v>
      </c>
      <c r="M1033" s="2" t="s">
        <v>10</v>
      </c>
    </row>
    <row r="1034" spans="1:13" x14ac:dyDescent="0.3">
      <c r="A1034" s="1">
        <v>45960</v>
      </c>
      <c r="B1034" s="2" t="s">
        <v>9</v>
      </c>
      <c r="C1034">
        <v>0.64015999999999995</v>
      </c>
      <c r="D1034">
        <v>0.64764999999999995</v>
      </c>
      <c r="E1034">
        <v>0.58877999999999997</v>
      </c>
      <c r="F1034">
        <v>0.60111999999999999</v>
      </c>
      <c r="G1034">
        <f>_xlfn.MAXIFS(Crypto[Close],Crypto[Name],Crypto[[#This Row],[Name]],Crypto[Date],"&lt;="&amp;Crypto[[#This Row],[Date]])</f>
        <v>1.1351199999999999</v>
      </c>
      <c r="H1034" s="3">
        <f>(Crypto[[#This Row],[Close]]/Crypto[[#This Row],[Peak Close]])-1</f>
        <v>-0.4704348438931566</v>
      </c>
      <c r="I1034">
        <v>0.64015999999999995</v>
      </c>
      <c r="J1034" s="1">
        <v>45959</v>
      </c>
      <c r="K1034" s="3">
        <v>-6.0984753811547103E-2</v>
      </c>
      <c r="L1034">
        <v>1228514788</v>
      </c>
      <c r="M1034" s="2" t="s">
        <v>10</v>
      </c>
    </row>
    <row r="1035" spans="1:13" x14ac:dyDescent="0.3">
      <c r="A1035" s="1">
        <v>45961</v>
      </c>
      <c r="B1035" s="2" t="s">
        <v>9</v>
      </c>
      <c r="C1035">
        <v>0.60114999999999996</v>
      </c>
      <c r="D1035">
        <v>0.61902999999999997</v>
      </c>
      <c r="E1035">
        <v>0.60033999999999998</v>
      </c>
      <c r="F1035">
        <v>0.60916999999999999</v>
      </c>
      <c r="G1035">
        <f>_xlfn.MAXIFS(Crypto[Close],Crypto[Name],Crypto[[#This Row],[Name]],Crypto[Date],"&lt;="&amp;Crypto[[#This Row],[Date]])</f>
        <v>1.1351199999999999</v>
      </c>
      <c r="H1035" s="3">
        <f>(Crypto[[#This Row],[Close]]/Crypto[[#This Row],[Peak Close]])-1</f>
        <v>-0.46334308266967361</v>
      </c>
      <c r="I1035">
        <v>0.60111999999999999</v>
      </c>
      <c r="J1035" s="1">
        <v>45960</v>
      </c>
      <c r="K1035" s="3">
        <v>1.3391668884748501E-2</v>
      </c>
      <c r="L1035">
        <v>869785976</v>
      </c>
      <c r="M1035" s="2" t="s">
        <v>10</v>
      </c>
    </row>
    <row r="1036" spans="1:13" x14ac:dyDescent="0.3">
      <c r="A1036" s="1">
        <v>45962</v>
      </c>
      <c r="B1036" s="2" t="s">
        <v>9</v>
      </c>
      <c r="C1036">
        <v>0.60916999999999999</v>
      </c>
      <c r="D1036">
        <v>0.61655000000000004</v>
      </c>
      <c r="E1036">
        <v>0.60482000000000002</v>
      </c>
      <c r="F1036">
        <v>0.61219999999999997</v>
      </c>
      <c r="G1036">
        <f>_xlfn.MAXIFS(Crypto[Close],Crypto[Name],Crypto[[#This Row],[Name]],Crypto[Date],"&lt;="&amp;Crypto[[#This Row],[Date]])</f>
        <v>1.1351199999999999</v>
      </c>
      <c r="H1036" s="3">
        <f>(Crypto[[#This Row],[Close]]/Crypto[[#This Row],[Peak Close]])-1</f>
        <v>-0.46067376136443727</v>
      </c>
      <c r="I1036">
        <v>0.60916999999999999</v>
      </c>
      <c r="J1036" s="1">
        <v>45961</v>
      </c>
      <c r="K1036" s="3">
        <v>4.97398099052806E-3</v>
      </c>
      <c r="L1036">
        <v>496102908</v>
      </c>
      <c r="M1036" s="2" t="s">
        <v>10</v>
      </c>
    </row>
    <row r="1037" spans="1:13" x14ac:dyDescent="0.3">
      <c r="A1037" s="1">
        <v>45963</v>
      </c>
      <c r="B1037" s="2" t="s">
        <v>9</v>
      </c>
      <c r="C1037">
        <v>0.61219999999999997</v>
      </c>
      <c r="D1037">
        <v>0.61812</v>
      </c>
      <c r="E1037">
        <v>0.59486000000000006</v>
      </c>
      <c r="F1037">
        <v>0.61080000000000001</v>
      </c>
      <c r="G1037">
        <f>_xlfn.MAXIFS(Crypto[Close],Crypto[Name],Crypto[[#This Row],[Name]],Crypto[Date],"&lt;="&amp;Crypto[[#This Row],[Date]])</f>
        <v>1.1351199999999999</v>
      </c>
      <c r="H1037" s="3">
        <f>(Crypto[[#This Row],[Close]]/Crypto[[#This Row],[Peak Close]])-1</f>
        <v>-0.46190711114243421</v>
      </c>
      <c r="I1037">
        <v>0.61219999999999997</v>
      </c>
      <c r="J1037" s="1">
        <v>45962</v>
      </c>
      <c r="K1037" s="3">
        <v>-2.2868343678535698E-3</v>
      </c>
      <c r="L1037">
        <v>566990964</v>
      </c>
      <c r="M1037" s="2" t="s">
        <v>10</v>
      </c>
    </row>
    <row r="1038" spans="1:13" x14ac:dyDescent="0.3">
      <c r="A1038" s="1">
        <v>45964</v>
      </c>
      <c r="B1038" s="2" t="s">
        <v>9</v>
      </c>
      <c r="C1038">
        <v>0.61079000000000006</v>
      </c>
      <c r="D1038">
        <v>0.61094999999999999</v>
      </c>
      <c r="E1038">
        <v>0.54147000000000001</v>
      </c>
      <c r="F1038">
        <v>0.55230999999999997</v>
      </c>
      <c r="G1038">
        <f>_xlfn.MAXIFS(Crypto[Close],Crypto[Name],Crypto[[#This Row],[Name]],Crypto[Date],"&lt;="&amp;Crypto[[#This Row],[Date]])</f>
        <v>1.1351199999999999</v>
      </c>
      <c r="H1038" s="3">
        <f>(Crypto[[#This Row],[Close]]/Crypto[[#This Row],[Peak Close]])-1</f>
        <v>-0.51343470293889637</v>
      </c>
      <c r="I1038">
        <v>0.61080000000000001</v>
      </c>
      <c r="J1038" s="1">
        <v>45963</v>
      </c>
      <c r="K1038" s="3">
        <v>-9.57596594629994E-2</v>
      </c>
      <c r="L1038">
        <v>1542270537</v>
      </c>
      <c r="M1038" s="2" t="s">
        <v>10</v>
      </c>
    </row>
    <row r="1039" spans="1:13" x14ac:dyDescent="0.3">
      <c r="A1039" s="1">
        <v>45965</v>
      </c>
      <c r="B1039" s="2" t="s">
        <v>9</v>
      </c>
      <c r="C1039">
        <v>0.55230999999999997</v>
      </c>
      <c r="D1039">
        <v>0.56244000000000005</v>
      </c>
      <c r="E1039">
        <v>0.49339</v>
      </c>
      <c r="F1039">
        <v>0.52149999999999996</v>
      </c>
      <c r="G1039">
        <f>_xlfn.MAXIFS(Crypto[Close],Crypto[Name],Crypto[[#This Row],[Name]],Crypto[Date],"&lt;="&amp;Crypto[[#This Row],[Date]])</f>
        <v>1.1351199999999999</v>
      </c>
      <c r="H1039" s="3">
        <f>(Crypto[[#This Row],[Close]]/Crypto[[#This Row],[Peak Close]])-1</f>
        <v>-0.54057720769610262</v>
      </c>
      <c r="I1039">
        <v>0.55230999999999997</v>
      </c>
      <c r="J1039" s="1">
        <v>45964</v>
      </c>
      <c r="K1039" s="3">
        <v>-5.5783889482355901E-2</v>
      </c>
      <c r="L1039">
        <v>1869312291</v>
      </c>
      <c r="M1039" s="2" t="s">
        <v>10</v>
      </c>
    </row>
    <row r="1040" spans="1:13" x14ac:dyDescent="0.3">
      <c r="A1040" s="1">
        <v>45966</v>
      </c>
      <c r="B1040" s="2" t="s">
        <v>9</v>
      </c>
      <c r="C1040">
        <v>0.52149000000000001</v>
      </c>
      <c r="D1040">
        <v>0.54891999999999996</v>
      </c>
      <c r="E1040">
        <v>0.49752999999999997</v>
      </c>
      <c r="F1040">
        <v>0.54615000000000002</v>
      </c>
      <c r="G1040">
        <f>_xlfn.MAXIFS(Crypto[Close],Crypto[Name],Crypto[[#This Row],[Name]],Crypto[Date],"&lt;="&amp;Crypto[[#This Row],[Date]])</f>
        <v>1.1351199999999999</v>
      </c>
      <c r="H1040" s="3">
        <f>(Crypto[[#This Row],[Close]]/Crypto[[#This Row],[Peak Close]])-1</f>
        <v>-0.51886144196208317</v>
      </c>
      <c r="I1040">
        <v>0.52149999999999996</v>
      </c>
      <c r="J1040" s="1">
        <v>45965</v>
      </c>
      <c r="K1040" s="3">
        <v>4.7267497603068198E-2</v>
      </c>
      <c r="L1040">
        <v>1137029829</v>
      </c>
      <c r="M1040" s="2" t="s">
        <v>10</v>
      </c>
    </row>
    <row r="1041" spans="1:13" x14ac:dyDescent="0.3">
      <c r="A1041" s="1">
        <v>45967</v>
      </c>
      <c r="B1041" s="2" t="s">
        <v>9</v>
      </c>
      <c r="C1041">
        <v>0.54613999999999996</v>
      </c>
      <c r="D1041">
        <v>0.54613999999999996</v>
      </c>
      <c r="E1041">
        <v>0.51898</v>
      </c>
      <c r="F1041">
        <v>0.53098000000000001</v>
      </c>
      <c r="G1041">
        <f>_xlfn.MAXIFS(Crypto[Close],Crypto[Name],Crypto[[#This Row],[Name]],Crypto[Date],"&lt;="&amp;Crypto[[#This Row],[Date]])</f>
        <v>1.1351199999999999</v>
      </c>
      <c r="H1041" s="3">
        <f>(Crypto[[#This Row],[Close]]/Crypto[[#This Row],[Peak Close]])-1</f>
        <v>-0.53222566777080837</v>
      </c>
      <c r="I1041">
        <v>0.54615000000000002</v>
      </c>
      <c r="J1041" s="1">
        <v>45966</v>
      </c>
      <c r="K1041" s="3">
        <v>-2.77762519454363E-2</v>
      </c>
      <c r="L1041">
        <v>872096877</v>
      </c>
      <c r="M1041" s="2" t="s">
        <v>10</v>
      </c>
    </row>
    <row r="1042" spans="1:13" x14ac:dyDescent="0.3">
      <c r="A1042" s="1">
        <v>45968</v>
      </c>
      <c r="B1042" s="2" t="s">
        <v>9</v>
      </c>
      <c r="C1042">
        <v>0.53098999999999996</v>
      </c>
      <c r="D1042">
        <v>0.58550999999999997</v>
      </c>
      <c r="E1042">
        <v>0.52081</v>
      </c>
      <c r="F1042">
        <v>0.57601000000000002</v>
      </c>
      <c r="G1042">
        <f>_xlfn.MAXIFS(Crypto[Close],Crypto[Name],Crypto[[#This Row],[Name]],Crypto[Date],"&lt;="&amp;Crypto[[#This Row],[Date]])</f>
        <v>1.1351199999999999</v>
      </c>
      <c r="H1042" s="3">
        <f>(Crypto[[#This Row],[Close]]/Crypto[[#This Row],[Peak Close]])-1</f>
        <v>-0.49255585312566064</v>
      </c>
      <c r="I1042">
        <v>0.53098000000000001</v>
      </c>
      <c r="J1042" s="1">
        <v>45967</v>
      </c>
      <c r="K1042" s="3">
        <v>8.4805454066066599E-2</v>
      </c>
      <c r="L1042">
        <v>1278710472</v>
      </c>
      <c r="M1042" s="2" t="s">
        <v>10</v>
      </c>
    </row>
    <row r="1043" spans="1:13" x14ac:dyDescent="0.3">
      <c r="A1043" s="1">
        <v>45969</v>
      </c>
      <c r="B1043" s="2" t="s">
        <v>9</v>
      </c>
      <c r="C1043">
        <v>0.57596999999999998</v>
      </c>
      <c r="D1043">
        <v>0.59148999999999996</v>
      </c>
      <c r="E1043">
        <v>0.55501</v>
      </c>
      <c r="F1043">
        <v>0.56842000000000004</v>
      </c>
      <c r="G1043">
        <f>_xlfn.MAXIFS(Crypto[Close],Crypto[Name],Crypto[[#This Row],[Name]],Crypto[Date],"&lt;="&amp;Crypto[[#This Row],[Date]])</f>
        <v>1.1351199999999999</v>
      </c>
      <c r="H1043" s="3">
        <f>(Crypto[[#This Row],[Close]]/Crypto[[#This Row],[Peak Close]])-1</f>
        <v>-0.49924237085065892</v>
      </c>
      <c r="I1043">
        <v>0.57601000000000002</v>
      </c>
      <c r="J1043" s="1">
        <v>45968</v>
      </c>
      <c r="K1043" s="3">
        <v>-1.3176854568496999E-2</v>
      </c>
      <c r="L1043">
        <v>784247690</v>
      </c>
      <c r="M1043" s="2" t="s">
        <v>10</v>
      </c>
    </row>
    <row r="1044" spans="1:13" x14ac:dyDescent="0.3">
      <c r="A1044" s="1">
        <v>45970</v>
      </c>
      <c r="B1044" s="2" t="s">
        <v>9</v>
      </c>
      <c r="C1044">
        <v>0.56845000000000001</v>
      </c>
      <c r="D1044">
        <v>0.58347000000000004</v>
      </c>
      <c r="E1044">
        <v>0.54947000000000001</v>
      </c>
      <c r="F1044">
        <v>0.57862999999999998</v>
      </c>
      <c r="G1044">
        <f>_xlfn.MAXIFS(Crypto[Close],Crypto[Name],Crypto[[#This Row],[Name]],Crypto[Date],"&lt;="&amp;Crypto[[#This Row],[Date]])</f>
        <v>1.1351199999999999</v>
      </c>
      <c r="H1044" s="3">
        <f>(Crypto[[#This Row],[Close]]/Crypto[[#This Row],[Peak Close]])-1</f>
        <v>-0.49024772711255193</v>
      </c>
      <c r="I1044">
        <v>0.56842000000000004</v>
      </c>
      <c r="J1044" s="1">
        <v>45969</v>
      </c>
      <c r="K1044" s="3">
        <v>1.7962070300130101E-2</v>
      </c>
      <c r="L1044">
        <v>714096111</v>
      </c>
      <c r="M1044" s="2" t="s">
        <v>10</v>
      </c>
    </row>
    <row r="1045" spans="1:13" x14ac:dyDescent="0.3">
      <c r="A1045" s="1">
        <v>45971</v>
      </c>
      <c r="B1045" s="2" t="s">
        <v>9</v>
      </c>
      <c r="C1045">
        <v>0.57867000000000002</v>
      </c>
      <c r="D1045">
        <v>0.60128000000000004</v>
      </c>
      <c r="E1045">
        <v>0.57647999999999999</v>
      </c>
      <c r="F1045">
        <v>0.59297</v>
      </c>
      <c r="G1045">
        <f>_xlfn.MAXIFS(Crypto[Close],Crypto[Name],Crypto[[#This Row],[Name]],Crypto[Date],"&lt;="&amp;Crypto[[#This Row],[Date]])</f>
        <v>1.1351199999999999</v>
      </c>
      <c r="H1045" s="3">
        <f>(Crypto[[#This Row],[Close]]/Crypto[[#This Row],[Peak Close]])-1</f>
        <v>-0.4776147015293537</v>
      </c>
      <c r="I1045">
        <v>0.57862999999999998</v>
      </c>
      <c r="J1045" s="1">
        <v>45970</v>
      </c>
      <c r="K1045" s="3">
        <v>2.4782676321656399E-2</v>
      </c>
      <c r="L1045">
        <v>831314134</v>
      </c>
      <c r="M1045" s="2" t="s">
        <v>10</v>
      </c>
    </row>
    <row r="1046" spans="1:13" x14ac:dyDescent="0.3">
      <c r="A1046" s="1">
        <v>45972</v>
      </c>
      <c r="B1046" s="2" t="s">
        <v>9</v>
      </c>
      <c r="C1046">
        <v>0.59297999999999995</v>
      </c>
      <c r="D1046">
        <v>0.60521999999999998</v>
      </c>
      <c r="E1046">
        <v>0.55479000000000001</v>
      </c>
      <c r="F1046">
        <v>0.55652999999999997</v>
      </c>
      <c r="G1046">
        <f>_xlfn.MAXIFS(Crypto[Close],Crypto[Name],Crypto[[#This Row],[Name]],Crypto[Date],"&lt;="&amp;Crypto[[#This Row],[Date]])</f>
        <v>1.1351199999999999</v>
      </c>
      <c r="H1046" s="3">
        <f>(Crypto[[#This Row],[Close]]/Crypto[[#This Row],[Peak Close]])-1</f>
        <v>-0.50971703432236237</v>
      </c>
      <c r="I1046">
        <v>0.59297</v>
      </c>
      <c r="J1046" s="1">
        <v>45971</v>
      </c>
      <c r="K1046" s="3">
        <v>-6.1453361890146302E-2</v>
      </c>
      <c r="L1046">
        <v>857150089</v>
      </c>
      <c r="M1046" s="2" t="s">
        <v>10</v>
      </c>
    </row>
    <row r="1047" spans="1:13" x14ac:dyDescent="0.3">
      <c r="A1047" s="1">
        <v>45973</v>
      </c>
      <c r="B1047" s="2" t="s">
        <v>9</v>
      </c>
      <c r="C1047">
        <v>0.55652000000000001</v>
      </c>
      <c r="D1047">
        <v>0.58013999999999999</v>
      </c>
      <c r="E1047">
        <v>0.54059000000000001</v>
      </c>
      <c r="F1047">
        <v>0.54525999999999997</v>
      </c>
      <c r="G1047">
        <f>_xlfn.MAXIFS(Crypto[Close],Crypto[Name],Crypto[[#This Row],[Name]],Crypto[Date],"&lt;="&amp;Crypto[[#This Row],[Date]])</f>
        <v>1.1351199999999999</v>
      </c>
      <c r="H1047" s="3">
        <f>(Crypto[[#This Row],[Close]]/Crypto[[#This Row],[Peak Close]])-1</f>
        <v>-0.51964550003523857</v>
      </c>
      <c r="I1047">
        <v>0.55652999999999997</v>
      </c>
      <c r="J1047" s="1">
        <v>45972</v>
      </c>
      <c r="K1047" s="3">
        <v>-2.0250480656927802E-2</v>
      </c>
      <c r="L1047">
        <v>766808820</v>
      </c>
      <c r="M1047" s="2" t="s">
        <v>10</v>
      </c>
    </row>
    <row r="1048" spans="1:13" x14ac:dyDescent="0.3">
      <c r="A1048" s="1">
        <v>45974</v>
      </c>
      <c r="B1048" s="2" t="s">
        <v>9</v>
      </c>
      <c r="C1048">
        <v>0.54525999999999997</v>
      </c>
      <c r="D1048">
        <v>0.57008999999999999</v>
      </c>
      <c r="E1048">
        <v>0.51720999999999995</v>
      </c>
      <c r="F1048">
        <v>0.53110999999999997</v>
      </c>
      <c r="G1048">
        <f>_xlfn.MAXIFS(Crypto[Close],Crypto[Name],Crypto[[#This Row],[Name]],Crypto[Date],"&lt;="&amp;Crypto[[#This Row],[Date]])</f>
        <v>1.1351199999999999</v>
      </c>
      <c r="H1048" s="3">
        <f>(Crypto[[#This Row],[Close]]/Crypto[[#This Row],[Peak Close]])-1</f>
        <v>-0.53211114243428004</v>
      </c>
      <c r="I1048">
        <v>0.54525999999999997</v>
      </c>
      <c r="J1048" s="1">
        <v>45973</v>
      </c>
      <c r="K1048" s="3">
        <v>-2.5950922495690101E-2</v>
      </c>
      <c r="L1048">
        <v>1056326483</v>
      </c>
      <c r="M1048" s="2" t="s">
        <v>10</v>
      </c>
    </row>
    <row r="1049" spans="1:13" x14ac:dyDescent="0.3">
      <c r="A1049" s="1">
        <v>45975</v>
      </c>
      <c r="B1049" s="2" t="s">
        <v>9</v>
      </c>
      <c r="C1049">
        <v>0.53110000000000002</v>
      </c>
      <c r="D1049">
        <v>0.53208999999999995</v>
      </c>
      <c r="E1049">
        <v>0.49436999999999998</v>
      </c>
      <c r="F1049">
        <v>0.49841999999999997</v>
      </c>
      <c r="G1049">
        <f>_xlfn.MAXIFS(Crypto[Close],Crypto[Name],Crypto[[#This Row],[Name]],Crypto[Date],"&lt;="&amp;Crypto[[#This Row],[Date]])</f>
        <v>1.1351199999999999</v>
      </c>
      <c r="H1049" s="3">
        <f>(Crypto[[#This Row],[Close]]/Crypto[[#This Row],[Peak Close]])-1</f>
        <v>-0.56090985975051089</v>
      </c>
      <c r="I1049">
        <v>0.53110999999999997</v>
      </c>
      <c r="J1049" s="1">
        <v>45974</v>
      </c>
      <c r="K1049" s="3">
        <v>-6.1550337971418401E-2</v>
      </c>
      <c r="L1049">
        <v>1192463993</v>
      </c>
      <c r="M1049" s="2" t="s">
        <v>10</v>
      </c>
    </row>
    <row r="1050" spans="1:13" x14ac:dyDescent="0.3">
      <c r="A1050" s="1">
        <v>45976</v>
      </c>
      <c r="B1050" s="2" t="s">
        <v>9</v>
      </c>
      <c r="C1050">
        <v>0.49842999999999998</v>
      </c>
      <c r="D1050">
        <v>0.51427</v>
      </c>
      <c r="E1050">
        <v>0.49808000000000002</v>
      </c>
      <c r="F1050">
        <v>0.50339999999999996</v>
      </c>
      <c r="G1050">
        <f>_xlfn.MAXIFS(Crypto[Close],Crypto[Name],Crypto[[#This Row],[Name]],Crypto[Date],"&lt;="&amp;Crypto[[#This Row],[Date]])</f>
        <v>1.1351199999999999</v>
      </c>
      <c r="H1050" s="3">
        <f>(Crypto[[#This Row],[Close]]/Crypto[[#This Row],[Peak Close]])-1</f>
        <v>-0.55652265839735005</v>
      </c>
      <c r="I1050">
        <v>0.49841999999999997</v>
      </c>
      <c r="J1050" s="1">
        <v>45975</v>
      </c>
      <c r="K1050" s="3">
        <v>9.9915733718550295E-3</v>
      </c>
      <c r="L1050">
        <v>711753171</v>
      </c>
      <c r="M1050" s="2" t="s">
        <v>10</v>
      </c>
    </row>
    <row r="1051" spans="1:13" x14ac:dyDescent="0.3">
      <c r="A1051" s="1">
        <v>45977</v>
      </c>
      <c r="B1051" s="2" t="s">
        <v>9</v>
      </c>
      <c r="C1051">
        <v>0.50339999999999996</v>
      </c>
      <c r="D1051">
        <v>0.50836999999999999</v>
      </c>
      <c r="E1051">
        <v>0.47609000000000001</v>
      </c>
      <c r="F1051">
        <v>0.48485</v>
      </c>
      <c r="G1051">
        <f>_xlfn.MAXIFS(Crypto[Close],Crypto[Name],Crypto[[#This Row],[Name]],Crypto[Date],"&lt;="&amp;Crypto[[#This Row],[Date]])</f>
        <v>1.1351199999999999</v>
      </c>
      <c r="H1051" s="3">
        <f>(Crypto[[#This Row],[Close]]/Crypto[[#This Row],[Peak Close]])-1</f>
        <v>-0.5728645429558108</v>
      </c>
      <c r="I1051">
        <v>0.50339999999999996</v>
      </c>
      <c r="J1051" s="1">
        <v>45976</v>
      </c>
      <c r="K1051" s="3">
        <v>-3.6849423917361797E-2</v>
      </c>
      <c r="L1051">
        <v>1034979545</v>
      </c>
      <c r="M1051" s="2" t="s">
        <v>10</v>
      </c>
    </row>
    <row r="1052" spans="1:13" x14ac:dyDescent="0.3">
      <c r="A1052" s="1">
        <v>45978</v>
      </c>
      <c r="B1052" s="2" t="s">
        <v>9</v>
      </c>
      <c r="C1052">
        <v>0.48482999999999998</v>
      </c>
      <c r="D1052">
        <v>0.49719999999999998</v>
      </c>
      <c r="E1052">
        <v>0.45813999999999999</v>
      </c>
      <c r="F1052">
        <v>0.46553</v>
      </c>
      <c r="G1052">
        <f>_xlfn.MAXIFS(Crypto[Close],Crypto[Name],Crypto[[#This Row],[Name]],Crypto[Date],"&lt;="&amp;Crypto[[#This Row],[Date]])</f>
        <v>1.1351199999999999</v>
      </c>
      <c r="H1052" s="3">
        <f>(Crypto[[#This Row],[Close]]/Crypto[[#This Row],[Peak Close]])-1</f>
        <v>-0.58988476989216998</v>
      </c>
      <c r="I1052">
        <v>0.48485</v>
      </c>
      <c r="J1052" s="1">
        <v>45977</v>
      </c>
      <c r="K1052" s="3">
        <v>-3.9847375476951601E-2</v>
      </c>
      <c r="L1052">
        <v>1209943614</v>
      </c>
      <c r="M1052" s="2" t="s">
        <v>10</v>
      </c>
    </row>
    <row r="1053" spans="1:13" x14ac:dyDescent="0.3">
      <c r="A1053" s="1">
        <v>45979</v>
      </c>
      <c r="B1053" s="2" t="s">
        <v>9</v>
      </c>
      <c r="C1053">
        <v>0.46553</v>
      </c>
      <c r="D1053">
        <v>0.48122999999999999</v>
      </c>
      <c r="E1053">
        <v>0.45867000000000002</v>
      </c>
      <c r="F1053">
        <v>0.47498000000000001</v>
      </c>
      <c r="G1053">
        <f>_xlfn.MAXIFS(Crypto[Close],Crypto[Name],Crypto[[#This Row],[Name]],Crypto[Date],"&lt;="&amp;Crypto[[#This Row],[Date]])</f>
        <v>1.1351199999999999</v>
      </c>
      <c r="H1053" s="3">
        <f>(Crypto[[#This Row],[Close]]/Crypto[[#This Row],[Peak Close]])-1</f>
        <v>-0.58155965889068995</v>
      </c>
      <c r="I1053">
        <v>0.46553</v>
      </c>
      <c r="J1053" s="1">
        <v>45978</v>
      </c>
      <c r="K1053" s="3">
        <v>2.0299443644877901E-2</v>
      </c>
      <c r="L1053">
        <v>1101225671</v>
      </c>
      <c r="M1053" s="2" t="s">
        <v>10</v>
      </c>
    </row>
    <row r="1054" spans="1:13" x14ac:dyDescent="0.3">
      <c r="A1054" s="1">
        <v>45980</v>
      </c>
      <c r="B1054" s="2" t="s">
        <v>9</v>
      </c>
      <c r="C1054">
        <v>0.47497</v>
      </c>
      <c r="D1054">
        <v>0.47617999999999999</v>
      </c>
      <c r="E1054">
        <v>0.43897000000000003</v>
      </c>
      <c r="F1054">
        <v>0.46323999999999999</v>
      </c>
      <c r="G1054">
        <f>_xlfn.MAXIFS(Crypto[Close],Crypto[Name],Crypto[[#This Row],[Name]],Crypto[Date],"&lt;="&amp;Crypto[[#This Row],[Date]])</f>
        <v>1.1351199999999999</v>
      </c>
      <c r="H1054" s="3">
        <f>(Crypto[[#This Row],[Close]]/Crypto[[#This Row],[Peak Close]])-1</f>
        <v>-0.59190217774332221</v>
      </c>
      <c r="I1054">
        <v>0.47498000000000001</v>
      </c>
      <c r="J1054" s="1">
        <v>45979</v>
      </c>
      <c r="K1054" s="3">
        <v>-2.4716830182323499E-2</v>
      </c>
      <c r="L1054">
        <v>1037561742</v>
      </c>
      <c r="M1054" s="2" t="s">
        <v>10</v>
      </c>
    </row>
    <row r="1055" spans="1:13" x14ac:dyDescent="0.3">
      <c r="A1055" s="1">
        <v>45981</v>
      </c>
      <c r="B1055" s="2" t="s">
        <v>9</v>
      </c>
      <c r="C1055">
        <v>0.46323999999999999</v>
      </c>
      <c r="D1055">
        <v>0.46997</v>
      </c>
      <c r="E1055">
        <v>0.42964000000000002</v>
      </c>
      <c r="F1055">
        <v>0.43240000000000001</v>
      </c>
      <c r="G1055">
        <f>_xlfn.MAXIFS(Crypto[Close],Crypto[Name],Crypto[[#This Row],[Name]],Crypto[Date],"&lt;="&amp;Crypto[[#This Row],[Date]])</f>
        <v>1.1351199999999999</v>
      </c>
      <c r="H1055" s="3">
        <f>(Crypto[[#This Row],[Close]]/Crypto[[#This Row],[Peak Close]])-1</f>
        <v>-0.61907111142434279</v>
      </c>
      <c r="I1055">
        <v>0.46323999999999999</v>
      </c>
      <c r="J1055" s="1">
        <v>45980</v>
      </c>
      <c r="K1055" s="3">
        <v>-6.6574561782229494E-2</v>
      </c>
      <c r="L1055">
        <v>988316139</v>
      </c>
      <c r="M1055" s="2" t="s">
        <v>10</v>
      </c>
    </row>
    <row r="1056" spans="1:13" x14ac:dyDescent="0.3">
      <c r="A1056" s="1">
        <v>45982</v>
      </c>
      <c r="B1056" s="2" t="s">
        <v>9</v>
      </c>
      <c r="C1056">
        <v>0.43232999999999999</v>
      </c>
      <c r="D1056">
        <v>0.43802000000000002</v>
      </c>
      <c r="E1056">
        <v>0.39112000000000002</v>
      </c>
      <c r="F1056">
        <v>0.40915000000000001</v>
      </c>
      <c r="G1056">
        <f>_xlfn.MAXIFS(Crypto[Close],Crypto[Name],Crypto[[#This Row],[Name]],Crypto[Date],"&lt;="&amp;Crypto[[#This Row],[Date]])</f>
        <v>1.1351199999999999</v>
      </c>
      <c r="H1056" s="3">
        <f>(Crypto[[#This Row],[Close]]/Crypto[[#This Row],[Peak Close]])-1</f>
        <v>-0.63955352738036497</v>
      </c>
      <c r="I1056">
        <v>0.43240000000000001</v>
      </c>
      <c r="J1056" s="1">
        <v>45981</v>
      </c>
      <c r="K1056" s="3">
        <v>-5.3769657724329303E-2</v>
      </c>
      <c r="L1056">
        <v>1770073071</v>
      </c>
      <c r="M1056" s="2" t="s">
        <v>10</v>
      </c>
    </row>
    <row r="1057" spans="1:13" x14ac:dyDescent="0.3">
      <c r="A1057" s="1">
        <v>45983</v>
      </c>
      <c r="B1057" s="2" t="s">
        <v>9</v>
      </c>
      <c r="C1057">
        <v>0.40916999999999998</v>
      </c>
      <c r="D1057">
        <v>0.41176000000000001</v>
      </c>
      <c r="E1057">
        <v>0.39167000000000002</v>
      </c>
      <c r="F1057">
        <v>0.40461000000000003</v>
      </c>
      <c r="G1057">
        <f>_xlfn.MAXIFS(Crypto[Close],Crypto[Name],Crypto[[#This Row],[Name]],Crypto[Date],"&lt;="&amp;Crypto[[#This Row],[Date]])</f>
        <v>1.1351199999999999</v>
      </c>
      <c r="H1057" s="3">
        <f>(Crypto[[#This Row],[Close]]/Crypto[[#This Row],[Peak Close]])-1</f>
        <v>-0.64355310451758396</v>
      </c>
      <c r="I1057">
        <v>0.40915000000000001</v>
      </c>
      <c r="J1057" s="1">
        <v>45982</v>
      </c>
      <c r="K1057" s="3">
        <v>-1.10961749969449E-2</v>
      </c>
      <c r="L1057">
        <v>553773916</v>
      </c>
      <c r="M1057" s="2" t="s">
        <v>10</v>
      </c>
    </row>
    <row r="1058" spans="1:13" x14ac:dyDescent="0.3">
      <c r="A1058" s="1">
        <v>45984</v>
      </c>
      <c r="B1058" s="2" t="s">
        <v>9</v>
      </c>
      <c r="C1058">
        <v>0.40461000000000003</v>
      </c>
      <c r="D1058">
        <v>0.41769000000000001</v>
      </c>
      <c r="E1058">
        <v>0.40209</v>
      </c>
      <c r="F1058">
        <v>0.40855000000000002</v>
      </c>
      <c r="G1058">
        <f>_xlfn.MAXIFS(Crypto[Close],Crypto[Name],Crypto[[#This Row],[Name]],Crypto[Date],"&lt;="&amp;Crypto[[#This Row],[Date]])</f>
        <v>1.1351199999999999</v>
      </c>
      <c r="H1058" s="3">
        <f>(Crypto[[#This Row],[Close]]/Crypto[[#This Row],[Peak Close]])-1</f>
        <v>-0.64008210585664949</v>
      </c>
      <c r="I1058">
        <v>0.40461000000000003</v>
      </c>
      <c r="J1058" s="1">
        <v>45983</v>
      </c>
      <c r="K1058" s="3">
        <v>9.7377721756753393E-3</v>
      </c>
      <c r="L1058">
        <v>646391172</v>
      </c>
      <c r="M1058" s="2" t="s">
        <v>10</v>
      </c>
    </row>
    <row r="1059" spans="1:13" x14ac:dyDescent="0.3">
      <c r="A1059" s="1">
        <v>45985</v>
      </c>
      <c r="B1059" s="2" t="s">
        <v>9</v>
      </c>
      <c r="C1059">
        <v>0.40855999999999998</v>
      </c>
      <c r="D1059">
        <v>0.43358999999999998</v>
      </c>
      <c r="E1059">
        <v>0.40429999999999999</v>
      </c>
      <c r="F1059">
        <v>0.42784</v>
      </c>
      <c r="G1059">
        <f>_xlfn.MAXIFS(Crypto[Close],Crypto[Name],Crypto[[#This Row],[Name]],Crypto[Date],"&lt;="&amp;Crypto[[#This Row],[Date]])</f>
        <v>1.1351199999999999</v>
      </c>
      <c r="H1059" s="3">
        <f>(Crypto[[#This Row],[Close]]/Crypto[[#This Row],[Peak Close]])-1</f>
        <v>-0.62308830784410452</v>
      </c>
      <c r="I1059">
        <v>0.40855000000000002</v>
      </c>
      <c r="J1059" s="1">
        <v>45984</v>
      </c>
      <c r="K1059" s="3">
        <v>4.7215763064496298E-2</v>
      </c>
      <c r="L1059">
        <v>814509902</v>
      </c>
      <c r="M1059" s="2" t="s">
        <v>10</v>
      </c>
    </row>
    <row r="1060" spans="1:13" x14ac:dyDescent="0.3">
      <c r="A1060" s="1">
        <v>45986</v>
      </c>
      <c r="B1060" s="2" t="s">
        <v>9</v>
      </c>
      <c r="C1060">
        <v>0.42784</v>
      </c>
      <c r="D1060">
        <v>0.42862</v>
      </c>
      <c r="E1060">
        <v>0.40588000000000002</v>
      </c>
      <c r="F1060">
        <v>0.42161999999999999</v>
      </c>
      <c r="G1060">
        <f>_xlfn.MAXIFS(Crypto[Close],Crypto[Name],Crypto[[#This Row],[Name]],Crypto[Date],"&lt;="&amp;Crypto[[#This Row],[Date]])</f>
        <v>1.1351199999999999</v>
      </c>
      <c r="H1060" s="3">
        <f>(Crypto[[#This Row],[Close]]/Crypto[[#This Row],[Peak Close]])-1</f>
        <v>-0.62856790471491997</v>
      </c>
      <c r="I1060">
        <v>0.42784</v>
      </c>
      <c r="J1060" s="1">
        <v>45985</v>
      </c>
      <c r="K1060" s="3">
        <v>-1.4538145100972301E-2</v>
      </c>
      <c r="L1060">
        <v>652730619</v>
      </c>
      <c r="M1060" s="2" t="s">
        <v>10</v>
      </c>
    </row>
    <row r="1061" spans="1:13" x14ac:dyDescent="0.3">
      <c r="A1061" s="1">
        <v>45987</v>
      </c>
      <c r="B1061" s="2" t="s">
        <v>9</v>
      </c>
      <c r="C1061">
        <v>0.42161999999999999</v>
      </c>
      <c r="D1061">
        <v>0.43658000000000002</v>
      </c>
      <c r="E1061">
        <v>0.41166000000000003</v>
      </c>
      <c r="F1061">
        <v>0.43562000000000001</v>
      </c>
      <c r="G1061">
        <f>_xlfn.MAXIFS(Crypto[Close],Crypto[Name],Crypto[[#This Row],[Name]],Crypto[Date],"&lt;="&amp;Crypto[[#This Row],[Date]])</f>
        <v>1.1351199999999999</v>
      </c>
      <c r="H1061" s="3">
        <f>(Crypto[[#This Row],[Close]]/Crypto[[#This Row],[Peak Close]])-1</f>
        <v>-0.61623440693494957</v>
      </c>
      <c r="I1061">
        <v>0.42161999999999999</v>
      </c>
      <c r="J1061" s="1">
        <v>45986</v>
      </c>
      <c r="K1061" s="3">
        <v>3.3205255917651E-2</v>
      </c>
      <c r="L1061">
        <v>582375709</v>
      </c>
      <c r="M1061" s="2" t="s">
        <v>10</v>
      </c>
    </row>
    <row r="1062" spans="1:13" x14ac:dyDescent="0.3">
      <c r="A1062" s="1">
        <v>45988</v>
      </c>
      <c r="B1062" s="2" t="s">
        <v>9</v>
      </c>
      <c r="C1062">
        <v>0.43562000000000001</v>
      </c>
      <c r="D1062">
        <v>0.43846000000000002</v>
      </c>
      <c r="E1062">
        <v>0.42720999999999998</v>
      </c>
      <c r="F1062">
        <v>0.43369000000000002</v>
      </c>
      <c r="G1062">
        <f>_xlfn.MAXIFS(Crypto[Close],Crypto[Name],Crypto[[#This Row],[Name]],Crypto[Date],"&lt;="&amp;Crypto[[#This Row],[Date]])</f>
        <v>1.1351199999999999</v>
      </c>
      <c r="H1062" s="3">
        <f>(Crypto[[#This Row],[Close]]/Crypto[[#This Row],[Peak Close]])-1</f>
        <v>-0.61793466770033123</v>
      </c>
      <c r="I1062">
        <v>0.43562000000000001</v>
      </c>
      <c r="J1062" s="1">
        <v>45987</v>
      </c>
      <c r="K1062" s="3">
        <v>-4.4304669207106797E-3</v>
      </c>
      <c r="L1062">
        <v>482157613</v>
      </c>
      <c r="M1062" s="2" t="s">
        <v>10</v>
      </c>
    </row>
    <row r="1063" spans="1:13" x14ac:dyDescent="0.3">
      <c r="A1063" s="1">
        <v>45989</v>
      </c>
      <c r="B1063" s="2" t="s">
        <v>9</v>
      </c>
      <c r="C1063">
        <v>0.43368000000000001</v>
      </c>
      <c r="D1063">
        <v>0.43524000000000002</v>
      </c>
      <c r="E1063">
        <v>0.41615999999999997</v>
      </c>
      <c r="F1063">
        <v>0.42022999999999999</v>
      </c>
      <c r="G1063">
        <f>_xlfn.MAXIFS(Crypto[Close],Crypto[Name],Crypto[[#This Row],[Name]],Crypto[Date],"&lt;="&amp;Crypto[[#This Row],[Date]])</f>
        <v>1.1351199999999999</v>
      </c>
      <c r="H1063" s="3">
        <f>(Crypto[[#This Row],[Close]]/Crypto[[#This Row],[Peak Close]])-1</f>
        <v>-0.62979244485164565</v>
      </c>
      <c r="I1063">
        <v>0.43369000000000002</v>
      </c>
      <c r="J1063" s="1">
        <v>45988</v>
      </c>
      <c r="K1063" s="3">
        <v>-3.10359934515438E-2</v>
      </c>
      <c r="L1063">
        <v>624407301</v>
      </c>
      <c r="M1063" s="2" t="s">
        <v>10</v>
      </c>
    </row>
    <row r="1064" spans="1:13" x14ac:dyDescent="0.3">
      <c r="A1064" s="1">
        <v>45990</v>
      </c>
      <c r="B1064" s="2" t="s">
        <v>9</v>
      </c>
      <c r="C1064">
        <v>0.42022999999999999</v>
      </c>
      <c r="D1064">
        <v>0.42157</v>
      </c>
      <c r="E1064">
        <v>0.41303000000000001</v>
      </c>
      <c r="F1064">
        <v>0.41538000000000003</v>
      </c>
      <c r="G1064">
        <f>_xlfn.MAXIFS(Crypto[Close],Crypto[Name],Crypto[[#This Row],[Name]],Crypto[Date],"&lt;="&amp;Crypto[[#This Row],[Date]])</f>
        <v>1.1351199999999999</v>
      </c>
      <c r="H1064" s="3">
        <f>(Crypto[[#This Row],[Close]]/Crypto[[#This Row],[Peak Close]])-1</f>
        <v>-0.63406512086827815</v>
      </c>
      <c r="I1064">
        <v>0.42022999999999999</v>
      </c>
      <c r="J1064" s="1">
        <v>45989</v>
      </c>
      <c r="K1064" s="3">
        <v>-1.15412988125549E-2</v>
      </c>
      <c r="L1064">
        <v>379239805</v>
      </c>
      <c r="M1064" s="2" t="s">
        <v>10</v>
      </c>
    </row>
    <row r="1065" spans="1:13" x14ac:dyDescent="0.3">
      <c r="A1065" s="1">
        <v>45991</v>
      </c>
      <c r="B1065" s="2" t="s">
        <v>9</v>
      </c>
      <c r="C1065">
        <v>0.41538000000000003</v>
      </c>
      <c r="D1065">
        <v>0.42709000000000003</v>
      </c>
      <c r="E1065">
        <v>0.41446</v>
      </c>
      <c r="F1065">
        <v>0.41588999999999998</v>
      </c>
      <c r="G1065">
        <f>_xlfn.MAXIFS(Crypto[Close],Crypto[Name],Crypto[[#This Row],[Name]],Crypto[Date],"&lt;="&amp;Crypto[[#This Row],[Date]])</f>
        <v>1.1351199999999999</v>
      </c>
      <c r="H1065" s="3">
        <f>(Crypto[[#This Row],[Close]]/Crypto[[#This Row],[Peak Close]])-1</f>
        <v>-0.63361582916343639</v>
      </c>
      <c r="I1065">
        <v>0.41538000000000003</v>
      </c>
      <c r="J1065" s="1">
        <v>45990</v>
      </c>
      <c r="K1065" s="3">
        <v>1.2277914199045599E-3</v>
      </c>
      <c r="L1065">
        <v>397706532</v>
      </c>
      <c r="M1065" s="2" t="s">
        <v>10</v>
      </c>
    </row>
    <row r="1066" spans="1:13" x14ac:dyDescent="0.3">
      <c r="A1066" s="1">
        <v>45992</v>
      </c>
      <c r="B1066" s="2" t="s">
        <v>9</v>
      </c>
      <c r="C1066">
        <v>0.41588999999999998</v>
      </c>
      <c r="D1066">
        <v>0.41588999999999998</v>
      </c>
      <c r="E1066">
        <v>0.37192999999999998</v>
      </c>
      <c r="F1066">
        <v>0.38571</v>
      </c>
      <c r="G1066">
        <f>_xlfn.MAXIFS(Crypto[Close],Crypto[Name],Crypto[[#This Row],[Name]],Crypto[Date],"&lt;="&amp;Crypto[[#This Row],[Date]])</f>
        <v>1.1351199999999999</v>
      </c>
      <c r="H1066" s="3">
        <f>(Crypto[[#This Row],[Close]]/Crypto[[#This Row],[Peak Close]])-1</f>
        <v>-0.66020332652054403</v>
      </c>
      <c r="I1066">
        <v>0.41588999999999998</v>
      </c>
      <c r="J1066" s="1">
        <v>45991</v>
      </c>
      <c r="K1066" s="3">
        <v>-7.2567265382673302E-2</v>
      </c>
      <c r="L1066">
        <v>965561899</v>
      </c>
      <c r="M1066" s="2" t="s">
        <v>10</v>
      </c>
    </row>
    <row r="1067" spans="1:13" x14ac:dyDescent="0.3">
      <c r="A1067" s="1">
        <v>45993</v>
      </c>
      <c r="B1067" s="2" t="s">
        <v>9</v>
      </c>
      <c r="C1067">
        <v>0.38571</v>
      </c>
      <c r="D1067">
        <v>0.43836999999999998</v>
      </c>
      <c r="E1067">
        <v>0.38568999999999998</v>
      </c>
      <c r="F1067">
        <v>0.43396000000000001</v>
      </c>
      <c r="G1067">
        <f>_xlfn.MAXIFS(Crypto[Close],Crypto[Name],Crypto[[#This Row],[Name]],Crypto[Date],"&lt;="&amp;Crypto[[#This Row],[Date]])</f>
        <v>1.1351199999999999</v>
      </c>
      <c r="H1067" s="3">
        <f>(Crypto[[#This Row],[Close]]/Crypto[[#This Row],[Peak Close]])-1</f>
        <v>-0.61769680738600319</v>
      </c>
      <c r="I1067">
        <v>0.38571</v>
      </c>
      <c r="J1067" s="1">
        <v>45992</v>
      </c>
      <c r="K1067" s="3">
        <v>0.12509398252573201</v>
      </c>
      <c r="L1067">
        <v>837346960</v>
      </c>
      <c r="M1067" s="2" t="s">
        <v>10</v>
      </c>
    </row>
    <row r="1068" spans="1:13" x14ac:dyDescent="0.3">
      <c r="A1068" s="1">
        <v>45994</v>
      </c>
      <c r="B1068" s="2" t="s">
        <v>9</v>
      </c>
      <c r="C1068">
        <v>0.43395</v>
      </c>
      <c r="D1068">
        <v>0.45315</v>
      </c>
      <c r="E1068">
        <v>0.42810999999999999</v>
      </c>
      <c r="F1068">
        <v>0.45080999999999999</v>
      </c>
      <c r="G1068">
        <f>_xlfn.MAXIFS(Crypto[Close],Crypto[Name],Crypto[[#This Row],[Name]],Crypto[Date],"&lt;="&amp;Crypto[[#This Row],[Date]])</f>
        <v>1.1351199999999999</v>
      </c>
      <c r="H1068" s="3">
        <f>(Crypto[[#This Row],[Close]]/Crypto[[#This Row],[Peak Close]])-1</f>
        <v>-0.60285256184368174</v>
      </c>
      <c r="I1068">
        <v>0.43396000000000001</v>
      </c>
      <c r="J1068" s="1">
        <v>45993</v>
      </c>
      <c r="K1068" s="3">
        <v>3.88284634528527E-2</v>
      </c>
      <c r="L1068">
        <v>817986188</v>
      </c>
      <c r="M1068" s="2" t="s">
        <v>10</v>
      </c>
    </row>
    <row r="1069" spans="1:13" x14ac:dyDescent="0.3">
      <c r="A1069" s="1">
        <v>45995</v>
      </c>
      <c r="B1069" s="2" t="s">
        <v>9</v>
      </c>
      <c r="C1069">
        <v>0.45074999999999998</v>
      </c>
      <c r="D1069">
        <v>0.45467000000000002</v>
      </c>
      <c r="E1069">
        <v>0.43558000000000002</v>
      </c>
      <c r="F1069">
        <v>0.43945000000000001</v>
      </c>
      <c r="G1069">
        <f>_xlfn.MAXIFS(Crypto[Close],Crypto[Name],Crypto[[#This Row],[Name]],Crypto[Date],"&lt;="&amp;Crypto[[#This Row],[Date]])</f>
        <v>1.1351199999999999</v>
      </c>
      <c r="H1069" s="3">
        <f>(Crypto[[#This Row],[Close]]/Crypto[[#This Row],[Peak Close]])-1</f>
        <v>-0.61286031432800048</v>
      </c>
      <c r="I1069">
        <v>0.45080999999999999</v>
      </c>
      <c r="J1069" s="1">
        <v>45994</v>
      </c>
      <c r="K1069" s="3">
        <v>-2.5199086089483302E-2</v>
      </c>
      <c r="L1069">
        <v>642155044</v>
      </c>
      <c r="M1069" s="2" t="s">
        <v>10</v>
      </c>
    </row>
    <row r="1070" spans="1:13" x14ac:dyDescent="0.3">
      <c r="A1070" s="1">
        <v>45996</v>
      </c>
      <c r="B1070" s="2" t="s">
        <v>9</v>
      </c>
      <c r="C1070">
        <v>0.43945000000000001</v>
      </c>
      <c r="D1070">
        <v>0.44235000000000002</v>
      </c>
      <c r="E1070">
        <v>0.41066000000000003</v>
      </c>
      <c r="F1070">
        <v>0.41626999999999997</v>
      </c>
      <c r="G1070">
        <f>_xlfn.MAXIFS(Crypto[Close],Crypto[Name],Crypto[[#This Row],[Name]],Crypto[Date],"&lt;="&amp;Crypto[[#This Row],[Date]])</f>
        <v>1.1351199999999999</v>
      </c>
      <c r="H1070" s="3">
        <f>(Crypto[[#This Row],[Close]]/Crypto[[#This Row],[Peak Close]])-1</f>
        <v>-0.63328106279512297</v>
      </c>
      <c r="I1070">
        <v>0.43945000000000001</v>
      </c>
      <c r="J1070" s="1">
        <v>45995</v>
      </c>
      <c r="K1070" s="3">
        <v>-5.2747752872909399E-2</v>
      </c>
      <c r="L1070">
        <v>590647098</v>
      </c>
      <c r="M1070" s="2" t="s">
        <v>10</v>
      </c>
    </row>
    <row r="1071" spans="1:13" x14ac:dyDescent="0.3">
      <c r="A1071" s="1">
        <v>45997</v>
      </c>
      <c r="B1071" s="2" t="s">
        <v>9</v>
      </c>
      <c r="C1071">
        <v>0.41626999999999997</v>
      </c>
      <c r="D1071">
        <v>0.42085</v>
      </c>
      <c r="E1071">
        <v>0.41042000000000001</v>
      </c>
      <c r="F1071">
        <v>0.41393000000000002</v>
      </c>
      <c r="G1071">
        <f>_xlfn.MAXIFS(Crypto[Close],Crypto[Name],Crypto[[#This Row],[Name]],Crypto[Date],"&lt;="&amp;Crypto[[#This Row],[Date]])</f>
        <v>1.1351199999999999</v>
      </c>
      <c r="H1071" s="3">
        <f>(Crypto[[#This Row],[Close]]/Crypto[[#This Row],[Peak Close]])-1</f>
        <v>-0.63534251885263227</v>
      </c>
      <c r="I1071">
        <v>0.41626999999999997</v>
      </c>
      <c r="J1071" s="1">
        <v>45996</v>
      </c>
      <c r="K1071" s="3">
        <v>-5.6213515266532602E-3</v>
      </c>
      <c r="L1071">
        <v>326306941</v>
      </c>
      <c r="M1071" s="2" t="s">
        <v>10</v>
      </c>
    </row>
    <row r="1072" spans="1:13" x14ac:dyDescent="0.3">
      <c r="A1072" s="1">
        <v>45998</v>
      </c>
      <c r="B1072" s="2" t="s">
        <v>9</v>
      </c>
      <c r="C1072">
        <v>0.41393000000000002</v>
      </c>
      <c r="D1072">
        <v>0.43430999999999997</v>
      </c>
      <c r="E1072">
        <v>0.40758</v>
      </c>
      <c r="F1072">
        <v>0.41681000000000001</v>
      </c>
      <c r="G1072">
        <f>_xlfn.MAXIFS(Crypto[Close],Crypto[Name],Crypto[[#This Row],[Name]],Crypto[Date],"&lt;="&amp;Crypto[[#This Row],[Date]])</f>
        <v>1.1351199999999999</v>
      </c>
      <c r="H1072" s="3">
        <f>(Crypto[[#This Row],[Close]]/Crypto[[#This Row],[Peak Close]])-1</f>
        <v>-0.632805342166467</v>
      </c>
      <c r="I1072">
        <v>0.41393000000000002</v>
      </c>
      <c r="J1072" s="1">
        <v>45997</v>
      </c>
      <c r="K1072" s="3">
        <v>6.9576981615248803E-3</v>
      </c>
      <c r="L1072">
        <v>609158162</v>
      </c>
      <c r="M1072" s="2" t="s">
        <v>10</v>
      </c>
    </row>
    <row r="1073" spans="1:13" x14ac:dyDescent="0.3">
      <c r="A1073" s="1">
        <v>45999</v>
      </c>
      <c r="B1073" s="2" t="s">
        <v>9</v>
      </c>
      <c r="C1073">
        <v>0.41682999999999998</v>
      </c>
      <c r="D1073">
        <v>0.43997999999999998</v>
      </c>
      <c r="E1073">
        <v>0.41544999999999999</v>
      </c>
      <c r="F1073">
        <v>0.43219000000000002</v>
      </c>
      <c r="G1073">
        <f>_xlfn.MAXIFS(Crypto[Close],Crypto[Name],Crypto[[#This Row],[Name]],Crypto[Date],"&lt;="&amp;Crypto[[#This Row],[Date]])</f>
        <v>1.1351199999999999</v>
      </c>
      <c r="H1073" s="3">
        <f>(Crypto[[#This Row],[Close]]/Crypto[[#This Row],[Peak Close]])-1</f>
        <v>-0.61925611389104229</v>
      </c>
      <c r="I1073">
        <v>0.41681000000000001</v>
      </c>
      <c r="J1073" s="1">
        <v>45998</v>
      </c>
      <c r="K1073" s="3">
        <v>3.6899306638516399E-2</v>
      </c>
      <c r="L1073">
        <v>627341088</v>
      </c>
      <c r="M1073" s="2" t="s">
        <v>10</v>
      </c>
    </row>
    <row r="1074" spans="1:13" x14ac:dyDescent="0.3">
      <c r="A1074" s="1">
        <v>46000</v>
      </c>
      <c r="B1074" s="2" t="s">
        <v>9</v>
      </c>
      <c r="C1074">
        <v>0.43219000000000002</v>
      </c>
      <c r="D1074">
        <v>0.48287000000000002</v>
      </c>
      <c r="E1074">
        <v>0.42464000000000002</v>
      </c>
      <c r="F1074">
        <v>0.47000999999999998</v>
      </c>
      <c r="G1074">
        <f>_xlfn.MAXIFS(Crypto[Close],Crypto[Name],Crypto[[#This Row],[Name]],Crypto[Date],"&lt;="&amp;Crypto[[#This Row],[Date]])</f>
        <v>1.1351199999999999</v>
      </c>
      <c r="H1074" s="3">
        <f>(Crypto[[#This Row],[Close]]/Crypto[[#This Row],[Peak Close]])-1</f>
        <v>-0.58593805060257942</v>
      </c>
      <c r="I1074">
        <v>0.43219000000000002</v>
      </c>
      <c r="J1074" s="1">
        <v>45999</v>
      </c>
      <c r="K1074" s="3">
        <v>8.7507809065457201E-2</v>
      </c>
      <c r="L1074">
        <v>1369159342</v>
      </c>
      <c r="M1074" s="2" t="s">
        <v>10</v>
      </c>
    </row>
    <row r="1075" spans="1:13" x14ac:dyDescent="0.3">
      <c r="A1075" s="1">
        <v>46001</v>
      </c>
      <c r="B1075" s="2" t="s">
        <v>9</v>
      </c>
      <c r="C1075">
        <v>0.47</v>
      </c>
      <c r="D1075">
        <v>0.47410000000000002</v>
      </c>
      <c r="E1075">
        <v>0.45349</v>
      </c>
      <c r="F1075">
        <v>0.45390000000000003</v>
      </c>
      <c r="G1075">
        <f>_xlfn.MAXIFS(Crypto[Close],Crypto[Name],Crypto[[#This Row],[Name]],Crypto[Date],"&lt;="&amp;Crypto[[#This Row],[Date]])</f>
        <v>1.1351199999999999</v>
      </c>
      <c r="H1075" s="3">
        <f>(Crypto[[#This Row],[Close]]/Crypto[[#This Row],[Peak Close]])-1</f>
        <v>-0.60013038269081675</v>
      </c>
      <c r="I1075">
        <v>0.47000999999999998</v>
      </c>
      <c r="J1075" s="1">
        <v>46000</v>
      </c>
      <c r="K1075" s="3">
        <v>-3.4275866470926099E-2</v>
      </c>
      <c r="L1075">
        <v>1065976755</v>
      </c>
      <c r="M1075" s="2" t="s">
        <v>10</v>
      </c>
    </row>
    <row r="1076" spans="1:13" x14ac:dyDescent="0.3">
      <c r="A1076" s="1">
        <v>46002</v>
      </c>
      <c r="B1076" s="2" t="s">
        <v>9</v>
      </c>
      <c r="C1076">
        <v>0.45390000000000003</v>
      </c>
      <c r="D1076">
        <v>0.45451999999999998</v>
      </c>
      <c r="E1076">
        <v>0.41103000000000001</v>
      </c>
      <c r="F1076">
        <v>0.42534</v>
      </c>
      <c r="G1076">
        <f>_xlfn.MAXIFS(Crypto[Close],Crypto[Name],Crypto[[#This Row],[Name]],Crypto[Date],"&lt;="&amp;Crypto[[#This Row],[Date]])</f>
        <v>1.1351199999999999</v>
      </c>
      <c r="H1076" s="3">
        <f>(Crypto[[#This Row],[Close]]/Crypto[[#This Row],[Peak Close]])-1</f>
        <v>-0.62529071816195647</v>
      </c>
      <c r="I1076">
        <v>0.45390000000000003</v>
      </c>
      <c r="J1076" s="1">
        <v>46001</v>
      </c>
      <c r="K1076" s="3">
        <v>-6.2921348314606801E-2</v>
      </c>
      <c r="L1076">
        <v>1224577869</v>
      </c>
      <c r="M1076" s="2" t="s">
        <v>10</v>
      </c>
    </row>
    <row r="1077" spans="1:13" x14ac:dyDescent="0.3">
      <c r="A1077" s="1">
        <v>46003</v>
      </c>
      <c r="B1077" s="2" t="s">
        <v>9</v>
      </c>
      <c r="C1077">
        <v>0.42537000000000003</v>
      </c>
      <c r="D1077">
        <v>0.42863000000000001</v>
      </c>
      <c r="E1077">
        <v>0.40445999999999999</v>
      </c>
      <c r="F1077">
        <v>0.40914</v>
      </c>
      <c r="G1077">
        <f>_xlfn.MAXIFS(Crypto[Close],Crypto[Name],Crypto[[#This Row],[Name]],Crypto[Date],"&lt;="&amp;Crypto[[#This Row],[Date]])</f>
        <v>1.1351199999999999</v>
      </c>
      <c r="H1077" s="3">
        <f>(Crypto[[#This Row],[Close]]/Crypto[[#This Row],[Peak Close]])-1</f>
        <v>-0.63956233702163645</v>
      </c>
      <c r="I1077">
        <v>0.42534</v>
      </c>
      <c r="J1077" s="1">
        <v>46002</v>
      </c>
      <c r="K1077" s="3">
        <v>-3.8087177316969902E-2</v>
      </c>
      <c r="L1077">
        <v>753251550</v>
      </c>
      <c r="M1077" s="2" t="s">
        <v>10</v>
      </c>
    </row>
    <row r="1078" spans="1:13" x14ac:dyDescent="0.3">
      <c r="A1078" s="1">
        <v>46004</v>
      </c>
      <c r="B1078" s="2" t="s">
        <v>9</v>
      </c>
      <c r="C1078">
        <v>0.40912999999999999</v>
      </c>
      <c r="D1078">
        <v>0.41543999999999998</v>
      </c>
      <c r="E1078">
        <v>0.40756999999999999</v>
      </c>
      <c r="F1078">
        <v>0.41105999999999998</v>
      </c>
      <c r="G1078">
        <f>_xlfn.MAXIFS(Crypto[Close],Crypto[Name],Crypto[[#This Row],[Name]],Crypto[Date],"&lt;="&amp;Crypto[[#This Row],[Date]])</f>
        <v>1.1351199999999999</v>
      </c>
      <c r="H1078" s="3">
        <f>(Crypto[[#This Row],[Close]]/Crypto[[#This Row],[Peak Close]])-1</f>
        <v>-0.63787088589752616</v>
      </c>
      <c r="I1078">
        <v>0.40914</v>
      </c>
      <c r="J1078" s="1">
        <v>46003</v>
      </c>
      <c r="K1078" s="3">
        <v>4.6927702009091701E-3</v>
      </c>
      <c r="L1078">
        <v>336899500</v>
      </c>
      <c r="M1078" s="2" t="s">
        <v>10</v>
      </c>
    </row>
    <row r="1079" spans="1:13" x14ac:dyDescent="0.3">
      <c r="A1079" s="1">
        <v>46005</v>
      </c>
      <c r="B1079" s="2" t="s">
        <v>9</v>
      </c>
      <c r="C1079">
        <v>0.41105999999999998</v>
      </c>
      <c r="D1079">
        <v>0.41121999999999997</v>
      </c>
      <c r="E1079">
        <v>0.39479999999999998</v>
      </c>
      <c r="F1079">
        <v>0.39657999999999999</v>
      </c>
      <c r="G1079">
        <f>_xlfn.MAXIFS(Crypto[Close],Crypto[Name],Crypto[[#This Row],[Name]],Crypto[Date],"&lt;="&amp;Crypto[[#This Row],[Date]])</f>
        <v>1.1351199999999999</v>
      </c>
      <c r="H1079" s="3">
        <f>(Crypto[[#This Row],[Close]]/Crypto[[#This Row],[Peak Close]])-1</f>
        <v>-0.65062724645852421</v>
      </c>
      <c r="I1079">
        <v>0.41105999999999998</v>
      </c>
      <c r="J1079" s="1">
        <v>46004</v>
      </c>
      <c r="K1079" s="3">
        <v>-3.5226001070403301E-2</v>
      </c>
      <c r="L1079">
        <v>534338410</v>
      </c>
      <c r="M1079" s="2" t="s">
        <v>10</v>
      </c>
    </row>
    <row r="1080" spans="1:13" x14ac:dyDescent="0.3">
      <c r="A1080" s="1">
        <v>46006</v>
      </c>
      <c r="B1080" s="2" t="s">
        <v>9</v>
      </c>
      <c r="C1080">
        <v>0.39656999999999998</v>
      </c>
      <c r="D1080">
        <v>0.40616999999999998</v>
      </c>
      <c r="E1080">
        <v>0.37913999999999998</v>
      </c>
      <c r="F1080">
        <v>0.38808999999999999</v>
      </c>
      <c r="G1080">
        <f>_xlfn.MAXIFS(Crypto[Close],Crypto[Name],Crypto[[#This Row],[Name]],Crypto[Date],"&lt;="&amp;Crypto[[#This Row],[Date]])</f>
        <v>1.1351199999999999</v>
      </c>
      <c r="H1080" s="3">
        <f>(Crypto[[#This Row],[Close]]/Crypto[[#This Row],[Peak Close]])-1</f>
        <v>-0.65810663189794916</v>
      </c>
      <c r="I1080">
        <v>0.39657999999999999</v>
      </c>
      <c r="J1080" s="1">
        <v>46005</v>
      </c>
      <c r="K1080" s="3">
        <v>-2.14080387311513E-2</v>
      </c>
      <c r="L1080">
        <v>668504094</v>
      </c>
      <c r="M1080" s="2" t="s">
        <v>10</v>
      </c>
    </row>
    <row r="1081" spans="1:13" x14ac:dyDescent="0.3">
      <c r="A1081" s="1">
        <v>46007</v>
      </c>
      <c r="B1081" s="2" t="s">
        <v>9</v>
      </c>
      <c r="C1081">
        <v>0.38808999999999999</v>
      </c>
      <c r="D1081">
        <v>0.39095000000000002</v>
      </c>
      <c r="E1081">
        <v>0.38012000000000001</v>
      </c>
      <c r="F1081">
        <v>0.38573000000000002</v>
      </c>
      <c r="G1081">
        <f>_xlfn.MAXIFS(Crypto[Close],Crypto[Name],Crypto[[#This Row],[Name]],Crypto[Date],"&lt;="&amp;Crypto[[#This Row],[Date]])</f>
        <v>1.1351199999999999</v>
      </c>
      <c r="H1081" s="3">
        <f>(Crypto[[#This Row],[Close]]/Crypto[[#This Row],[Peak Close]])-1</f>
        <v>-0.6601857072380013</v>
      </c>
      <c r="I1081">
        <v>0.38808999999999999</v>
      </c>
      <c r="J1081" s="1">
        <v>46006</v>
      </c>
      <c r="K1081" s="3">
        <v>-6.08106367079794E-3</v>
      </c>
      <c r="L1081">
        <v>555939135</v>
      </c>
      <c r="M1081" s="2" t="s">
        <v>10</v>
      </c>
    </row>
    <row r="1082" spans="1:13" x14ac:dyDescent="0.3">
      <c r="A1082" s="1">
        <v>46008</v>
      </c>
      <c r="B1082" s="2" t="s">
        <v>9</v>
      </c>
      <c r="C1082">
        <v>0.38572000000000001</v>
      </c>
      <c r="D1082">
        <v>0.39877000000000001</v>
      </c>
      <c r="E1082">
        <v>0.36536999999999997</v>
      </c>
      <c r="F1082">
        <v>0.36649999999999999</v>
      </c>
      <c r="G1082">
        <f>_xlfn.MAXIFS(Crypto[Close],Crypto[Name],Crypto[[#This Row],[Name]],Crypto[Date],"&lt;="&amp;Crypto[[#This Row],[Date]])</f>
        <v>1.1351199999999999</v>
      </c>
      <c r="H1082" s="3">
        <f>(Crypto[[#This Row],[Close]]/Crypto[[#This Row],[Peak Close]])-1</f>
        <v>-0.67712664740291773</v>
      </c>
      <c r="I1082">
        <v>0.38573000000000002</v>
      </c>
      <c r="J1082" s="1">
        <v>46007</v>
      </c>
      <c r="K1082" s="3">
        <v>-4.9853524486039497E-2</v>
      </c>
      <c r="L1082">
        <v>687147387</v>
      </c>
      <c r="M1082" s="2" t="s">
        <v>10</v>
      </c>
    </row>
    <row r="1083" spans="1:13" x14ac:dyDescent="0.3">
      <c r="A1083" s="1">
        <v>46009</v>
      </c>
      <c r="B1083" s="2" t="s">
        <v>9</v>
      </c>
      <c r="C1083">
        <v>0.36651</v>
      </c>
      <c r="D1083">
        <v>0.37787999999999999</v>
      </c>
      <c r="E1083">
        <v>0.34771000000000002</v>
      </c>
      <c r="F1083">
        <v>0.35142000000000001</v>
      </c>
      <c r="G1083">
        <f>_xlfn.MAXIFS(Crypto[Close],Crypto[Name],Crypto[[#This Row],[Name]],Crypto[Date],"&lt;="&amp;Crypto[[#This Row],[Date]])</f>
        <v>1.1351199999999999</v>
      </c>
      <c r="H1083" s="3">
        <f>(Crypto[[#This Row],[Close]]/Crypto[[#This Row],[Peak Close]])-1</f>
        <v>-0.69041158644020006</v>
      </c>
      <c r="I1083">
        <v>0.36649999999999999</v>
      </c>
      <c r="J1083" s="1">
        <v>46008</v>
      </c>
      <c r="K1083" s="3">
        <v>-4.1145975443383297E-2</v>
      </c>
      <c r="L1083">
        <v>753416756</v>
      </c>
      <c r="M1083" s="2" t="s">
        <v>10</v>
      </c>
    </row>
    <row r="1084" spans="1:13" x14ac:dyDescent="0.3">
      <c r="A1084" s="1">
        <v>46010</v>
      </c>
      <c r="B1084" s="2" t="s">
        <v>9</v>
      </c>
      <c r="C1084">
        <v>0.35143000000000002</v>
      </c>
      <c r="D1084">
        <v>0.37944</v>
      </c>
      <c r="E1084">
        <v>0.34727999999999998</v>
      </c>
      <c r="F1084">
        <v>0.37663000000000002</v>
      </c>
      <c r="G1084">
        <f>_xlfn.MAXIFS(Crypto[Close],Crypto[Name],Crypto[[#This Row],[Name]],Crypto[Date],"&lt;="&amp;Crypto[[#This Row],[Date]])</f>
        <v>1.1351199999999999</v>
      </c>
      <c r="H1084" s="3">
        <f>(Crypto[[#This Row],[Close]]/Crypto[[#This Row],[Peak Close]])-1</f>
        <v>-0.66820248079498201</v>
      </c>
      <c r="I1084">
        <v>0.35142000000000001</v>
      </c>
      <c r="J1084" s="1">
        <v>46009</v>
      </c>
      <c r="K1084" s="3">
        <v>7.1737522053383407E-2</v>
      </c>
      <c r="L1084">
        <v>611822292</v>
      </c>
      <c r="M1084" s="2" t="s">
        <v>10</v>
      </c>
    </row>
    <row r="1085" spans="1:13" x14ac:dyDescent="0.3">
      <c r="A1085" s="1">
        <v>46011</v>
      </c>
      <c r="B1085" s="2" t="s">
        <v>9</v>
      </c>
      <c r="C1085">
        <v>0.37663000000000002</v>
      </c>
      <c r="D1085">
        <v>0.37992999999999999</v>
      </c>
      <c r="E1085">
        <v>0.37226999999999999</v>
      </c>
      <c r="F1085">
        <v>0.37309999999999999</v>
      </c>
      <c r="G1085">
        <f>_xlfn.MAXIFS(Crypto[Close],Crypto[Name],Crypto[[#This Row],[Name]],Crypto[Date],"&lt;="&amp;Crypto[[#This Row],[Date]])</f>
        <v>1.1351199999999999</v>
      </c>
      <c r="H1085" s="3">
        <f>(Crypto[[#This Row],[Close]]/Crypto[[#This Row],[Peak Close]])-1</f>
        <v>-0.67131228416378885</v>
      </c>
      <c r="I1085">
        <v>0.37663000000000002</v>
      </c>
      <c r="J1085" s="1">
        <v>46010</v>
      </c>
      <c r="K1085" s="3">
        <v>-9.3725937923161504E-3</v>
      </c>
      <c r="L1085">
        <v>301429029</v>
      </c>
      <c r="M1085" s="2" t="s">
        <v>10</v>
      </c>
    </row>
    <row r="1086" spans="1:13" x14ac:dyDescent="0.3">
      <c r="A1086" s="1">
        <v>46012</v>
      </c>
      <c r="B1086" s="2" t="s">
        <v>9</v>
      </c>
      <c r="C1086">
        <v>0.37309999999999999</v>
      </c>
      <c r="D1086">
        <v>0.37403999999999998</v>
      </c>
      <c r="E1086">
        <v>0.35832000000000003</v>
      </c>
      <c r="F1086">
        <v>0.36588999999999999</v>
      </c>
      <c r="G1086">
        <f>_xlfn.MAXIFS(Crypto[Close],Crypto[Name],Crypto[[#This Row],[Name]],Crypto[Date],"&lt;="&amp;Crypto[[#This Row],[Date]])</f>
        <v>1.1351199999999999</v>
      </c>
      <c r="H1086" s="3">
        <f>(Crypto[[#This Row],[Close]]/Crypto[[#This Row],[Peak Close]])-1</f>
        <v>-0.67766403552047361</v>
      </c>
      <c r="I1086">
        <v>0.37309999999999999</v>
      </c>
      <c r="J1086" s="1">
        <v>46011</v>
      </c>
      <c r="K1086" s="3">
        <v>-1.9324577861163199E-2</v>
      </c>
      <c r="L1086">
        <v>453364122</v>
      </c>
      <c r="M1086" s="2" t="s">
        <v>10</v>
      </c>
    </row>
    <row r="1087" spans="1:13" x14ac:dyDescent="0.3">
      <c r="A1087" s="1">
        <v>46013</v>
      </c>
      <c r="B1087" s="2" t="s">
        <v>9</v>
      </c>
      <c r="C1087">
        <v>0.3659</v>
      </c>
      <c r="D1087">
        <v>0.38030999999999998</v>
      </c>
      <c r="E1087">
        <v>0.36327999999999999</v>
      </c>
      <c r="F1087">
        <v>0.37080999999999997</v>
      </c>
      <c r="G1087">
        <f>_xlfn.MAXIFS(Crypto[Close],Crypto[Name],Crypto[[#This Row],[Name]],Crypto[Date],"&lt;="&amp;Crypto[[#This Row],[Date]])</f>
        <v>1.1351199999999999</v>
      </c>
      <c r="H1087" s="3">
        <f>(Crypto[[#This Row],[Close]]/Crypto[[#This Row],[Peak Close]])-1</f>
        <v>-0.67332969201494119</v>
      </c>
      <c r="I1087">
        <v>0.36588999999999999</v>
      </c>
      <c r="J1087" s="1">
        <v>46012</v>
      </c>
      <c r="K1087" s="3">
        <v>1.3446664298013E-2</v>
      </c>
      <c r="L1087">
        <v>607043679</v>
      </c>
      <c r="M1087" s="2" t="s">
        <v>10</v>
      </c>
    </row>
    <row r="1088" spans="1:13" x14ac:dyDescent="0.3">
      <c r="A1088" s="1">
        <v>46014</v>
      </c>
      <c r="B1088" s="2" t="s">
        <v>9</v>
      </c>
      <c r="C1088">
        <v>0.37080999999999997</v>
      </c>
      <c r="D1088">
        <v>0.37337999999999999</v>
      </c>
      <c r="E1088">
        <v>0.35626999999999998</v>
      </c>
      <c r="F1088">
        <v>0.36285000000000001</v>
      </c>
      <c r="G1088">
        <f>_xlfn.MAXIFS(Crypto[Close],Crypto[Name],Crypto[[#This Row],[Name]],Crypto[Date],"&lt;="&amp;Crypto[[#This Row],[Date]])</f>
        <v>1.1351199999999999</v>
      </c>
      <c r="H1088" s="3">
        <f>(Crypto[[#This Row],[Close]]/Crypto[[#This Row],[Peak Close]])-1</f>
        <v>-0.68034216646698142</v>
      </c>
      <c r="I1088">
        <v>0.37080999999999997</v>
      </c>
      <c r="J1088" s="1">
        <v>46013</v>
      </c>
      <c r="K1088" s="3">
        <v>-2.1466519241660102E-2</v>
      </c>
      <c r="L1088">
        <v>459660400</v>
      </c>
      <c r="M1088" s="2" t="s">
        <v>10</v>
      </c>
    </row>
    <row r="1089" spans="1:13" x14ac:dyDescent="0.3">
      <c r="A1089" s="1">
        <v>46015</v>
      </c>
      <c r="B1089" s="2" t="s">
        <v>9</v>
      </c>
      <c r="C1089">
        <v>0.36284</v>
      </c>
      <c r="D1089">
        <v>0.36427999999999999</v>
      </c>
      <c r="E1089">
        <v>0.35315000000000002</v>
      </c>
      <c r="F1089">
        <v>0.35641</v>
      </c>
      <c r="G1089">
        <f>_xlfn.MAXIFS(Crypto[Close],Crypto[Name],Crypto[[#This Row],[Name]],Crypto[Date],"&lt;="&amp;Crypto[[#This Row],[Date]])</f>
        <v>1.1351199999999999</v>
      </c>
      <c r="H1089" s="3">
        <f>(Crypto[[#This Row],[Close]]/Crypto[[#This Row],[Peak Close]])-1</f>
        <v>-0.68601557544576774</v>
      </c>
      <c r="I1089">
        <v>0.36285000000000001</v>
      </c>
      <c r="J1089" s="1">
        <v>46014</v>
      </c>
      <c r="K1089" s="3">
        <v>-1.77483808736392E-2</v>
      </c>
      <c r="L1089">
        <v>417768956</v>
      </c>
      <c r="M1089" s="2" t="s">
        <v>10</v>
      </c>
    </row>
    <row r="1090" spans="1:13" x14ac:dyDescent="0.3">
      <c r="A1090" s="1">
        <v>46016</v>
      </c>
      <c r="B1090" s="2" t="s">
        <v>9</v>
      </c>
      <c r="C1090">
        <v>0.35641</v>
      </c>
      <c r="D1090">
        <v>0.36082999999999998</v>
      </c>
      <c r="E1090">
        <v>0.34261000000000003</v>
      </c>
      <c r="F1090">
        <v>0.34322000000000003</v>
      </c>
      <c r="G1090">
        <f>_xlfn.MAXIFS(Crypto[Close],Crypto[Name],Crypto[[#This Row],[Name]],Crypto[Date],"&lt;="&amp;Crypto[[#This Row],[Date]])</f>
        <v>1.1351199999999999</v>
      </c>
      <c r="H1090" s="3">
        <f>(Crypto[[#This Row],[Close]]/Crypto[[#This Row],[Peak Close]])-1</f>
        <v>-0.69763549228275412</v>
      </c>
      <c r="I1090">
        <v>0.35641</v>
      </c>
      <c r="J1090" s="1">
        <v>46015</v>
      </c>
      <c r="K1090" s="3">
        <v>-3.70079402934822E-2</v>
      </c>
      <c r="L1090">
        <v>521736417</v>
      </c>
      <c r="M1090" s="2" t="s">
        <v>10</v>
      </c>
    </row>
    <row r="1091" spans="1:13" x14ac:dyDescent="0.3">
      <c r="A1091" s="1">
        <v>46017</v>
      </c>
      <c r="B1091" s="2" t="s">
        <v>9</v>
      </c>
      <c r="C1091">
        <v>0.34322000000000003</v>
      </c>
      <c r="D1091">
        <v>0.35721000000000003</v>
      </c>
      <c r="E1091">
        <v>0.34204000000000001</v>
      </c>
      <c r="F1091">
        <v>0.34958</v>
      </c>
      <c r="G1091">
        <f>_xlfn.MAXIFS(Crypto[Close],Crypto[Name],Crypto[[#This Row],[Name]],Crypto[Date],"&lt;="&amp;Crypto[[#This Row],[Date]])</f>
        <v>1.1351199999999999</v>
      </c>
      <c r="H1091" s="3">
        <f>(Crypto[[#This Row],[Close]]/Crypto[[#This Row],[Peak Close]])-1</f>
        <v>-0.69203256043413908</v>
      </c>
      <c r="I1091">
        <v>0.34322000000000003</v>
      </c>
      <c r="J1091" s="1">
        <v>46016</v>
      </c>
      <c r="K1091" s="3">
        <v>1.8530388671988699E-2</v>
      </c>
      <c r="L1091">
        <v>547530768</v>
      </c>
      <c r="M1091" s="2" t="s">
        <v>10</v>
      </c>
    </row>
    <row r="1092" spans="1:13" x14ac:dyDescent="0.3">
      <c r="A1092" s="1">
        <v>46018</v>
      </c>
      <c r="B1092" s="2" t="s">
        <v>9</v>
      </c>
      <c r="C1092">
        <v>0.34958</v>
      </c>
      <c r="D1092">
        <v>0.36954999999999999</v>
      </c>
      <c r="E1092">
        <v>0.34899000000000002</v>
      </c>
      <c r="F1092">
        <v>0.36953999999999998</v>
      </c>
      <c r="G1092">
        <f>_xlfn.MAXIFS(Crypto[Close],Crypto[Name],Crypto[[#This Row],[Name]],Crypto[Date],"&lt;="&amp;Crypto[[#This Row],[Date]])</f>
        <v>1.1351199999999999</v>
      </c>
      <c r="H1092" s="3">
        <f>(Crypto[[#This Row],[Close]]/Crypto[[#This Row],[Peak Close]])-1</f>
        <v>-0.67444851645640991</v>
      </c>
      <c r="I1092">
        <v>0.34958</v>
      </c>
      <c r="J1092" s="1">
        <v>46017</v>
      </c>
      <c r="K1092" s="3">
        <v>5.7097087934092301E-2</v>
      </c>
      <c r="L1092">
        <v>380207039</v>
      </c>
      <c r="M1092" s="2" t="s">
        <v>10</v>
      </c>
    </row>
    <row r="1093" spans="1:13" x14ac:dyDescent="0.3">
      <c r="A1093" s="1">
        <v>46019</v>
      </c>
      <c r="B1093" s="2" t="s">
        <v>9</v>
      </c>
      <c r="C1093">
        <v>0.36954999999999999</v>
      </c>
      <c r="D1093">
        <v>0.37473000000000001</v>
      </c>
      <c r="E1093">
        <v>0.3619</v>
      </c>
      <c r="F1093">
        <v>0.36849999999999999</v>
      </c>
      <c r="G1093">
        <f>_xlfn.MAXIFS(Crypto[Close],Crypto[Name],Crypto[[#This Row],[Name]],Crypto[Date],"&lt;="&amp;Crypto[[#This Row],[Date]])</f>
        <v>1.1351199999999999</v>
      </c>
      <c r="H1093" s="3">
        <f>(Crypto[[#This Row],[Close]]/Crypto[[#This Row],[Peak Close]])-1</f>
        <v>-0.67536471914863627</v>
      </c>
      <c r="I1093">
        <v>0.36953999999999998</v>
      </c>
      <c r="J1093" s="1">
        <v>46018</v>
      </c>
      <c r="K1093" s="3">
        <v>-2.81430968230769E-3</v>
      </c>
      <c r="L1093">
        <v>459983671</v>
      </c>
      <c r="M1093" s="2" t="s">
        <v>10</v>
      </c>
    </row>
    <row r="1094" spans="1:13" x14ac:dyDescent="0.3">
      <c r="A1094" s="1">
        <v>46020</v>
      </c>
      <c r="B1094" s="2" t="s">
        <v>9</v>
      </c>
      <c r="C1094">
        <v>0.36848999999999998</v>
      </c>
      <c r="D1094">
        <v>0.38263999999999998</v>
      </c>
      <c r="E1094">
        <v>0.35059000000000001</v>
      </c>
      <c r="F1094">
        <v>0.35291</v>
      </c>
      <c r="G1094">
        <f>_xlfn.MAXIFS(Crypto[Close],Crypto[Name],Crypto[[#This Row],[Name]],Crypto[Date],"&lt;="&amp;Crypto[[#This Row],[Date]])</f>
        <v>1.1351199999999999</v>
      </c>
      <c r="H1094" s="3">
        <f>(Crypto[[#This Row],[Close]]/Crypto[[#This Row],[Peak Close]])-1</f>
        <v>-0.68909894989076048</v>
      </c>
      <c r="I1094">
        <v>0.36849999999999999</v>
      </c>
      <c r="J1094" s="1">
        <v>46019</v>
      </c>
      <c r="K1094" s="3">
        <v>-4.2306648575305299E-2</v>
      </c>
      <c r="L1094">
        <v>772916830</v>
      </c>
      <c r="M1094" s="2" t="s">
        <v>10</v>
      </c>
    </row>
    <row r="1095" spans="1:13" x14ac:dyDescent="0.3">
      <c r="A1095" s="1">
        <v>46021</v>
      </c>
      <c r="B1095" s="2" t="s">
        <v>9</v>
      </c>
      <c r="C1095">
        <v>0.35291</v>
      </c>
      <c r="D1095">
        <v>0.35597000000000001</v>
      </c>
      <c r="E1095">
        <v>0.34905000000000003</v>
      </c>
      <c r="F1095">
        <v>0.35111999999999999</v>
      </c>
      <c r="G1095">
        <f>_xlfn.MAXIFS(Crypto[Close],Crypto[Name],Crypto[[#This Row],[Name]],Crypto[Date],"&lt;="&amp;Crypto[[#This Row],[Date]])</f>
        <v>1.1351199999999999</v>
      </c>
      <c r="H1095" s="3">
        <f>(Crypto[[#This Row],[Close]]/Crypto[[#This Row],[Peak Close]])-1</f>
        <v>-0.69067587567834243</v>
      </c>
      <c r="I1095">
        <v>0.35291</v>
      </c>
      <c r="J1095" s="1">
        <v>46020</v>
      </c>
      <c r="K1095" s="3">
        <v>-5.0721147034655098E-3</v>
      </c>
      <c r="L1095">
        <v>491744913</v>
      </c>
      <c r="M1095" s="2" t="s">
        <v>10</v>
      </c>
    </row>
    <row r="1096" spans="1:13" x14ac:dyDescent="0.3">
      <c r="A1096" s="1">
        <v>46022</v>
      </c>
      <c r="B1096" s="2" t="s">
        <v>9</v>
      </c>
      <c r="C1096">
        <v>0.35110000000000002</v>
      </c>
      <c r="D1096">
        <v>0.35282000000000002</v>
      </c>
      <c r="E1096">
        <v>0.33299000000000001</v>
      </c>
      <c r="F1096">
        <v>0.33343</v>
      </c>
      <c r="G1096">
        <f>_xlfn.MAXIFS(Crypto[Close],Crypto[Name],Crypto[[#This Row],[Name]],Crypto[Date],"&lt;="&amp;Crypto[[#This Row],[Date]])</f>
        <v>1.1351199999999999</v>
      </c>
      <c r="H1096" s="3">
        <f>(Crypto[[#This Row],[Close]]/Crypto[[#This Row],[Peak Close]])-1</f>
        <v>-0.70626013108746211</v>
      </c>
      <c r="I1096">
        <v>0.35111999999999999</v>
      </c>
      <c r="J1096" s="1">
        <v>46021</v>
      </c>
      <c r="K1096" s="3">
        <v>-5.0381635907951597E-2</v>
      </c>
      <c r="L1096">
        <v>558387904</v>
      </c>
      <c r="M1096" s="2" t="s">
        <v>10</v>
      </c>
    </row>
    <row r="1097" spans="1:13" x14ac:dyDescent="0.3">
      <c r="A1097" s="1">
        <v>45658</v>
      </c>
      <c r="B1097" s="2" t="s">
        <v>17</v>
      </c>
      <c r="C1097">
        <v>3332.4064899999998</v>
      </c>
      <c r="D1097">
        <v>3366.5314899999998</v>
      </c>
      <c r="E1097">
        <v>3310.2558600000002</v>
      </c>
      <c r="F1097">
        <v>3353.5041500000002</v>
      </c>
      <c r="G1097">
        <f>_xlfn.MAXIFS(Crypto[Close],Crypto[Name],Crypto[[#This Row],[Name]],Crypto[Date],"&lt;="&amp;Crypto[[#This Row],[Date]])</f>
        <v>3353.5041500000002</v>
      </c>
      <c r="H1097" s="3">
        <f>(Crypto[[#This Row],[Close]]/Crypto[[#This Row],[Peak Close]])-1</f>
        <v>0</v>
      </c>
      <c r="J1097" s="1">
        <v>45657</v>
      </c>
      <c r="L1097">
        <v>14195410493</v>
      </c>
      <c r="M1097" s="2" t="s">
        <v>18</v>
      </c>
    </row>
    <row r="1098" spans="1:13" x14ac:dyDescent="0.3">
      <c r="A1098" s="1">
        <v>45659</v>
      </c>
      <c r="B1098" s="2" t="s">
        <v>17</v>
      </c>
      <c r="C1098">
        <v>3353.4121100000002</v>
      </c>
      <c r="D1098">
        <v>3493.4482400000002</v>
      </c>
      <c r="E1098">
        <v>3348.35205</v>
      </c>
      <c r="F1098">
        <v>3451.3925800000002</v>
      </c>
      <c r="G1098">
        <f>_xlfn.MAXIFS(Crypto[Close],Crypto[Name],Crypto[[#This Row],[Name]],Crypto[Date],"&lt;="&amp;Crypto[[#This Row],[Date]])</f>
        <v>3451.3925800000002</v>
      </c>
      <c r="H1098" s="3">
        <f>(Crypto[[#This Row],[Close]]/Crypto[[#This Row],[Peak Close]])-1</f>
        <v>0</v>
      </c>
      <c r="I1098">
        <v>3353.5041500000002</v>
      </c>
      <c r="J1098" s="1">
        <v>45658</v>
      </c>
      <c r="K1098" s="3">
        <v>2.9189893801085599E-2</v>
      </c>
      <c r="L1098">
        <v>22243574698</v>
      </c>
      <c r="M1098" s="2" t="s">
        <v>18</v>
      </c>
    </row>
    <row r="1099" spans="1:13" x14ac:dyDescent="0.3">
      <c r="A1099" s="1">
        <v>45660</v>
      </c>
      <c r="B1099" s="2" t="s">
        <v>17</v>
      </c>
      <c r="C1099">
        <v>3451.68091</v>
      </c>
      <c r="D1099">
        <v>3627.05566</v>
      </c>
      <c r="E1099">
        <v>3421.8315400000001</v>
      </c>
      <c r="F1099">
        <v>3605.0097700000001</v>
      </c>
      <c r="G1099">
        <f>_xlfn.MAXIFS(Crypto[Close],Crypto[Name],Crypto[[#This Row],[Name]],Crypto[Date],"&lt;="&amp;Crypto[[#This Row],[Date]])</f>
        <v>3605.0097700000001</v>
      </c>
      <c r="H1099" s="3">
        <f>(Crypto[[#This Row],[Close]]/Crypto[[#This Row],[Peak Close]])-1</f>
        <v>0</v>
      </c>
      <c r="I1099">
        <v>3451.3925800000002</v>
      </c>
      <c r="J1099" s="1">
        <v>45659</v>
      </c>
      <c r="K1099" s="3">
        <v>4.4508755941058402E-2</v>
      </c>
      <c r="L1099">
        <v>21877299255</v>
      </c>
      <c r="M1099" s="2" t="s">
        <v>18</v>
      </c>
    </row>
    <row r="1100" spans="1:13" x14ac:dyDescent="0.3">
      <c r="A1100" s="1">
        <v>45661</v>
      </c>
      <c r="B1100" s="2" t="s">
        <v>17</v>
      </c>
      <c r="C1100">
        <v>3605.2006799999999</v>
      </c>
      <c r="D1100">
        <v>3669.1967800000002</v>
      </c>
      <c r="E1100">
        <v>3574.3269</v>
      </c>
      <c r="F1100">
        <v>3657.7067900000002</v>
      </c>
      <c r="G1100">
        <f>_xlfn.MAXIFS(Crypto[Close],Crypto[Name],Crypto[[#This Row],[Name]],Crypto[Date],"&lt;="&amp;Crypto[[#This Row],[Date]])</f>
        <v>3657.7067900000002</v>
      </c>
      <c r="H1100" s="3">
        <f>(Crypto[[#This Row],[Close]]/Crypto[[#This Row],[Peak Close]])-1</f>
        <v>0</v>
      </c>
      <c r="I1100">
        <v>3605.0097700000001</v>
      </c>
      <c r="J1100" s="1">
        <v>45660</v>
      </c>
      <c r="K1100" s="3">
        <v>1.4617719052672701E-2</v>
      </c>
      <c r="L1100">
        <v>16060610759</v>
      </c>
      <c r="M1100" s="2" t="s">
        <v>18</v>
      </c>
    </row>
    <row r="1101" spans="1:13" x14ac:dyDescent="0.3">
      <c r="A1101" s="1">
        <v>45662</v>
      </c>
      <c r="B1101" s="2" t="s">
        <v>17</v>
      </c>
      <c r="C1101">
        <v>3657.74316</v>
      </c>
      <c r="D1101">
        <v>3673.8129899999999</v>
      </c>
      <c r="E1101">
        <v>3594.6169399999999</v>
      </c>
      <c r="F1101">
        <v>3634.10376</v>
      </c>
      <c r="G1101">
        <f>_xlfn.MAXIFS(Crypto[Close],Crypto[Name],Crypto[[#This Row],[Name]],Crypto[Date],"&lt;="&amp;Crypto[[#This Row],[Date]])</f>
        <v>3657.7067900000002</v>
      </c>
      <c r="H1101" s="3">
        <f>(Crypto[[#This Row],[Close]]/Crypto[[#This Row],[Peak Close]])-1</f>
        <v>-6.4529584669087425E-3</v>
      </c>
      <c r="I1101">
        <v>3657.7067900000002</v>
      </c>
      <c r="J1101" s="1">
        <v>45661</v>
      </c>
      <c r="K1101" s="3">
        <v>-6.4529584669087798E-3</v>
      </c>
      <c r="L1101">
        <v>12830306908</v>
      </c>
      <c r="M1101" s="2" t="s">
        <v>18</v>
      </c>
    </row>
    <row r="1102" spans="1:13" x14ac:dyDescent="0.3">
      <c r="A1102" s="1">
        <v>45663</v>
      </c>
      <c r="B1102" s="2" t="s">
        <v>17</v>
      </c>
      <c r="C1102">
        <v>3634.1137699999999</v>
      </c>
      <c r="D1102">
        <v>3743.9416500000002</v>
      </c>
      <c r="E1102">
        <v>3611.2143599999999</v>
      </c>
      <c r="F1102">
        <v>3688.6113300000002</v>
      </c>
      <c r="G1102">
        <f>_xlfn.MAXIFS(Crypto[Close],Crypto[Name],Crypto[[#This Row],[Name]],Crypto[Date],"&lt;="&amp;Crypto[[#This Row],[Date]])</f>
        <v>3688.6113300000002</v>
      </c>
      <c r="H1102" s="3">
        <f>(Crypto[[#This Row],[Close]]/Crypto[[#This Row],[Peak Close]])-1</f>
        <v>0</v>
      </c>
      <c r="I1102">
        <v>3634.10376</v>
      </c>
      <c r="J1102" s="1">
        <v>45662</v>
      </c>
      <c r="K1102" s="3">
        <v>1.4998903058288099E-2</v>
      </c>
      <c r="L1102">
        <v>23973574043</v>
      </c>
      <c r="M1102" s="2" t="s">
        <v>18</v>
      </c>
    </row>
    <row r="1103" spans="1:13" x14ac:dyDescent="0.3">
      <c r="A1103" s="1">
        <v>45664</v>
      </c>
      <c r="B1103" s="2" t="s">
        <v>17</v>
      </c>
      <c r="C1103">
        <v>3688.3413099999998</v>
      </c>
      <c r="D1103">
        <v>3701.1069299999999</v>
      </c>
      <c r="E1103">
        <v>3358.0898400000001</v>
      </c>
      <c r="F1103">
        <v>3381.5773899999999</v>
      </c>
      <c r="G1103">
        <f>_xlfn.MAXIFS(Crypto[Close],Crypto[Name],Crypto[[#This Row],[Name]],Crypto[Date],"&lt;="&amp;Crypto[[#This Row],[Date]])</f>
        <v>3688.6113300000002</v>
      </c>
      <c r="H1103" s="3">
        <f>(Crypto[[#This Row],[Close]]/Crypto[[#This Row],[Peak Close]])-1</f>
        <v>-8.3238355177963519E-2</v>
      </c>
      <c r="I1103">
        <v>3688.6113300000002</v>
      </c>
      <c r="J1103" s="1">
        <v>45663</v>
      </c>
      <c r="K1103" s="3">
        <v>-8.3238355177963505E-2</v>
      </c>
      <c r="L1103">
        <v>32235312545</v>
      </c>
      <c r="M1103" s="2" t="s">
        <v>18</v>
      </c>
    </row>
    <row r="1104" spans="1:13" x14ac:dyDescent="0.3">
      <c r="A1104" s="1">
        <v>45665</v>
      </c>
      <c r="B1104" s="2" t="s">
        <v>17</v>
      </c>
      <c r="C1104">
        <v>3381.6154799999999</v>
      </c>
      <c r="D1104">
        <v>3413.6828599999999</v>
      </c>
      <c r="E1104">
        <v>3209.2145999999998</v>
      </c>
      <c r="F1104">
        <v>3326.32935</v>
      </c>
      <c r="G1104">
        <f>_xlfn.MAXIFS(Crypto[Close],Crypto[Name],Crypto[[#This Row],[Name]],Crypto[Date],"&lt;="&amp;Crypto[[#This Row],[Date]])</f>
        <v>3688.6113300000002</v>
      </c>
      <c r="H1104" s="3">
        <f>(Crypto[[#This Row],[Close]]/Crypto[[#This Row],[Peak Close]])-1</f>
        <v>-9.8216360464305152E-2</v>
      </c>
      <c r="I1104">
        <v>3381.5773899999999</v>
      </c>
      <c r="J1104" s="1">
        <v>45664</v>
      </c>
      <c r="K1104" s="3">
        <v>-1.633794931424E-2</v>
      </c>
      <c r="L1104">
        <v>34337730882</v>
      </c>
      <c r="M1104" s="2" t="s">
        <v>18</v>
      </c>
    </row>
    <row r="1105" spans="1:13" x14ac:dyDescent="0.3">
      <c r="A1105" s="1">
        <v>45666</v>
      </c>
      <c r="B1105" s="2" t="s">
        <v>17</v>
      </c>
      <c r="C1105">
        <v>3326.3596200000002</v>
      </c>
      <c r="D1105">
        <v>3355.86231</v>
      </c>
      <c r="E1105">
        <v>3159.3840300000002</v>
      </c>
      <c r="F1105">
        <v>3219.43066</v>
      </c>
      <c r="G1105">
        <f>_xlfn.MAXIFS(Crypto[Close],Crypto[Name],Crypto[[#This Row],[Name]],Crypto[Date],"&lt;="&amp;Crypto[[#This Row],[Date]])</f>
        <v>3688.6113300000002</v>
      </c>
      <c r="H1105" s="3">
        <f>(Crypto[[#This Row],[Close]]/Crypto[[#This Row],[Peak Close]])-1</f>
        <v>-0.12719710157155539</v>
      </c>
      <c r="I1105">
        <v>3326.32935</v>
      </c>
      <c r="J1105" s="1">
        <v>45665</v>
      </c>
      <c r="K1105" s="3">
        <v>-3.2137133383980797E-2</v>
      </c>
      <c r="L1105">
        <v>28815726276</v>
      </c>
      <c r="M1105" s="2" t="s">
        <v>18</v>
      </c>
    </row>
    <row r="1106" spans="1:13" x14ac:dyDescent="0.3">
      <c r="A1106" s="1">
        <v>45667</v>
      </c>
      <c r="B1106" s="2" t="s">
        <v>17</v>
      </c>
      <c r="C1106">
        <v>3219.49658</v>
      </c>
      <c r="D1106">
        <v>3320.5004899999999</v>
      </c>
      <c r="E1106">
        <v>3196.1103499999999</v>
      </c>
      <c r="F1106">
        <v>3267.48999</v>
      </c>
      <c r="G1106">
        <f>_xlfn.MAXIFS(Crypto[Close],Crypto[Name],Crypto[[#This Row],[Name]],Crypto[Date],"&lt;="&amp;Crypto[[#This Row],[Date]])</f>
        <v>3688.6113300000002</v>
      </c>
      <c r="H1106" s="3">
        <f>(Crypto[[#This Row],[Close]]/Crypto[[#This Row],[Peak Close]])-1</f>
        <v>-0.11416798961033392</v>
      </c>
      <c r="I1106">
        <v>3219.43066</v>
      </c>
      <c r="J1106" s="1">
        <v>45666</v>
      </c>
      <c r="K1106" s="3">
        <v>1.49278972201874E-2</v>
      </c>
      <c r="L1106">
        <v>26503845190</v>
      </c>
      <c r="M1106" s="2" t="s">
        <v>18</v>
      </c>
    </row>
    <row r="1107" spans="1:13" x14ac:dyDescent="0.3">
      <c r="A1107" s="1">
        <v>45668</v>
      </c>
      <c r="B1107" s="2" t="s">
        <v>17</v>
      </c>
      <c r="C1107">
        <v>3267.5224600000001</v>
      </c>
      <c r="D1107">
        <v>3317.6543000000001</v>
      </c>
      <c r="E1107">
        <v>3219.6987300000001</v>
      </c>
      <c r="F1107">
        <v>3282.2177700000002</v>
      </c>
      <c r="G1107">
        <f>_xlfn.MAXIFS(Crypto[Close],Crypto[Name],Crypto[[#This Row],[Name]],Crypto[Date],"&lt;="&amp;Crypto[[#This Row],[Date]])</f>
        <v>3688.6113300000002</v>
      </c>
      <c r="H1107" s="3">
        <f>(Crypto[[#This Row],[Close]]/Crypto[[#This Row],[Peak Close]])-1</f>
        <v>-0.11017521870486691</v>
      </c>
      <c r="I1107">
        <v>3267.48999</v>
      </c>
      <c r="J1107" s="1">
        <v>45667</v>
      </c>
      <c r="K1107" s="3">
        <v>4.5073680547067802E-3</v>
      </c>
      <c r="L1107">
        <v>11772144561</v>
      </c>
      <c r="M1107" s="2" t="s">
        <v>18</v>
      </c>
    </row>
    <row r="1108" spans="1:13" x14ac:dyDescent="0.3">
      <c r="A1108" s="1">
        <v>45669</v>
      </c>
      <c r="B1108" s="2" t="s">
        <v>17</v>
      </c>
      <c r="C1108">
        <v>3282.1503899999998</v>
      </c>
      <c r="D1108">
        <v>3298.0183099999999</v>
      </c>
      <c r="E1108">
        <v>3224.5104999999999</v>
      </c>
      <c r="F1108">
        <v>3265.9511699999998</v>
      </c>
      <c r="G1108">
        <f>_xlfn.MAXIFS(Crypto[Close],Crypto[Name],Crypto[[#This Row],[Name]],Crypto[Date],"&lt;="&amp;Crypto[[#This Row],[Date]])</f>
        <v>3688.6113300000002</v>
      </c>
      <c r="H1108" s="3">
        <f>(Crypto[[#This Row],[Close]]/Crypto[[#This Row],[Peak Close]])-1</f>
        <v>-0.11458517099984089</v>
      </c>
      <c r="I1108">
        <v>3282.2177700000002</v>
      </c>
      <c r="J1108" s="1">
        <v>45668</v>
      </c>
      <c r="K1108" s="3">
        <v>-4.95597828659625E-3</v>
      </c>
      <c r="L1108">
        <v>11647743556</v>
      </c>
      <c r="M1108" s="2" t="s">
        <v>18</v>
      </c>
    </row>
    <row r="1109" spans="1:13" x14ac:dyDescent="0.3">
      <c r="A1109" s="1">
        <v>45670</v>
      </c>
      <c r="B1109" s="2" t="s">
        <v>17</v>
      </c>
      <c r="C1109">
        <v>3266.09546</v>
      </c>
      <c r="D1109">
        <v>3335.1936000000001</v>
      </c>
      <c r="E1109">
        <v>2920.5927700000002</v>
      </c>
      <c r="F1109">
        <v>3135.4997600000002</v>
      </c>
      <c r="G1109">
        <f>_xlfn.MAXIFS(Crypto[Close],Crypto[Name],Crypto[[#This Row],[Name]],Crypto[Date],"&lt;="&amp;Crypto[[#This Row],[Date]])</f>
        <v>3688.6113300000002</v>
      </c>
      <c r="H1109" s="3">
        <f>(Crypto[[#This Row],[Close]]/Crypto[[#This Row],[Peak Close]])-1</f>
        <v>-0.14995116603949699</v>
      </c>
      <c r="I1109">
        <v>3265.9511699999998</v>
      </c>
      <c r="J1109" s="1">
        <v>45669</v>
      </c>
      <c r="K1109" s="3">
        <v>-3.9942853768998497E-2</v>
      </c>
      <c r="L1109">
        <v>39911742769</v>
      </c>
      <c r="M1109" s="2" t="s">
        <v>18</v>
      </c>
    </row>
    <row r="1110" spans="1:13" x14ac:dyDescent="0.3">
      <c r="A1110" s="1">
        <v>45671</v>
      </c>
      <c r="B1110" s="2" t="s">
        <v>17</v>
      </c>
      <c r="C1110">
        <v>3135.6701699999999</v>
      </c>
      <c r="D1110">
        <v>3254.7514700000002</v>
      </c>
      <c r="E1110">
        <v>3126.80591</v>
      </c>
      <c r="F1110">
        <v>3223.6845699999999</v>
      </c>
      <c r="G1110">
        <f>_xlfn.MAXIFS(Crypto[Close],Crypto[Name],Crypto[[#This Row],[Name]],Crypto[Date],"&lt;="&amp;Crypto[[#This Row],[Date]])</f>
        <v>3688.6113300000002</v>
      </c>
      <c r="H1110" s="3">
        <f>(Crypto[[#This Row],[Close]]/Crypto[[#This Row],[Peak Close]])-1</f>
        <v>-0.12604384642499056</v>
      </c>
      <c r="I1110">
        <v>3135.4997600000002</v>
      </c>
      <c r="J1110" s="1">
        <v>45670</v>
      </c>
      <c r="K1110" s="3">
        <v>2.8124642560967601E-2</v>
      </c>
      <c r="L1110">
        <v>22847737224</v>
      </c>
      <c r="M1110" s="2" t="s">
        <v>18</v>
      </c>
    </row>
    <row r="1111" spans="1:13" x14ac:dyDescent="0.3">
      <c r="A1111" s="1">
        <v>45672</v>
      </c>
      <c r="B1111" s="2" t="s">
        <v>17</v>
      </c>
      <c r="C1111">
        <v>3223.6845699999999</v>
      </c>
      <c r="D1111">
        <v>3473.1015600000001</v>
      </c>
      <c r="E1111">
        <v>3186.1398899999999</v>
      </c>
      <c r="F1111">
        <v>3450.5376000000001</v>
      </c>
      <c r="G1111">
        <f>_xlfn.MAXIFS(Crypto[Close],Crypto[Name],Crypto[[#This Row],[Name]],Crypto[Date],"&lt;="&amp;Crypto[[#This Row],[Date]])</f>
        <v>3688.6113300000002</v>
      </c>
      <c r="H1111" s="3">
        <f>(Crypto[[#This Row],[Close]]/Crypto[[#This Row],[Peak Close]])-1</f>
        <v>-6.4542915666856104E-2</v>
      </c>
      <c r="I1111">
        <v>3223.6845699999999</v>
      </c>
      <c r="J1111" s="1">
        <v>45671</v>
      </c>
      <c r="K1111" s="3">
        <v>7.0370727989680498E-2</v>
      </c>
      <c r="L1111">
        <v>25991614661</v>
      </c>
      <c r="M1111" s="2" t="s">
        <v>18</v>
      </c>
    </row>
    <row r="1112" spans="1:13" x14ac:dyDescent="0.3">
      <c r="A1112" s="1">
        <v>45673</v>
      </c>
      <c r="B1112" s="2" t="s">
        <v>17</v>
      </c>
      <c r="C1112">
        <v>3450.3051799999998</v>
      </c>
      <c r="D1112">
        <v>3458.18066</v>
      </c>
      <c r="E1112">
        <v>3265.67578</v>
      </c>
      <c r="F1112">
        <v>3308.3452200000002</v>
      </c>
      <c r="G1112">
        <f>_xlfn.MAXIFS(Crypto[Close],Crypto[Name],Crypto[[#This Row],[Name]],Crypto[Date],"&lt;="&amp;Crypto[[#This Row],[Date]])</f>
        <v>3688.6113300000002</v>
      </c>
      <c r="H1112" s="3">
        <f>(Crypto[[#This Row],[Close]]/Crypto[[#This Row],[Peak Close]])-1</f>
        <v>-0.10309194327611637</v>
      </c>
      <c r="I1112">
        <v>3450.5376000000001</v>
      </c>
      <c r="J1112" s="1">
        <v>45672</v>
      </c>
      <c r="K1112" s="3">
        <v>-4.1208761208688202E-2</v>
      </c>
      <c r="L1112">
        <v>26395516475</v>
      </c>
      <c r="M1112" s="2" t="s">
        <v>18</v>
      </c>
    </row>
    <row r="1113" spans="1:13" x14ac:dyDescent="0.3">
      <c r="A1113" s="1">
        <v>45674</v>
      </c>
      <c r="B1113" s="2" t="s">
        <v>17</v>
      </c>
      <c r="C1113">
        <v>3308.1911599999999</v>
      </c>
      <c r="D1113">
        <v>3525.5434599999999</v>
      </c>
      <c r="E1113">
        <v>3307.31104</v>
      </c>
      <c r="F1113">
        <v>3474.10718</v>
      </c>
      <c r="G1113">
        <f>_xlfn.MAXIFS(Crypto[Close],Crypto[Name],Crypto[[#This Row],[Name]],Crypto[Date],"&lt;="&amp;Crypto[[#This Row],[Date]])</f>
        <v>3688.6113300000002</v>
      </c>
      <c r="H1113" s="3">
        <f>(Crypto[[#This Row],[Close]]/Crypto[[#This Row],[Peak Close]])-1</f>
        <v>-5.8153090908604987E-2</v>
      </c>
      <c r="I1113">
        <v>3308.3452200000002</v>
      </c>
      <c r="J1113" s="1">
        <v>45673</v>
      </c>
      <c r="K1113" s="3">
        <v>5.0104190759149299E-2</v>
      </c>
      <c r="L1113">
        <v>28200207229</v>
      </c>
      <c r="M1113" s="2" t="s">
        <v>18</v>
      </c>
    </row>
    <row r="1114" spans="1:13" x14ac:dyDescent="0.3">
      <c r="A1114" s="1">
        <v>45675</v>
      </c>
      <c r="B1114" s="2" t="s">
        <v>17</v>
      </c>
      <c r="C1114">
        <v>3473.5637200000001</v>
      </c>
      <c r="D1114">
        <v>3493.0600599999998</v>
      </c>
      <c r="E1114">
        <v>3228.33374</v>
      </c>
      <c r="F1114">
        <v>3305.78955</v>
      </c>
      <c r="G1114">
        <f>_xlfn.MAXIFS(Crypto[Close],Crypto[Name],Crypto[[#This Row],[Name]],Crypto[Date],"&lt;="&amp;Crypto[[#This Row],[Date]])</f>
        <v>3688.6113300000002</v>
      </c>
      <c r="H1114" s="3">
        <f>(Crypto[[#This Row],[Close]]/Crypto[[#This Row],[Peak Close]])-1</f>
        <v>-0.10378479751619707</v>
      </c>
      <c r="I1114">
        <v>3474.10718</v>
      </c>
      <c r="J1114" s="1">
        <v>45674</v>
      </c>
      <c r="K1114" s="3">
        <v>-4.8449175940507398E-2</v>
      </c>
      <c r="L1114">
        <v>32420094038</v>
      </c>
      <c r="M1114" s="2" t="s">
        <v>18</v>
      </c>
    </row>
    <row r="1115" spans="1:13" x14ac:dyDescent="0.3">
      <c r="A1115" s="1">
        <v>45676</v>
      </c>
      <c r="B1115" s="2" t="s">
        <v>17</v>
      </c>
      <c r="C1115">
        <v>3305.39795</v>
      </c>
      <c r="D1115">
        <v>3444.2065400000001</v>
      </c>
      <c r="E1115">
        <v>3127.6230500000001</v>
      </c>
      <c r="F1115">
        <v>3208.9643599999999</v>
      </c>
      <c r="G1115">
        <f>_xlfn.MAXIFS(Crypto[Close],Crypto[Name],Crypto[[#This Row],[Name]],Crypto[Date],"&lt;="&amp;Crypto[[#This Row],[Date]])</f>
        <v>3688.6113300000002</v>
      </c>
      <c r="H1115" s="3">
        <f>(Crypto[[#This Row],[Close]]/Crypto[[#This Row],[Peak Close]])-1</f>
        <v>-0.1300345650676078</v>
      </c>
      <c r="I1115">
        <v>3305.78955</v>
      </c>
      <c r="J1115" s="1">
        <v>45675</v>
      </c>
      <c r="K1115" s="3">
        <v>-2.9289580759912601E-2</v>
      </c>
      <c r="L1115">
        <v>57242875399</v>
      </c>
      <c r="M1115" s="2" t="s">
        <v>18</v>
      </c>
    </row>
    <row r="1116" spans="1:13" x14ac:dyDescent="0.3">
      <c r="A1116" s="1">
        <v>45677</v>
      </c>
      <c r="B1116" s="2" t="s">
        <v>17</v>
      </c>
      <c r="C1116">
        <v>3208.9338400000001</v>
      </c>
      <c r="D1116">
        <v>3444.2827200000002</v>
      </c>
      <c r="E1116">
        <v>3147.52295</v>
      </c>
      <c r="F1116">
        <v>3278.0354000000002</v>
      </c>
      <c r="G1116">
        <f>_xlfn.MAXIFS(Crypto[Close],Crypto[Name],Crypto[[#This Row],[Name]],Crypto[Date],"&lt;="&amp;Crypto[[#This Row],[Date]])</f>
        <v>3688.6113300000002</v>
      </c>
      <c r="H1116" s="3">
        <f>(Crypto[[#This Row],[Close]]/Crypto[[#This Row],[Peak Close]])-1</f>
        <v>-0.1113090790186344</v>
      </c>
      <c r="I1116">
        <v>3208.9643599999999</v>
      </c>
      <c r="J1116" s="1">
        <v>45676</v>
      </c>
      <c r="K1116" s="3">
        <v>2.1524402346431899E-2</v>
      </c>
      <c r="L1116">
        <v>52383187336</v>
      </c>
      <c r="M1116" s="2" t="s">
        <v>18</v>
      </c>
    </row>
    <row r="1117" spans="1:13" x14ac:dyDescent="0.3">
      <c r="A1117" s="1">
        <v>45678</v>
      </c>
      <c r="B1117" s="2" t="s">
        <v>17</v>
      </c>
      <c r="C1117">
        <v>3278.43604</v>
      </c>
      <c r="D1117">
        <v>3365.77808</v>
      </c>
      <c r="E1117">
        <v>3202.4926799999998</v>
      </c>
      <c r="F1117">
        <v>3327.40625</v>
      </c>
      <c r="G1117">
        <f>_xlfn.MAXIFS(Crypto[Close],Crypto[Name],Crypto[[#This Row],[Name]],Crypto[Date],"&lt;="&amp;Crypto[[#This Row],[Date]])</f>
        <v>3688.6113300000002</v>
      </c>
      <c r="H1117" s="3">
        <f>(Crypto[[#This Row],[Close]]/Crypto[[#This Row],[Peak Close]])-1</f>
        <v>-9.7924407774347966E-2</v>
      </c>
      <c r="I1117">
        <v>3278.0354000000002</v>
      </c>
      <c r="J1117" s="1">
        <v>45677</v>
      </c>
      <c r="K1117" s="3">
        <v>1.5061109468189299E-2</v>
      </c>
      <c r="L1117">
        <v>32804001146</v>
      </c>
      <c r="M1117" s="2" t="s">
        <v>18</v>
      </c>
    </row>
    <row r="1118" spans="1:13" x14ac:dyDescent="0.3">
      <c r="A1118" s="1">
        <v>45679</v>
      </c>
      <c r="B1118" s="2" t="s">
        <v>17</v>
      </c>
      <c r="C1118">
        <v>3327.23731</v>
      </c>
      <c r="D1118">
        <v>3364.7460900000001</v>
      </c>
      <c r="E1118">
        <v>3223.3859900000002</v>
      </c>
      <c r="F1118">
        <v>3240.2246100000002</v>
      </c>
      <c r="G1118">
        <f>_xlfn.MAXIFS(Crypto[Close],Crypto[Name],Crypto[[#This Row],[Name]],Crypto[Date],"&lt;="&amp;Crypto[[#This Row],[Date]])</f>
        <v>3688.6113300000002</v>
      </c>
      <c r="H1118" s="3">
        <f>(Crypto[[#This Row],[Close]]/Crypto[[#This Row],[Peak Close]])-1</f>
        <v>-0.1215597632510661</v>
      </c>
      <c r="I1118">
        <v>3327.40625</v>
      </c>
      <c r="J1118" s="1">
        <v>45678</v>
      </c>
      <c r="K1118" s="3">
        <v>-2.62010807967917E-2</v>
      </c>
      <c r="L1118">
        <v>22171220981</v>
      </c>
      <c r="M1118" s="2" t="s">
        <v>18</v>
      </c>
    </row>
    <row r="1119" spans="1:13" x14ac:dyDescent="0.3">
      <c r="A1119" s="1">
        <v>45680</v>
      </c>
      <c r="B1119" s="2" t="s">
        <v>17</v>
      </c>
      <c r="C1119">
        <v>3240.47534</v>
      </c>
      <c r="D1119">
        <v>3346.7324199999998</v>
      </c>
      <c r="E1119">
        <v>3184.0668999999998</v>
      </c>
      <c r="F1119">
        <v>3334.7141099999999</v>
      </c>
      <c r="G1119">
        <f>_xlfn.MAXIFS(Crypto[Close],Crypto[Name],Crypto[[#This Row],[Name]],Crypto[Date],"&lt;="&amp;Crypto[[#This Row],[Date]])</f>
        <v>3688.6113300000002</v>
      </c>
      <c r="H1119" s="3">
        <f>(Crypto[[#This Row],[Close]]/Crypto[[#This Row],[Peak Close]])-1</f>
        <v>-9.5943212319960058E-2</v>
      </c>
      <c r="I1119">
        <v>3240.2246100000002</v>
      </c>
      <c r="J1119" s="1">
        <v>45679</v>
      </c>
      <c r="K1119" s="3">
        <v>2.9161404338571398E-2</v>
      </c>
      <c r="L1119">
        <v>32419520084</v>
      </c>
      <c r="M1119" s="2" t="s">
        <v>18</v>
      </c>
    </row>
    <row r="1120" spans="1:13" x14ac:dyDescent="0.3">
      <c r="A1120" s="1">
        <v>45681</v>
      </c>
      <c r="B1120" s="2" t="s">
        <v>17</v>
      </c>
      <c r="C1120">
        <v>3334.8083499999998</v>
      </c>
      <c r="D1120">
        <v>3424.8998999999999</v>
      </c>
      <c r="E1120">
        <v>3277.3232400000002</v>
      </c>
      <c r="F1120">
        <v>3309.5549299999998</v>
      </c>
      <c r="G1120">
        <f>_xlfn.MAXIFS(Crypto[Close],Crypto[Name],Crypto[[#This Row],[Name]],Crypto[Date],"&lt;="&amp;Crypto[[#This Row],[Date]])</f>
        <v>3688.6113300000002</v>
      </c>
      <c r="H1120" s="3">
        <f>(Crypto[[#This Row],[Close]]/Crypto[[#This Row],[Peak Close]])-1</f>
        <v>-0.10276398516620089</v>
      </c>
      <c r="I1120">
        <v>3334.7141099999999</v>
      </c>
      <c r="J1120" s="1">
        <v>45680</v>
      </c>
      <c r="K1120" s="3">
        <v>-7.5446287657924896E-3</v>
      </c>
      <c r="L1120">
        <v>25578325671</v>
      </c>
      <c r="M1120" s="2" t="s">
        <v>18</v>
      </c>
    </row>
    <row r="1121" spans="1:13" x14ac:dyDescent="0.3">
      <c r="A1121" s="1">
        <v>45682</v>
      </c>
      <c r="B1121" s="2" t="s">
        <v>17</v>
      </c>
      <c r="C1121">
        <v>3309.7116700000001</v>
      </c>
      <c r="D1121">
        <v>3349.2983399999998</v>
      </c>
      <c r="E1121">
        <v>3270.2731899999999</v>
      </c>
      <c r="F1121">
        <v>3317.26953</v>
      </c>
      <c r="G1121">
        <f>_xlfn.MAXIFS(Crypto[Close],Crypto[Name],Crypto[[#This Row],[Name]],Crypto[Date],"&lt;="&amp;Crypto[[#This Row],[Date]])</f>
        <v>3688.6113300000002</v>
      </c>
      <c r="H1121" s="3">
        <f>(Crypto[[#This Row],[Close]]/Crypto[[#This Row],[Peak Close]])-1</f>
        <v>-0.10067252057158327</v>
      </c>
      <c r="I1121">
        <v>3309.5549299999998</v>
      </c>
      <c r="J1121" s="1">
        <v>45681</v>
      </c>
      <c r="K1121" s="3">
        <v>2.3310082966353E-3</v>
      </c>
      <c r="L1121">
        <v>13744316078</v>
      </c>
      <c r="M1121" s="2" t="s">
        <v>18</v>
      </c>
    </row>
    <row r="1122" spans="1:13" x14ac:dyDescent="0.3">
      <c r="A1122" s="1">
        <v>45683</v>
      </c>
      <c r="B1122" s="2" t="s">
        <v>17</v>
      </c>
      <c r="C1122">
        <v>3317.2914999999998</v>
      </c>
      <c r="D1122">
        <v>3359.3125</v>
      </c>
      <c r="E1122">
        <v>3233.9221200000002</v>
      </c>
      <c r="F1122">
        <v>3236.1342800000002</v>
      </c>
      <c r="G1122">
        <f>_xlfn.MAXIFS(Crypto[Close],Crypto[Name],Crypto[[#This Row],[Name]],Crypto[Date],"&lt;="&amp;Crypto[[#This Row],[Date]])</f>
        <v>3688.6113300000002</v>
      </c>
      <c r="H1122" s="3">
        <f>(Crypto[[#This Row],[Close]]/Crypto[[#This Row],[Peak Close]])-1</f>
        <v>-0.12266867108495272</v>
      </c>
      <c r="I1122">
        <v>3317.26953</v>
      </c>
      <c r="J1122" s="1">
        <v>45682</v>
      </c>
      <c r="K1122" s="3">
        <v>-2.4458443688776699E-2</v>
      </c>
      <c r="L1122">
        <v>14471528757</v>
      </c>
      <c r="M1122" s="2" t="s">
        <v>18</v>
      </c>
    </row>
    <row r="1123" spans="1:13" x14ac:dyDescent="0.3">
      <c r="A1123" s="1">
        <v>45684</v>
      </c>
      <c r="B1123" s="2" t="s">
        <v>17</v>
      </c>
      <c r="C1123">
        <v>3235.8552300000001</v>
      </c>
      <c r="D1123">
        <v>3250.3964799999999</v>
      </c>
      <c r="E1123">
        <v>3024.0915500000001</v>
      </c>
      <c r="F1123">
        <v>3178.9204100000002</v>
      </c>
      <c r="G1123">
        <f>_xlfn.MAXIFS(Crypto[Close],Crypto[Name],Crypto[[#This Row],[Name]],Crypto[Date],"&lt;="&amp;Crypto[[#This Row],[Date]])</f>
        <v>3688.6113300000002</v>
      </c>
      <c r="H1123" s="3">
        <f>(Crypto[[#This Row],[Close]]/Crypto[[#This Row],[Peak Close]])-1</f>
        <v>-0.13817962219402502</v>
      </c>
      <c r="I1123">
        <v>3236.1342800000002</v>
      </c>
      <c r="J1123" s="1">
        <v>45683</v>
      </c>
      <c r="K1123" s="3">
        <v>-1.7679695911753099E-2</v>
      </c>
      <c r="L1123">
        <v>39412486482</v>
      </c>
      <c r="M1123" s="2" t="s">
        <v>18</v>
      </c>
    </row>
    <row r="1124" spans="1:13" x14ac:dyDescent="0.3">
      <c r="A1124" s="1">
        <v>45685</v>
      </c>
      <c r="B1124" s="2" t="s">
        <v>17</v>
      </c>
      <c r="C1124">
        <v>3179.08691</v>
      </c>
      <c r="D1124">
        <v>3222.73731</v>
      </c>
      <c r="E1124">
        <v>3040.09229</v>
      </c>
      <c r="F1124">
        <v>3077.1125499999998</v>
      </c>
      <c r="G1124">
        <f>_xlfn.MAXIFS(Crypto[Close],Crypto[Name],Crypto[[#This Row],[Name]],Crypto[Date],"&lt;="&amp;Crypto[[#This Row],[Date]])</f>
        <v>3688.6113300000002</v>
      </c>
      <c r="H1124" s="3">
        <f>(Crypto[[#This Row],[Close]]/Crypto[[#This Row],[Peak Close]])-1</f>
        <v>-0.16578021517924479</v>
      </c>
      <c r="I1124">
        <v>3178.9204100000002</v>
      </c>
      <c r="J1124" s="1">
        <v>45684</v>
      </c>
      <c r="K1124" s="3">
        <v>-3.2025922913873899E-2</v>
      </c>
      <c r="L1124">
        <v>20718206194</v>
      </c>
      <c r="M1124" s="2" t="s">
        <v>18</v>
      </c>
    </row>
    <row r="1125" spans="1:13" x14ac:dyDescent="0.3">
      <c r="A1125" s="1">
        <v>45686</v>
      </c>
      <c r="B1125" s="2" t="s">
        <v>17</v>
      </c>
      <c r="C1125">
        <v>3076.38013</v>
      </c>
      <c r="D1125">
        <v>3177.98047</v>
      </c>
      <c r="E1125">
        <v>3055.1816399999998</v>
      </c>
      <c r="F1125">
        <v>3112.9990200000002</v>
      </c>
      <c r="G1125">
        <f>_xlfn.MAXIFS(Crypto[Close],Crypto[Name],Crypto[[#This Row],[Name]],Crypto[Date],"&lt;="&amp;Crypto[[#This Row],[Date]])</f>
        <v>3688.6113300000002</v>
      </c>
      <c r="H1125" s="3">
        <f>(Crypto[[#This Row],[Close]]/Crypto[[#This Row],[Peak Close]])-1</f>
        <v>-0.15605122321196141</v>
      </c>
      <c r="I1125">
        <v>3077.1125499999998</v>
      </c>
      <c r="J1125" s="1">
        <v>45685</v>
      </c>
      <c r="K1125" s="3">
        <v>1.16623845949347E-2</v>
      </c>
      <c r="L1125">
        <v>22727786058</v>
      </c>
      <c r="M1125" s="2" t="s">
        <v>18</v>
      </c>
    </row>
    <row r="1126" spans="1:13" x14ac:dyDescent="0.3">
      <c r="A1126" s="1">
        <v>45687</v>
      </c>
      <c r="B1126" s="2" t="s">
        <v>17</v>
      </c>
      <c r="C1126">
        <v>3113.2898</v>
      </c>
      <c r="D1126">
        <v>3282.9863300000002</v>
      </c>
      <c r="E1126">
        <v>3093.1237799999999</v>
      </c>
      <c r="F1126">
        <v>3247.7800299999999</v>
      </c>
      <c r="G1126">
        <f>_xlfn.MAXIFS(Crypto[Close],Crypto[Name],Crypto[[#This Row],[Name]],Crypto[Date],"&lt;="&amp;Crypto[[#This Row],[Date]])</f>
        <v>3688.6113300000002</v>
      </c>
      <c r="H1126" s="3">
        <f>(Crypto[[#This Row],[Close]]/Crypto[[#This Row],[Peak Close]])-1</f>
        <v>-0.11951145310828948</v>
      </c>
      <c r="I1126">
        <v>3112.9990200000002</v>
      </c>
      <c r="J1126" s="1">
        <v>45686</v>
      </c>
      <c r="K1126" s="3">
        <v>4.3296194163273398E-2</v>
      </c>
      <c r="L1126">
        <v>19958405782</v>
      </c>
      <c r="M1126" s="2" t="s">
        <v>18</v>
      </c>
    </row>
    <row r="1127" spans="1:13" x14ac:dyDescent="0.3">
      <c r="A1127" s="1">
        <v>45688</v>
      </c>
      <c r="B1127" s="2" t="s">
        <v>17</v>
      </c>
      <c r="C1127">
        <v>3247.8671899999999</v>
      </c>
      <c r="D1127">
        <v>3437.56909</v>
      </c>
      <c r="E1127">
        <v>3214.9355500000001</v>
      </c>
      <c r="F1127">
        <v>3298.26514</v>
      </c>
      <c r="G1127">
        <f>_xlfn.MAXIFS(Crypto[Close],Crypto[Name],Crypto[[#This Row],[Name]],Crypto[Date],"&lt;="&amp;Crypto[[#This Row],[Date]])</f>
        <v>3688.6113300000002</v>
      </c>
      <c r="H1127" s="3">
        <f>(Crypto[[#This Row],[Close]]/Crypto[[#This Row],[Peak Close]])-1</f>
        <v>-0.10582470070111727</v>
      </c>
      <c r="I1127">
        <v>3247.7800299999999</v>
      </c>
      <c r="J1127" s="1">
        <v>45687</v>
      </c>
      <c r="K1127" s="3">
        <v>1.55444979443389E-2</v>
      </c>
      <c r="L1127">
        <v>30128115902</v>
      </c>
      <c r="M1127" s="2" t="s">
        <v>18</v>
      </c>
    </row>
    <row r="1128" spans="1:13" x14ac:dyDescent="0.3">
      <c r="A1128" s="1">
        <v>45689</v>
      </c>
      <c r="B1128" s="2" t="s">
        <v>17</v>
      </c>
      <c r="C1128">
        <v>3298.8222700000001</v>
      </c>
      <c r="D1128">
        <v>3329.6552700000002</v>
      </c>
      <c r="E1128">
        <v>3103.9189500000002</v>
      </c>
      <c r="F1128">
        <v>3118.32861</v>
      </c>
      <c r="G1128">
        <f>_xlfn.MAXIFS(Crypto[Close],Crypto[Name],Crypto[[#This Row],[Name]],Crypto[Date],"&lt;="&amp;Crypto[[#This Row],[Date]])</f>
        <v>3688.6113300000002</v>
      </c>
      <c r="H1128" s="3">
        <f>(Crypto[[#This Row],[Close]]/Crypto[[#This Row],[Peak Close]])-1</f>
        <v>-0.15460634612321711</v>
      </c>
      <c r="I1128">
        <v>3298.26514</v>
      </c>
      <c r="J1128" s="1">
        <v>45688</v>
      </c>
      <c r="K1128" s="3">
        <v>-5.4554901550455698E-2</v>
      </c>
      <c r="L1128">
        <v>19917507079</v>
      </c>
      <c r="M1128" s="2" t="s">
        <v>18</v>
      </c>
    </row>
    <row r="1129" spans="1:13" x14ac:dyDescent="0.3">
      <c r="A1129" s="1">
        <v>45690</v>
      </c>
      <c r="B1129" s="2" t="s">
        <v>17</v>
      </c>
      <c r="C1129">
        <v>3118.61157</v>
      </c>
      <c r="D1129">
        <v>3161.8942900000002</v>
      </c>
      <c r="E1129">
        <v>2755.4746100000002</v>
      </c>
      <c r="F1129">
        <v>2868.6928699999999</v>
      </c>
      <c r="G1129">
        <f>_xlfn.MAXIFS(Crypto[Close],Crypto[Name],Crypto[[#This Row],[Name]],Crypto[Date],"&lt;="&amp;Crypto[[#This Row],[Date]])</f>
        <v>3688.6113300000002</v>
      </c>
      <c r="H1129" s="3">
        <f>(Crypto[[#This Row],[Close]]/Crypto[[#This Row],[Peak Close]])-1</f>
        <v>-0.22228377745616268</v>
      </c>
      <c r="I1129">
        <v>3118.32861</v>
      </c>
      <c r="J1129" s="1">
        <v>45689</v>
      </c>
      <c r="K1129" s="3">
        <v>-8.0054340392303996E-2</v>
      </c>
      <c r="L1129">
        <v>42060930305</v>
      </c>
      <c r="M1129" s="2" t="s">
        <v>18</v>
      </c>
    </row>
    <row r="1130" spans="1:13" x14ac:dyDescent="0.3">
      <c r="A1130" s="1">
        <v>45691</v>
      </c>
      <c r="B1130" s="2" t="s">
        <v>17</v>
      </c>
      <c r="C1130">
        <v>2868.07861</v>
      </c>
      <c r="D1130">
        <v>2919.4773</v>
      </c>
      <c r="E1130">
        <v>2159.2805199999998</v>
      </c>
      <c r="F1130">
        <v>2884.5666500000002</v>
      </c>
      <c r="G1130">
        <f>_xlfn.MAXIFS(Crypto[Close],Crypto[Name],Crypto[[#This Row],[Name]],Crypto[Date],"&lt;="&amp;Crypto[[#This Row],[Date]])</f>
        <v>3688.6113300000002</v>
      </c>
      <c r="H1130" s="3">
        <f>(Crypto[[#This Row],[Close]]/Crypto[[#This Row],[Peak Close]])-1</f>
        <v>-0.21798032052349625</v>
      </c>
      <c r="I1130">
        <v>2868.6928699999999</v>
      </c>
      <c r="J1130" s="1">
        <v>45690</v>
      </c>
      <c r="K1130" s="3">
        <v>5.5334539873556996E-3</v>
      </c>
      <c r="L1130">
        <v>92453553253</v>
      </c>
      <c r="M1130" s="2" t="s">
        <v>18</v>
      </c>
    </row>
    <row r="1131" spans="1:13" x14ac:dyDescent="0.3">
      <c r="A1131" s="1">
        <v>45692</v>
      </c>
      <c r="B1131" s="2" t="s">
        <v>17</v>
      </c>
      <c r="C1131">
        <v>2883.8183600000002</v>
      </c>
      <c r="D1131">
        <v>2888.25</v>
      </c>
      <c r="E1131">
        <v>2636.1657700000001</v>
      </c>
      <c r="F1131">
        <v>2735.0512699999999</v>
      </c>
      <c r="G1131">
        <f>_xlfn.MAXIFS(Crypto[Close],Crypto[Name],Crypto[[#This Row],[Name]],Crypto[Date],"&lt;="&amp;Crypto[[#This Row],[Date]])</f>
        <v>3688.6113300000002</v>
      </c>
      <c r="H1131" s="3">
        <f>(Crypto[[#This Row],[Close]]/Crypto[[#This Row],[Peak Close]])-1</f>
        <v>-0.25851464811284419</v>
      </c>
      <c r="I1131">
        <v>2884.5666500000002</v>
      </c>
      <c r="J1131" s="1">
        <v>45691</v>
      </c>
      <c r="K1131" s="3">
        <v>-5.1832874099130399E-2</v>
      </c>
      <c r="L1131">
        <v>48795275985</v>
      </c>
      <c r="M1131" s="2" t="s">
        <v>18</v>
      </c>
    </row>
    <row r="1132" spans="1:13" x14ac:dyDescent="0.3">
      <c r="A1132" s="1">
        <v>45693</v>
      </c>
      <c r="B1132" s="2" t="s">
        <v>17</v>
      </c>
      <c r="C1132">
        <v>2735.2258299999999</v>
      </c>
      <c r="D1132">
        <v>2824.4001499999999</v>
      </c>
      <c r="E1132">
        <v>2701.1049800000001</v>
      </c>
      <c r="F1132">
        <v>2787.7790500000001</v>
      </c>
      <c r="G1132">
        <f>_xlfn.MAXIFS(Crypto[Close],Crypto[Name],Crypto[[#This Row],[Name]],Crypto[Date],"&lt;="&amp;Crypto[[#This Row],[Date]])</f>
        <v>3688.6113300000002</v>
      </c>
      <c r="H1132" s="3">
        <f>(Crypto[[#This Row],[Close]]/Crypto[[#This Row],[Peak Close]])-1</f>
        <v>-0.24421989724788928</v>
      </c>
      <c r="I1132">
        <v>2735.0512699999999</v>
      </c>
      <c r="J1132" s="1">
        <v>45692</v>
      </c>
      <c r="K1132" s="3">
        <v>1.92785344020261E-2</v>
      </c>
      <c r="L1132">
        <v>31960764447</v>
      </c>
      <c r="M1132" s="2" t="s">
        <v>18</v>
      </c>
    </row>
    <row r="1133" spans="1:13" x14ac:dyDescent="0.3">
      <c r="A1133" s="1">
        <v>45694</v>
      </c>
      <c r="B1133" s="2" t="s">
        <v>17</v>
      </c>
      <c r="C1133">
        <v>2787.6586900000002</v>
      </c>
      <c r="D1133">
        <v>2857.1420899999998</v>
      </c>
      <c r="E1133">
        <v>2662.4458</v>
      </c>
      <c r="F1133">
        <v>2688.4008800000001</v>
      </c>
      <c r="G1133">
        <f>_xlfn.MAXIFS(Crypto[Close],Crypto[Name],Crypto[[#This Row],[Name]],Crypto[Date],"&lt;="&amp;Crypto[[#This Row],[Date]])</f>
        <v>3688.6113300000002</v>
      </c>
      <c r="H1133" s="3">
        <f>(Crypto[[#This Row],[Close]]/Crypto[[#This Row],[Peak Close]])-1</f>
        <v>-0.27116178976764138</v>
      </c>
      <c r="I1133">
        <v>2787.7790500000001</v>
      </c>
      <c r="J1133" s="1">
        <v>45693</v>
      </c>
      <c r="K1133" s="3">
        <v>-3.5647792819161903E-2</v>
      </c>
      <c r="L1133">
        <v>29500645692</v>
      </c>
      <c r="M1133" s="2" t="s">
        <v>18</v>
      </c>
    </row>
    <row r="1134" spans="1:13" x14ac:dyDescent="0.3">
      <c r="A1134" s="1">
        <v>45695</v>
      </c>
      <c r="B1134" s="2" t="s">
        <v>17</v>
      </c>
      <c r="C1134">
        <v>2688.8974600000001</v>
      </c>
      <c r="D1134">
        <v>2798.0288099999998</v>
      </c>
      <c r="E1134">
        <v>2564.9682600000001</v>
      </c>
      <c r="F1134">
        <v>2622.2111799999998</v>
      </c>
      <c r="G1134">
        <f>_xlfn.MAXIFS(Crypto[Close],Crypto[Name],Crypto[[#This Row],[Name]],Crypto[Date],"&lt;="&amp;Crypto[[#This Row],[Date]])</f>
        <v>3688.6113300000002</v>
      </c>
      <c r="H1134" s="3">
        <f>(Crypto[[#This Row],[Close]]/Crypto[[#This Row],[Peak Close]])-1</f>
        <v>-0.28910613089723403</v>
      </c>
      <c r="I1134">
        <v>2688.4008800000001</v>
      </c>
      <c r="J1134" s="1">
        <v>45694</v>
      </c>
      <c r="K1134" s="3">
        <v>-2.46204725241722E-2</v>
      </c>
      <c r="L1134">
        <v>29526663418</v>
      </c>
      <c r="M1134" s="2" t="s">
        <v>18</v>
      </c>
    </row>
    <row r="1135" spans="1:13" x14ac:dyDescent="0.3">
      <c r="A1135" s="1">
        <v>45696</v>
      </c>
      <c r="B1135" s="2" t="s">
        <v>17</v>
      </c>
      <c r="C1135">
        <v>2623.0019499999999</v>
      </c>
      <c r="D1135">
        <v>2665.4846200000002</v>
      </c>
      <c r="E1135">
        <v>2591.7785600000002</v>
      </c>
      <c r="F1135">
        <v>2632.3083499999998</v>
      </c>
      <c r="G1135">
        <f>_xlfn.MAXIFS(Crypto[Close],Crypto[Name],Crypto[[#This Row],[Name]],Crypto[Date],"&lt;="&amp;Crypto[[#This Row],[Date]])</f>
        <v>3688.6113300000002</v>
      </c>
      <c r="H1135" s="3">
        <f>(Crypto[[#This Row],[Close]]/Crypto[[#This Row],[Peak Close]])-1</f>
        <v>-0.28636874029229864</v>
      </c>
      <c r="I1135">
        <v>2622.2111799999998</v>
      </c>
      <c r="J1135" s="1">
        <v>45695</v>
      </c>
      <c r="K1135" s="3">
        <v>3.8506318930422701E-3</v>
      </c>
      <c r="L1135">
        <v>17059263074</v>
      </c>
      <c r="M1135" s="2" t="s">
        <v>18</v>
      </c>
    </row>
    <row r="1136" spans="1:13" x14ac:dyDescent="0.3">
      <c r="A1136" s="1">
        <v>45697</v>
      </c>
      <c r="B1136" s="2" t="s">
        <v>17</v>
      </c>
      <c r="C1136">
        <v>2632.5781299999999</v>
      </c>
      <c r="D1136">
        <v>2695.2224099999999</v>
      </c>
      <c r="E1136">
        <v>2530.43579</v>
      </c>
      <c r="F1136">
        <v>2628.7211900000002</v>
      </c>
      <c r="G1136">
        <f>_xlfn.MAXIFS(Crypto[Close],Crypto[Name],Crypto[[#This Row],[Name]],Crypto[Date],"&lt;="&amp;Crypto[[#This Row],[Date]])</f>
        <v>3688.6113300000002</v>
      </c>
      <c r="H1136" s="3">
        <f>(Crypto[[#This Row],[Close]]/Crypto[[#This Row],[Peak Close]])-1</f>
        <v>-0.28734123635628472</v>
      </c>
      <c r="I1136">
        <v>2632.3083499999998</v>
      </c>
      <c r="J1136" s="1">
        <v>45696</v>
      </c>
      <c r="K1136" s="3">
        <v>-1.3627430844109099E-3</v>
      </c>
      <c r="L1136">
        <v>17517088276</v>
      </c>
      <c r="M1136" s="2" t="s">
        <v>18</v>
      </c>
    </row>
    <row r="1137" spans="1:13" x14ac:dyDescent="0.3">
      <c r="A1137" s="1">
        <v>45698</v>
      </c>
      <c r="B1137" s="2" t="s">
        <v>17</v>
      </c>
      <c r="C1137">
        <v>2628.6501499999999</v>
      </c>
      <c r="D1137">
        <v>2692.8085900000001</v>
      </c>
      <c r="E1137">
        <v>2564.01856</v>
      </c>
      <c r="F1137">
        <v>2661.1667499999999</v>
      </c>
      <c r="G1137">
        <f>_xlfn.MAXIFS(Crypto[Close],Crypto[Name],Crypto[[#This Row],[Name]],Crypto[Date],"&lt;="&amp;Crypto[[#This Row],[Date]])</f>
        <v>3688.6113300000002</v>
      </c>
      <c r="H1137" s="3">
        <f>(Crypto[[#This Row],[Close]]/Crypto[[#This Row],[Peak Close]])-1</f>
        <v>-0.27854509138538064</v>
      </c>
      <c r="I1137">
        <v>2628.7211900000002</v>
      </c>
      <c r="J1137" s="1">
        <v>45697</v>
      </c>
      <c r="K1137" s="3">
        <v>1.23427163456615E-2</v>
      </c>
      <c r="L1137">
        <v>19414208113</v>
      </c>
      <c r="M1137" s="2" t="s">
        <v>18</v>
      </c>
    </row>
    <row r="1138" spans="1:13" x14ac:dyDescent="0.3">
      <c r="A1138" s="1">
        <v>45699</v>
      </c>
      <c r="B1138" s="2" t="s">
        <v>17</v>
      </c>
      <c r="C1138">
        <v>2661.31567</v>
      </c>
      <c r="D1138">
        <v>2724.9023400000001</v>
      </c>
      <c r="E1138">
        <v>2565.3972199999998</v>
      </c>
      <c r="F1138">
        <v>2602.7819800000002</v>
      </c>
      <c r="G1138">
        <f>_xlfn.MAXIFS(Crypto[Close],Crypto[Name],Crypto[[#This Row],[Name]],Crypto[Date],"&lt;="&amp;Crypto[[#This Row],[Date]])</f>
        <v>3688.6113300000002</v>
      </c>
      <c r="H1138" s="3">
        <f>(Crypto[[#This Row],[Close]]/Crypto[[#This Row],[Peak Close]])-1</f>
        <v>-0.29437347902957289</v>
      </c>
      <c r="I1138">
        <v>2661.1667499999999</v>
      </c>
      <c r="J1138" s="1">
        <v>45698</v>
      </c>
      <c r="K1138" s="3">
        <v>-2.19395383622615E-2</v>
      </c>
      <c r="L1138">
        <v>21156550492</v>
      </c>
      <c r="M1138" s="2" t="s">
        <v>18</v>
      </c>
    </row>
    <row r="1139" spans="1:13" x14ac:dyDescent="0.3">
      <c r="A1139" s="1">
        <v>45700</v>
      </c>
      <c r="B1139" s="2" t="s">
        <v>17</v>
      </c>
      <c r="C1139">
        <v>2602.8281299999999</v>
      </c>
      <c r="D1139">
        <v>2794.8674299999998</v>
      </c>
      <c r="E1139">
        <v>2551.1745599999999</v>
      </c>
      <c r="F1139">
        <v>2736.9020999999998</v>
      </c>
      <c r="G1139">
        <f>_xlfn.MAXIFS(Crypto[Close],Crypto[Name],Crypto[[#This Row],[Name]],Crypto[Date],"&lt;="&amp;Crypto[[#This Row],[Date]])</f>
        <v>3688.6113300000002</v>
      </c>
      <c r="H1139" s="3">
        <f>(Crypto[[#This Row],[Close]]/Crypto[[#This Row],[Peak Close]])-1</f>
        <v>-0.25801287933472794</v>
      </c>
      <c r="I1139">
        <v>2602.7819800000002</v>
      </c>
      <c r="J1139" s="1">
        <v>45699</v>
      </c>
      <c r="K1139" s="3">
        <v>5.1529525342725598E-2</v>
      </c>
      <c r="L1139">
        <v>26919387954</v>
      </c>
      <c r="M1139" s="2" t="s">
        <v>18</v>
      </c>
    </row>
    <row r="1140" spans="1:13" x14ac:dyDescent="0.3">
      <c r="A1140" s="1">
        <v>45701</v>
      </c>
      <c r="B1140" s="2" t="s">
        <v>17</v>
      </c>
      <c r="C1140">
        <v>2737.0285600000002</v>
      </c>
      <c r="D1140">
        <v>2756.4433600000002</v>
      </c>
      <c r="E1140">
        <v>2615.6677300000001</v>
      </c>
      <c r="F1140">
        <v>2675.9025900000001</v>
      </c>
      <c r="G1140">
        <f>_xlfn.MAXIFS(Crypto[Close],Crypto[Name],Crypto[[#This Row],[Name]],Crypto[Date],"&lt;="&amp;Crypto[[#This Row],[Date]])</f>
        <v>3688.6113300000002</v>
      </c>
      <c r="H1140" s="3">
        <f>(Crypto[[#This Row],[Close]]/Crypto[[#This Row],[Peak Close]])-1</f>
        <v>-0.27455013537574313</v>
      </c>
      <c r="I1140">
        <v>2736.9020999999998</v>
      </c>
      <c r="J1140" s="1">
        <v>45700</v>
      </c>
      <c r="K1140" s="3">
        <v>-2.22877939258403E-2</v>
      </c>
      <c r="L1140">
        <v>19481004625</v>
      </c>
      <c r="M1140" s="2" t="s">
        <v>18</v>
      </c>
    </row>
    <row r="1141" spans="1:13" x14ac:dyDescent="0.3">
      <c r="A1141" s="1">
        <v>45702</v>
      </c>
      <c r="B1141" s="2" t="s">
        <v>17</v>
      </c>
      <c r="C1141">
        <v>2675.9394499999999</v>
      </c>
      <c r="D1141">
        <v>2790.0236799999998</v>
      </c>
      <c r="E1141">
        <v>2666.2680700000001</v>
      </c>
      <c r="F1141">
        <v>2726.0915500000001</v>
      </c>
      <c r="G1141">
        <f>_xlfn.MAXIFS(Crypto[Close],Crypto[Name],Crypto[[#This Row],[Name]],Crypto[Date],"&lt;="&amp;Crypto[[#This Row],[Date]])</f>
        <v>3688.6113300000002</v>
      </c>
      <c r="H1141" s="3">
        <f>(Crypto[[#This Row],[Close]]/Crypto[[#This Row],[Peak Close]])-1</f>
        <v>-0.26094367063607105</v>
      </c>
      <c r="I1141">
        <v>2675.9025900000001</v>
      </c>
      <c r="J1141" s="1">
        <v>45701</v>
      </c>
      <c r="K1141" s="3">
        <v>1.8755899481378301E-2</v>
      </c>
      <c r="L1141">
        <v>17732289901</v>
      </c>
      <c r="M1141" s="2" t="s">
        <v>18</v>
      </c>
    </row>
    <row r="1142" spans="1:13" x14ac:dyDescent="0.3">
      <c r="A1142" s="1">
        <v>45703</v>
      </c>
      <c r="B1142" s="2" t="s">
        <v>17</v>
      </c>
      <c r="C1142">
        <v>2726.0747099999999</v>
      </c>
      <c r="D1142">
        <v>2738.6811499999999</v>
      </c>
      <c r="E1142">
        <v>2668.5317399999999</v>
      </c>
      <c r="F1142">
        <v>2693.5598100000002</v>
      </c>
      <c r="G1142">
        <f>_xlfn.MAXIFS(Crypto[Close],Crypto[Name],Crypto[[#This Row],[Name]],Crypto[Date],"&lt;="&amp;Crypto[[#This Row],[Date]])</f>
        <v>3688.6113300000002</v>
      </c>
      <c r="H1142" s="3">
        <f>(Crypto[[#This Row],[Close]]/Crypto[[#This Row],[Peak Close]])-1</f>
        <v>-0.26976317941310446</v>
      </c>
      <c r="I1142">
        <v>2726.0915500000001</v>
      </c>
      <c r="J1142" s="1">
        <v>45702</v>
      </c>
      <c r="K1142" s="3">
        <v>-1.19334730339485E-2</v>
      </c>
      <c r="L1142">
        <v>10803019357</v>
      </c>
      <c r="M1142" s="2" t="s">
        <v>18</v>
      </c>
    </row>
    <row r="1143" spans="1:13" x14ac:dyDescent="0.3">
      <c r="A1143" s="1">
        <v>45704</v>
      </c>
      <c r="B1143" s="2" t="s">
        <v>17</v>
      </c>
      <c r="C1143">
        <v>2693.5625</v>
      </c>
      <c r="D1143">
        <v>2724.0964399999998</v>
      </c>
      <c r="E1143">
        <v>2655.2976100000001</v>
      </c>
      <c r="F1143">
        <v>2663.31592</v>
      </c>
      <c r="G1143">
        <f>_xlfn.MAXIFS(Crypto[Close],Crypto[Name],Crypto[[#This Row],[Name]],Crypto[Date],"&lt;="&amp;Crypto[[#This Row],[Date]])</f>
        <v>3688.6113300000002</v>
      </c>
      <c r="H1143" s="3">
        <f>(Crypto[[#This Row],[Close]]/Crypto[[#This Row],[Peak Close]])-1</f>
        <v>-0.27796244122039282</v>
      </c>
      <c r="I1143">
        <v>2693.5598100000002</v>
      </c>
      <c r="J1143" s="1">
        <v>45703</v>
      </c>
      <c r="K1143" s="3">
        <v>-1.1228222921844199E-2</v>
      </c>
      <c r="L1143">
        <v>10593602117</v>
      </c>
      <c r="M1143" s="2" t="s">
        <v>18</v>
      </c>
    </row>
    <row r="1144" spans="1:13" x14ac:dyDescent="0.3">
      <c r="A1144" s="1">
        <v>45705</v>
      </c>
      <c r="B1144" s="2" t="s">
        <v>17</v>
      </c>
      <c r="C1144">
        <v>2663.2294900000002</v>
      </c>
      <c r="D1144">
        <v>2848.7841800000001</v>
      </c>
      <c r="E1144">
        <v>2640.1821300000001</v>
      </c>
      <c r="F1144">
        <v>2743.1997099999999</v>
      </c>
      <c r="G1144">
        <f>_xlfn.MAXIFS(Crypto[Close],Crypto[Name],Crypto[[#This Row],[Name]],Crypto[Date],"&lt;="&amp;Crypto[[#This Row],[Date]])</f>
        <v>3688.6113300000002</v>
      </c>
      <c r="H1144" s="3">
        <f>(Crypto[[#This Row],[Close]]/Crypto[[#This Row],[Peak Close]])-1</f>
        <v>-0.2563055674396576</v>
      </c>
      <c r="I1144">
        <v>2663.31592</v>
      </c>
      <c r="J1144" s="1">
        <v>45704</v>
      </c>
      <c r="K1144" s="3">
        <v>2.9994109748722499E-2</v>
      </c>
      <c r="L1144">
        <v>24170425078</v>
      </c>
      <c r="M1144" s="2" t="s">
        <v>18</v>
      </c>
    </row>
    <row r="1145" spans="1:13" x14ac:dyDescent="0.3">
      <c r="A1145" s="1">
        <v>45706</v>
      </c>
      <c r="B1145" s="2" t="s">
        <v>17</v>
      </c>
      <c r="C1145">
        <v>2743.02295</v>
      </c>
      <c r="D1145">
        <v>2754.6767599999998</v>
      </c>
      <c r="E1145">
        <v>2606.9003899999998</v>
      </c>
      <c r="F1145">
        <v>2669.33887</v>
      </c>
      <c r="G1145">
        <f>_xlfn.MAXIFS(Crypto[Close],Crypto[Name],Crypto[[#This Row],[Name]],Crypto[Date],"&lt;="&amp;Crypto[[#This Row],[Date]])</f>
        <v>3688.6113300000002</v>
      </c>
      <c r="H1145" s="3">
        <f>(Crypto[[#This Row],[Close]]/Crypto[[#This Row],[Peak Close]])-1</f>
        <v>-0.27632959095205079</v>
      </c>
      <c r="I1145">
        <v>2743.1997099999999</v>
      </c>
      <c r="J1145" s="1">
        <v>45705</v>
      </c>
      <c r="K1145" s="3">
        <v>-2.6925068463207101E-2</v>
      </c>
      <c r="L1145">
        <v>23004152928</v>
      </c>
      <c r="M1145" s="2" t="s">
        <v>18</v>
      </c>
    </row>
    <row r="1146" spans="1:13" x14ac:dyDescent="0.3">
      <c r="A1146" s="1">
        <v>45707</v>
      </c>
      <c r="B1146" s="2" t="s">
        <v>17</v>
      </c>
      <c r="C1146">
        <v>2669.2133800000001</v>
      </c>
      <c r="D1146">
        <v>2735.9177300000001</v>
      </c>
      <c r="E1146">
        <v>2656.3757300000002</v>
      </c>
      <c r="F1146">
        <v>2715.7710000000002</v>
      </c>
      <c r="G1146">
        <f>_xlfn.MAXIFS(Crypto[Close],Crypto[Name],Crypto[[#This Row],[Name]],Crypto[Date],"&lt;="&amp;Crypto[[#This Row],[Date]])</f>
        <v>3688.6113300000002</v>
      </c>
      <c r="H1146" s="3">
        <f>(Crypto[[#This Row],[Close]]/Crypto[[#This Row],[Peak Close]])-1</f>
        <v>-0.263741620616884</v>
      </c>
      <c r="I1146">
        <v>2669.33887</v>
      </c>
      <c r="J1146" s="1">
        <v>45706</v>
      </c>
      <c r="K1146" s="3">
        <v>1.7394618016408001E-2</v>
      </c>
      <c r="L1146">
        <v>15272401903</v>
      </c>
      <c r="M1146" s="2" t="s">
        <v>18</v>
      </c>
    </row>
    <row r="1147" spans="1:13" x14ac:dyDescent="0.3">
      <c r="A1147" s="1">
        <v>45708</v>
      </c>
      <c r="B1147" s="2" t="s">
        <v>17</v>
      </c>
      <c r="C1147">
        <v>2715.68262</v>
      </c>
      <c r="D1147">
        <v>2770.0305199999998</v>
      </c>
      <c r="E1147">
        <v>2708.2160600000002</v>
      </c>
      <c r="F1147">
        <v>2740.3864800000001</v>
      </c>
      <c r="G1147">
        <f>_xlfn.MAXIFS(Crypto[Close],Crypto[Name],Crypto[[#This Row],[Name]],Crypto[Date],"&lt;="&amp;Crypto[[#This Row],[Date]])</f>
        <v>3688.6113300000002</v>
      </c>
      <c r="H1147" s="3">
        <f>(Crypto[[#This Row],[Close]]/Crypto[[#This Row],[Peak Close]])-1</f>
        <v>-0.25706824741548473</v>
      </c>
      <c r="I1147">
        <v>2715.7710000000002</v>
      </c>
      <c r="J1147" s="1">
        <v>45707</v>
      </c>
      <c r="K1147" s="3">
        <v>9.0639011904906294E-3</v>
      </c>
      <c r="L1147">
        <v>15917259320</v>
      </c>
      <c r="M1147" s="2" t="s">
        <v>18</v>
      </c>
    </row>
    <row r="1148" spans="1:13" x14ac:dyDescent="0.3">
      <c r="A1148" s="1">
        <v>45709</v>
      </c>
      <c r="B1148" s="2" t="s">
        <v>17</v>
      </c>
      <c r="C1148">
        <v>2740.0222199999998</v>
      </c>
      <c r="D1148">
        <v>2842.8271500000001</v>
      </c>
      <c r="E1148">
        <v>2616.9194299999999</v>
      </c>
      <c r="F1148">
        <v>2659.6555199999998</v>
      </c>
      <c r="G1148">
        <f>_xlfn.MAXIFS(Crypto[Close],Crypto[Name],Crypto[[#This Row],[Name]],Crypto[Date],"&lt;="&amp;Crypto[[#This Row],[Date]])</f>
        <v>3688.6113300000002</v>
      </c>
      <c r="H1148" s="3">
        <f>(Crypto[[#This Row],[Close]]/Crypto[[#This Row],[Peak Close]])-1</f>
        <v>-0.27895479299522741</v>
      </c>
      <c r="I1148">
        <v>2740.3864800000001</v>
      </c>
      <c r="J1148" s="1">
        <v>45708</v>
      </c>
      <c r="K1148" s="3">
        <v>-2.9459698691842999E-2</v>
      </c>
      <c r="L1148">
        <v>31441524621</v>
      </c>
      <c r="M1148" s="2" t="s">
        <v>18</v>
      </c>
    </row>
    <row r="1149" spans="1:13" x14ac:dyDescent="0.3">
      <c r="A1149" s="1">
        <v>45710</v>
      </c>
      <c r="B1149" s="2" t="s">
        <v>17</v>
      </c>
      <c r="C1149">
        <v>2660.0358900000001</v>
      </c>
      <c r="D1149">
        <v>2797.0578599999999</v>
      </c>
      <c r="E1149">
        <v>2653.8674299999998</v>
      </c>
      <c r="F1149">
        <v>2764.0293000000001</v>
      </c>
      <c r="G1149">
        <f>_xlfn.MAXIFS(Crypto[Close],Crypto[Name],Crypto[[#This Row],[Name]],Crypto[Date],"&lt;="&amp;Crypto[[#This Row],[Date]])</f>
        <v>3688.6113300000002</v>
      </c>
      <c r="H1149" s="3">
        <f>(Crypto[[#This Row],[Close]]/Crypto[[#This Row],[Peak Close]])-1</f>
        <v>-0.25065856694638522</v>
      </c>
      <c r="I1149">
        <v>2659.6555199999998</v>
      </c>
      <c r="J1149" s="1">
        <v>45709</v>
      </c>
      <c r="K1149" s="3">
        <v>3.9243345318644998E-2</v>
      </c>
      <c r="L1149">
        <v>16403164397</v>
      </c>
      <c r="M1149" s="2" t="s">
        <v>18</v>
      </c>
    </row>
    <row r="1150" spans="1:13" x14ac:dyDescent="0.3">
      <c r="A1150" s="1">
        <v>45711</v>
      </c>
      <c r="B1150" s="2" t="s">
        <v>17</v>
      </c>
      <c r="C1150">
        <v>2764.0310100000002</v>
      </c>
      <c r="D1150">
        <v>2850.6103499999999</v>
      </c>
      <c r="E1150">
        <v>2746.7736799999998</v>
      </c>
      <c r="F1150">
        <v>2821.3103000000001</v>
      </c>
      <c r="G1150">
        <f>_xlfn.MAXIFS(Crypto[Close],Crypto[Name],Crypto[[#This Row],[Name]],Crypto[Date],"&lt;="&amp;Crypto[[#This Row],[Date]])</f>
        <v>3688.6113300000002</v>
      </c>
      <c r="H1150" s="3">
        <f>(Crypto[[#This Row],[Close]]/Crypto[[#This Row],[Peak Close]])-1</f>
        <v>-0.2351294165764003</v>
      </c>
      <c r="I1150">
        <v>2764.0293000000001</v>
      </c>
      <c r="J1150" s="1">
        <v>45710</v>
      </c>
      <c r="K1150" s="3">
        <v>2.0723731112401701E-2</v>
      </c>
      <c r="L1150">
        <v>20493767269</v>
      </c>
      <c r="M1150" s="2" t="s">
        <v>18</v>
      </c>
    </row>
    <row r="1151" spans="1:13" x14ac:dyDescent="0.3">
      <c r="A1151" s="1">
        <v>45712</v>
      </c>
      <c r="B1151" s="2" t="s">
        <v>17</v>
      </c>
      <c r="C1151">
        <v>2820.4562999999998</v>
      </c>
      <c r="D1151">
        <v>2839.01001</v>
      </c>
      <c r="E1151">
        <v>2478.89941</v>
      </c>
      <c r="F1151">
        <v>2513.8212899999999</v>
      </c>
      <c r="G1151">
        <f>_xlfn.MAXIFS(Crypto[Close],Crypto[Name],Crypto[[#This Row],[Name]],Crypto[Date],"&lt;="&amp;Crypto[[#This Row],[Date]])</f>
        <v>3688.6113300000002</v>
      </c>
      <c r="H1151" s="3">
        <f>(Crypto[[#This Row],[Close]]/Crypto[[#This Row],[Peak Close]])-1</f>
        <v>-0.31849114338647333</v>
      </c>
      <c r="I1151">
        <v>2821.3103000000001</v>
      </c>
      <c r="J1151" s="1">
        <v>45711</v>
      </c>
      <c r="K1151" s="3">
        <v>-0.10898801524951</v>
      </c>
      <c r="L1151">
        <v>29127380459</v>
      </c>
      <c r="M1151" s="2" t="s">
        <v>18</v>
      </c>
    </row>
    <row r="1152" spans="1:13" x14ac:dyDescent="0.3">
      <c r="A1152" s="1">
        <v>45713</v>
      </c>
      <c r="B1152" s="2" t="s">
        <v>17</v>
      </c>
      <c r="C1152">
        <v>2514.2109399999999</v>
      </c>
      <c r="D1152">
        <v>2529.6691900000001</v>
      </c>
      <c r="E1152">
        <v>2326.6320799999999</v>
      </c>
      <c r="F1152">
        <v>2493.5925299999999</v>
      </c>
      <c r="G1152">
        <f>_xlfn.MAXIFS(Crypto[Close],Crypto[Name],Crypto[[#This Row],[Name]],Crypto[Date],"&lt;="&amp;Crypto[[#This Row],[Date]])</f>
        <v>3688.6113300000002</v>
      </c>
      <c r="H1152" s="3">
        <f>(Crypto[[#This Row],[Close]]/Crypto[[#This Row],[Peak Close]])-1</f>
        <v>-0.32397525602134947</v>
      </c>
      <c r="I1152">
        <v>2513.8212899999999</v>
      </c>
      <c r="J1152" s="1">
        <v>45712</v>
      </c>
      <c r="K1152" s="3">
        <v>-8.0470159436035194E-3</v>
      </c>
      <c r="L1152">
        <v>40044790246</v>
      </c>
      <c r="M1152" s="2" t="s">
        <v>18</v>
      </c>
    </row>
    <row r="1153" spans="1:13" x14ac:dyDescent="0.3">
      <c r="A1153" s="1">
        <v>45714</v>
      </c>
      <c r="B1153" s="2" t="s">
        <v>17</v>
      </c>
      <c r="C1153">
        <v>2493.38159</v>
      </c>
      <c r="D1153">
        <v>2503.4221200000002</v>
      </c>
      <c r="E1153">
        <v>2255.0549299999998</v>
      </c>
      <c r="F1153">
        <v>2331.45264</v>
      </c>
      <c r="G1153">
        <f>_xlfn.MAXIFS(Crypto[Close],Crypto[Name],Crypto[[#This Row],[Name]],Crypto[Date],"&lt;="&amp;Crypto[[#This Row],[Date]])</f>
        <v>3688.6113300000002</v>
      </c>
      <c r="H1153" s="3">
        <f>(Crypto[[#This Row],[Close]]/Crypto[[#This Row],[Peak Close]])-1</f>
        <v>-0.36793214805854868</v>
      </c>
      <c r="I1153">
        <v>2493.5925299999999</v>
      </c>
      <c r="J1153" s="1">
        <v>45713</v>
      </c>
      <c r="K1153" s="3">
        <v>-6.5022608164454196E-2</v>
      </c>
      <c r="L1153">
        <v>28815111323</v>
      </c>
      <c r="M1153" s="2" t="s">
        <v>18</v>
      </c>
    </row>
    <row r="1154" spans="1:13" x14ac:dyDescent="0.3">
      <c r="A1154" s="1">
        <v>45715</v>
      </c>
      <c r="B1154" s="2" t="s">
        <v>17</v>
      </c>
      <c r="C1154">
        <v>2331.5102499999998</v>
      </c>
      <c r="D1154">
        <v>2378.0873999999999</v>
      </c>
      <c r="E1154">
        <v>2230.4482400000002</v>
      </c>
      <c r="F1154">
        <v>2305.4843799999999</v>
      </c>
      <c r="G1154">
        <f>_xlfn.MAXIFS(Crypto[Close],Crypto[Name],Crypto[[#This Row],[Name]],Crypto[Date],"&lt;="&amp;Crypto[[#This Row],[Date]])</f>
        <v>3688.6113300000002</v>
      </c>
      <c r="H1154" s="3">
        <f>(Crypto[[#This Row],[Close]]/Crypto[[#This Row],[Peak Close]])-1</f>
        <v>-0.37497226632441105</v>
      </c>
      <c r="I1154">
        <v>2331.45264</v>
      </c>
      <c r="J1154" s="1">
        <v>45714</v>
      </c>
      <c r="K1154" s="3">
        <v>-1.11382318278617E-2</v>
      </c>
      <c r="L1154">
        <v>24286213447</v>
      </c>
      <c r="M1154" s="2" t="s">
        <v>18</v>
      </c>
    </row>
    <row r="1155" spans="1:13" x14ac:dyDescent="0.3">
      <c r="A1155" s="1">
        <v>45716</v>
      </c>
      <c r="B1155" s="2" t="s">
        <v>17</v>
      </c>
      <c r="C1155">
        <v>2305.5600599999998</v>
      </c>
      <c r="D1155">
        <v>2310.94922</v>
      </c>
      <c r="E1155">
        <v>2076.1699199999998</v>
      </c>
      <c r="F1155">
        <v>2237.9052700000002</v>
      </c>
      <c r="G1155">
        <f>_xlfn.MAXIFS(Crypto[Close],Crypto[Name],Crypto[[#This Row],[Name]],Crypto[Date],"&lt;="&amp;Crypto[[#This Row],[Date]])</f>
        <v>3688.6113300000002</v>
      </c>
      <c r="H1155" s="3">
        <f>(Crypto[[#This Row],[Close]]/Crypto[[#This Row],[Peak Close]])-1</f>
        <v>-0.39329328308493805</v>
      </c>
      <c r="I1155">
        <v>2305.4843799999999</v>
      </c>
      <c r="J1155" s="1">
        <v>45715</v>
      </c>
      <c r="K1155" s="3">
        <v>-2.9312326115173998E-2</v>
      </c>
      <c r="L1155">
        <v>35737904667</v>
      </c>
      <c r="M1155" s="2" t="s">
        <v>18</v>
      </c>
    </row>
    <row r="1156" spans="1:13" x14ac:dyDescent="0.3">
      <c r="A1156" s="1">
        <v>45717</v>
      </c>
      <c r="B1156" s="2" t="s">
        <v>17</v>
      </c>
      <c r="C1156">
        <v>2237.9421400000001</v>
      </c>
      <c r="D1156">
        <v>2279.8730500000001</v>
      </c>
      <c r="E1156">
        <v>2144.0900900000001</v>
      </c>
      <c r="F1156">
        <v>2216.6433099999999</v>
      </c>
      <c r="G1156">
        <f>_xlfn.MAXIFS(Crypto[Close],Crypto[Name],Crypto[[#This Row],[Name]],Crypto[Date],"&lt;="&amp;Crypto[[#This Row],[Date]])</f>
        <v>3688.6113300000002</v>
      </c>
      <c r="H1156" s="3">
        <f>(Crypto[[#This Row],[Close]]/Crypto[[#This Row],[Peak Close]])-1</f>
        <v>-0.39905750113281802</v>
      </c>
      <c r="I1156">
        <v>2237.9052700000002</v>
      </c>
      <c r="J1156" s="1">
        <v>45716</v>
      </c>
      <c r="K1156" s="3">
        <v>-9.5008311053310403E-3</v>
      </c>
      <c r="L1156">
        <v>16135258239</v>
      </c>
      <c r="M1156" s="2" t="s">
        <v>18</v>
      </c>
    </row>
    <row r="1157" spans="1:13" x14ac:dyDescent="0.3">
      <c r="A1157" s="1">
        <v>45718</v>
      </c>
      <c r="B1157" s="2" t="s">
        <v>17</v>
      </c>
      <c r="C1157">
        <v>2216.5217299999999</v>
      </c>
      <c r="D1157">
        <v>2548.8117699999998</v>
      </c>
      <c r="E1157">
        <v>2175.3215300000002</v>
      </c>
      <c r="F1157">
        <v>2519.6945799999999</v>
      </c>
      <c r="G1157">
        <f>_xlfn.MAXIFS(Crypto[Close],Crypto[Name],Crypto[[#This Row],[Name]],Crypto[Date],"&lt;="&amp;Crypto[[#This Row],[Date]])</f>
        <v>3688.6113300000002</v>
      </c>
      <c r="H1157" s="3">
        <f>(Crypto[[#This Row],[Close]]/Crypto[[#This Row],[Peak Close]])-1</f>
        <v>-0.31689886665288758</v>
      </c>
      <c r="I1157">
        <v>2216.6433099999999</v>
      </c>
      <c r="J1157" s="1">
        <v>45717</v>
      </c>
      <c r="K1157" s="3">
        <v>0.13671629920467401</v>
      </c>
      <c r="L1157">
        <v>34854193845</v>
      </c>
      <c r="M1157" s="2" t="s">
        <v>18</v>
      </c>
    </row>
    <row r="1158" spans="1:13" x14ac:dyDescent="0.3">
      <c r="A1158" s="1">
        <v>45719</v>
      </c>
      <c r="B1158" s="2" t="s">
        <v>17</v>
      </c>
      <c r="C1158">
        <v>2519.5310100000002</v>
      </c>
      <c r="D1158">
        <v>2522.3166500000002</v>
      </c>
      <c r="E1158">
        <v>2097.0761699999998</v>
      </c>
      <c r="F1158">
        <v>2145.5739800000001</v>
      </c>
      <c r="G1158">
        <f>_xlfn.MAXIFS(Crypto[Close],Crypto[Name],Crypto[[#This Row],[Name]],Crypto[Date],"&lt;="&amp;Crypto[[#This Row],[Date]])</f>
        <v>3688.6113300000002</v>
      </c>
      <c r="H1158" s="3">
        <f>(Crypto[[#This Row],[Close]]/Crypto[[#This Row],[Peak Close]])-1</f>
        <v>-0.41832473306424511</v>
      </c>
      <c r="I1158">
        <v>2519.6945799999999</v>
      </c>
      <c r="J1158" s="1">
        <v>45718</v>
      </c>
      <c r="K1158" s="3">
        <v>-0.148478550920247</v>
      </c>
      <c r="L1158">
        <v>31473561910</v>
      </c>
      <c r="M1158" s="2" t="s">
        <v>18</v>
      </c>
    </row>
    <row r="1159" spans="1:13" x14ac:dyDescent="0.3">
      <c r="A1159" s="1">
        <v>45720</v>
      </c>
      <c r="B1159" s="2" t="s">
        <v>17</v>
      </c>
      <c r="C1159">
        <v>2145.65283</v>
      </c>
      <c r="D1159">
        <v>2220.3586399999999</v>
      </c>
      <c r="E1159">
        <v>1996.76758</v>
      </c>
      <c r="F1159">
        <v>2170.01514</v>
      </c>
      <c r="G1159">
        <f>_xlfn.MAXIFS(Crypto[Close],Crypto[Name],Crypto[[#This Row],[Name]],Crypto[Date],"&lt;="&amp;Crypto[[#This Row],[Date]])</f>
        <v>3688.6113300000002</v>
      </c>
      <c r="H1159" s="3">
        <f>(Crypto[[#This Row],[Close]]/Crypto[[#This Row],[Peak Close]])-1</f>
        <v>-0.41169861884038628</v>
      </c>
      <c r="I1159">
        <v>2145.5739800000001</v>
      </c>
      <c r="J1159" s="1">
        <v>45719</v>
      </c>
      <c r="K1159" s="3">
        <v>1.1391431956123899E-2</v>
      </c>
      <c r="L1159">
        <v>33935738380</v>
      </c>
      <c r="M1159" s="2" t="s">
        <v>18</v>
      </c>
    </row>
    <row r="1160" spans="1:13" x14ac:dyDescent="0.3">
      <c r="A1160" s="1">
        <v>45721</v>
      </c>
      <c r="B1160" s="2" t="s">
        <v>17</v>
      </c>
      <c r="C1160">
        <v>2169.9868200000001</v>
      </c>
      <c r="D1160">
        <v>2272.79736</v>
      </c>
      <c r="E1160">
        <v>2156.0993699999999</v>
      </c>
      <c r="F1160">
        <v>2241.9773</v>
      </c>
      <c r="G1160">
        <f>_xlfn.MAXIFS(Crypto[Close],Crypto[Name],Crypto[[#This Row],[Name]],Crypto[Date],"&lt;="&amp;Crypto[[#This Row],[Date]])</f>
        <v>3688.6113300000002</v>
      </c>
      <c r="H1160" s="3">
        <f>(Crypto[[#This Row],[Close]]/Crypto[[#This Row],[Peak Close]])-1</f>
        <v>-0.39218933646771614</v>
      </c>
      <c r="I1160">
        <v>2170.01514</v>
      </c>
      <c r="J1160" s="1">
        <v>45720</v>
      </c>
      <c r="K1160" s="3">
        <v>3.3162054344007999E-2</v>
      </c>
      <c r="L1160">
        <v>22105432727</v>
      </c>
      <c r="M1160" s="2" t="s">
        <v>18</v>
      </c>
    </row>
    <row r="1161" spans="1:13" x14ac:dyDescent="0.3">
      <c r="A1161" s="1">
        <v>45722</v>
      </c>
      <c r="B1161" s="2" t="s">
        <v>17</v>
      </c>
      <c r="C1161">
        <v>2241.9064899999998</v>
      </c>
      <c r="D1161">
        <v>2319.39624</v>
      </c>
      <c r="E1161">
        <v>2177.6770000000001</v>
      </c>
      <c r="F1161">
        <v>2202.4768100000001</v>
      </c>
      <c r="G1161">
        <f>_xlfn.MAXIFS(Crypto[Close],Crypto[Name],Crypto[[#This Row],[Name]],Crypto[Date],"&lt;="&amp;Crypto[[#This Row],[Date]])</f>
        <v>3688.6113300000002</v>
      </c>
      <c r="H1161" s="3">
        <f>(Crypto[[#This Row],[Close]]/Crypto[[#This Row],[Peak Close]])-1</f>
        <v>-0.40289810637218859</v>
      </c>
      <c r="I1161">
        <v>2241.9773</v>
      </c>
      <c r="J1161" s="1">
        <v>45721</v>
      </c>
      <c r="K1161" s="3">
        <v>-1.7618594978637801E-2</v>
      </c>
      <c r="L1161">
        <v>18509069102</v>
      </c>
      <c r="M1161" s="2" t="s">
        <v>18</v>
      </c>
    </row>
    <row r="1162" spans="1:13" x14ac:dyDescent="0.3">
      <c r="A1162" s="1">
        <v>45723</v>
      </c>
      <c r="B1162" s="2" t="s">
        <v>17</v>
      </c>
      <c r="C1162">
        <v>2202.49829</v>
      </c>
      <c r="D1162">
        <v>2254.2324199999998</v>
      </c>
      <c r="E1162">
        <v>2103.4726599999999</v>
      </c>
      <c r="F1162">
        <v>2138.9875499999998</v>
      </c>
      <c r="G1162">
        <f>_xlfn.MAXIFS(Crypto[Close],Crypto[Name],Crypto[[#This Row],[Name]],Crypto[Date],"&lt;="&amp;Crypto[[#This Row],[Date]])</f>
        <v>3688.6113300000002</v>
      </c>
      <c r="H1162" s="3">
        <f>(Crypto[[#This Row],[Close]]/Crypto[[#This Row],[Peak Close]])-1</f>
        <v>-0.42011034542910231</v>
      </c>
      <c r="I1162">
        <v>2202.4768100000001</v>
      </c>
      <c r="J1162" s="1">
        <v>45722</v>
      </c>
      <c r="K1162" s="3">
        <v>-2.8826301240375E-2</v>
      </c>
      <c r="L1162">
        <v>22425792863</v>
      </c>
      <c r="M1162" s="2" t="s">
        <v>18</v>
      </c>
    </row>
    <row r="1163" spans="1:13" x14ac:dyDescent="0.3">
      <c r="A1163" s="1">
        <v>45724</v>
      </c>
      <c r="B1163" s="2" t="s">
        <v>17</v>
      </c>
      <c r="C1163">
        <v>2139.7978499999999</v>
      </c>
      <c r="D1163">
        <v>2232.3271500000001</v>
      </c>
      <c r="E1163">
        <v>2107.7280300000002</v>
      </c>
      <c r="F1163">
        <v>2201.5102499999998</v>
      </c>
      <c r="G1163">
        <f>_xlfn.MAXIFS(Crypto[Close],Crypto[Name],Crypto[[#This Row],[Name]],Crypto[Date],"&lt;="&amp;Crypto[[#This Row],[Date]])</f>
        <v>3688.6113300000002</v>
      </c>
      <c r="H1163" s="3">
        <f>(Crypto[[#This Row],[Close]]/Crypto[[#This Row],[Peak Close]])-1</f>
        <v>-0.4031601453656003</v>
      </c>
      <c r="I1163">
        <v>2138.9875499999998</v>
      </c>
      <c r="J1163" s="1">
        <v>45723</v>
      </c>
      <c r="K1163" s="3">
        <v>2.9230043905585101E-2</v>
      </c>
      <c r="L1163">
        <v>10533204814</v>
      </c>
      <c r="M1163" s="2" t="s">
        <v>18</v>
      </c>
    </row>
    <row r="1164" spans="1:13" x14ac:dyDescent="0.3">
      <c r="A1164" s="1">
        <v>45725</v>
      </c>
      <c r="B1164" s="2" t="s">
        <v>17</v>
      </c>
      <c r="C1164">
        <v>2201.70874</v>
      </c>
      <c r="D1164">
        <v>2210.3137200000001</v>
      </c>
      <c r="E1164">
        <v>1991.1934799999999</v>
      </c>
      <c r="F1164">
        <v>2015.5091600000001</v>
      </c>
      <c r="G1164">
        <f>_xlfn.MAXIFS(Crypto[Close],Crypto[Name],Crypto[[#This Row],[Name]],Crypto[Date],"&lt;="&amp;Crypto[[#This Row],[Date]])</f>
        <v>3688.6113300000002</v>
      </c>
      <c r="H1164" s="3">
        <f>(Crypto[[#This Row],[Close]]/Crypto[[#This Row],[Peak Close]])-1</f>
        <v>-0.45358592172409773</v>
      </c>
      <c r="I1164">
        <v>2201.5102499999998</v>
      </c>
      <c r="J1164" s="1">
        <v>45724</v>
      </c>
      <c r="K1164" s="3">
        <v>-8.4487950941859E-2</v>
      </c>
      <c r="L1164">
        <v>16103964994</v>
      </c>
      <c r="M1164" s="2" t="s">
        <v>18</v>
      </c>
    </row>
    <row r="1165" spans="1:13" x14ac:dyDescent="0.3">
      <c r="A1165" s="1">
        <v>45726</v>
      </c>
      <c r="B1165" s="2" t="s">
        <v>17</v>
      </c>
      <c r="C1165">
        <v>2015.4304199999999</v>
      </c>
      <c r="D1165">
        <v>2150.7062999999998</v>
      </c>
      <c r="E1165">
        <v>1812.76685</v>
      </c>
      <c r="F1165">
        <v>1861.15137</v>
      </c>
      <c r="G1165">
        <f>_xlfn.MAXIFS(Crypto[Close],Crypto[Name],Crypto[[#This Row],[Name]],Crypto[Date],"&lt;="&amp;Crypto[[#This Row],[Date]])</f>
        <v>3688.6113300000002</v>
      </c>
      <c r="H1165" s="3">
        <f>(Crypto[[#This Row],[Close]]/Crypto[[#This Row],[Peak Close]])-1</f>
        <v>-0.49543304959701462</v>
      </c>
      <c r="I1165">
        <v>2015.5091600000001</v>
      </c>
      <c r="J1165" s="1">
        <v>45725</v>
      </c>
      <c r="K1165" s="3">
        <v>-7.6585010409974993E-2</v>
      </c>
      <c r="L1165">
        <v>35005066442</v>
      </c>
      <c r="M1165" s="2" t="s">
        <v>18</v>
      </c>
    </row>
    <row r="1166" spans="1:13" x14ac:dyDescent="0.3">
      <c r="A1166" s="1">
        <v>45727</v>
      </c>
      <c r="B1166" s="2" t="s">
        <v>17</v>
      </c>
      <c r="C1166">
        <v>1859.7777100000001</v>
      </c>
      <c r="D1166">
        <v>1961.79773</v>
      </c>
      <c r="E1166">
        <v>1760.9417699999999</v>
      </c>
      <c r="F1166">
        <v>1919.8449700000001</v>
      </c>
      <c r="G1166">
        <f>_xlfn.MAXIFS(Crypto[Close],Crypto[Name],Crypto[[#This Row],[Name]],Crypto[Date],"&lt;="&amp;Crypto[[#This Row],[Date]])</f>
        <v>3688.6113300000002</v>
      </c>
      <c r="H1166" s="3">
        <f>(Crypto[[#This Row],[Close]]/Crypto[[#This Row],[Peak Close]])-1</f>
        <v>-0.47952093667727258</v>
      </c>
      <c r="I1166">
        <v>1861.15137</v>
      </c>
      <c r="J1166" s="1">
        <v>45726</v>
      </c>
      <c r="K1166" s="3">
        <v>3.1536177522196999E-2</v>
      </c>
      <c r="L1166">
        <v>30898385863</v>
      </c>
      <c r="M1166" s="2" t="s">
        <v>18</v>
      </c>
    </row>
    <row r="1167" spans="1:13" x14ac:dyDescent="0.3">
      <c r="A1167" s="1">
        <v>45728</v>
      </c>
      <c r="B1167" s="2" t="s">
        <v>17</v>
      </c>
      <c r="C1167">
        <v>1919.6648</v>
      </c>
      <c r="D1167">
        <v>1954.5711699999999</v>
      </c>
      <c r="E1167">
        <v>1832.0190399999999</v>
      </c>
      <c r="F1167">
        <v>1908.9826700000001</v>
      </c>
      <c r="G1167">
        <f>_xlfn.MAXIFS(Crypto[Close],Crypto[Name],Crypto[[#This Row],[Name]],Crypto[Date],"&lt;="&amp;Crypto[[#This Row],[Date]])</f>
        <v>3688.6113300000002</v>
      </c>
      <c r="H1167" s="3">
        <f>(Crypto[[#This Row],[Close]]/Crypto[[#This Row],[Peak Close]])-1</f>
        <v>-0.48246575764869215</v>
      </c>
      <c r="I1167">
        <v>1919.8449700000001</v>
      </c>
      <c r="J1167" s="1">
        <v>45727</v>
      </c>
      <c r="K1167" s="3">
        <v>-5.6579047630080301E-3</v>
      </c>
      <c r="L1167">
        <v>22898872951</v>
      </c>
      <c r="M1167" s="2" t="s">
        <v>18</v>
      </c>
    </row>
    <row r="1168" spans="1:13" x14ac:dyDescent="0.3">
      <c r="A1168" s="1">
        <v>45729</v>
      </c>
      <c r="B1168" s="2" t="s">
        <v>17</v>
      </c>
      <c r="C1168">
        <v>1909.0153800000001</v>
      </c>
      <c r="D1168">
        <v>1919.68823</v>
      </c>
      <c r="E1168">
        <v>1823.52539</v>
      </c>
      <c r="F1168">
        <v>1862.9695999999999</v>
      </c>
      <c r="G1168">
        <f>_xlfn.MAXIFS(Crypto[Close],Crypto[Name],Crypto[[#This Row],[Name]],Crypto[Date],"&lt;="&amp;Crypto[[#This Row],[Date]])</f>
        <v>3688.6113300000002</v>
      </c>
      <c r="H1168" s="3">
        <f>(Crypto[[#This Row],[Close]]/Crypto[[#This Row],[Peak Close]])-1</f>
        <v>-0.4949401188332847</v>
      </c>
      <c r="I1168">
        <v>1908.9826700000001</v>
      </c>
      <c r="J1168" s="1">
        <v>45728</v>
      </c>
      <c r="K1168" s="3">
        <v>-2.41034508710339E-2</v>
      </c>
      <c r="L1168">
        <v>17977225564</v>
      </c>
      <c r="M1168" s="2" t="s">
        <v>18</v>
      </c>
    </row>
    <row r="1169" spans="1:13" x14ac:dyDescent="0.3">
      <c r="A1169" s="1">
        <v>45730</v>
      </c>
      <c r="B1169" s="2" t="s">
        <v>17</v>
      </c>
      <c r="C1169">
        <v>1862.99793</v>
      </c>
      <c r="D1169">
        <v>1945.0914299999999</v>
      </c>
      <c r="E1169">
        <v>1861.1059600000001</v>
      </c>
      <c r="F1169">
        <v>1909.4675299999999</v>
      </c>
      <c r="G1169">
        <f>_xlfn.MAXIFS(Crypto[Close],Crypto[Name],Crypto[[#This Row],[Name]],Crypto[Date],"&lt;="&amp;Crypto[[#This Row],[Date]])</f>
        <v>3688.6113300000002</v>
      </c>
      <c r="H1169" s="3">
        <f>(Crypto[[#This Row],[Close]]/Crypto[[#This Row],[Peak Close]])-1</f>
        <v>-0.48233430980650382</v>
      </c>
      <c r="I1169">
        <v>1862.9695999999999</v>
      </c>
      <c r="J1169" s="1">
        <v>45729</v>
      </c>
      <c r="K1169" s="3">
        <v>2.4959038515711698E-2</v>
      </c>
      <c r="L1169">
        <v>12122715282</v>
      </c>
      <c r="M1169" s="2" t="s">
        <v>18</v>
      </c>
    </row>
    <row r="1170" spans="1:13" x14ac:dyDescent="0.3">
      <c r="A1170" s="1">
        <v>45731</v>
      </c>
      <c r="B1170" s="2" t="s">
        <v>17</v>
      </c>
      <c r="C1170">
        <v>1909.52808</v>
      </c>
      <c r="D1170">
        <v>1955.2384</v>
      </c>
      <c r="E1170">
        <v>1904.9657</v>
      </c>
      <c r="F1170">
        <v>1937.39465</v>
      </c>
      <c r="G1170">
        <f>_xlfn.MAXIFS(Crypto[Close],Crypto[Name],Crypto[[#This Row],[Name]],Crypto[Date],"&lt;="&amp;Crypto[[#This Row],[Date]])</f>
        <v>3688.6113300000002</v>
      </c>
      <c r="H1170" s="3">
        <f>(Crypto[[#This Row],[Close]]/Crypto[[#This Row],[Peak Close]])-1</f>
        <v>-0.47476313531791925</v>
      </c>
      <c r="I1170">
        <v>1909.4675299999999</v>
      </c>
      <c r="J1170" s="1">
        <v>45730</v>
      </c>
      <c r="K1170" s="3">
        <v>1.46256061238182E-2</v>
      </c>
      <c r="L1170">
        <v>6456484591</v>
      </c>
      <c r="M1170" s="2" t="s">
        <v>18</v>
      </c>
    </row>
    <row r="1171" spans="1:13" x14ac:dyDescent="0.3">
      <c r="A1171" s="1">
        <v>45732</v>
      </c>
      <c r="B1171" s="2" t="s">
        <v>17</v>
      </c>
      <c r="C1171">
        <v>1937.3847699999999</v>
      </c>
      <c r="D1171">
        <v>1940.4743699999999</v>
      </c>
      <c r="E1171">
        <v>1863.48901</v>
      </c>
      <c r="F1171">
        <v>1887.43506</v>
      </c>
      <c r="G1171">
        <f>_xlfn.MAXIFS(Crypto[Close],Crypto[Name],Crypto[[#This Row],[Name]],Crypto[Date],"&lt;="&amp;Crypto[[#This Row],[Date]])</f>
        <v>3688.6113300000002</v>
      </c>
      <c r="H1171" s="3">
        <f>(Crypto[[#This Row],[Close]]/Crypto[[#This Row],[Peak Close]])-1</f>
        <v>-0.48830741676434641</v>
      </c>
      <c r="I1171">
        <v>1937.39465</v>
      </c>
      <c r="J1171" s="1">
        <v>45731</v>
      </c>
      <c r="K1171" s="3">
        <v>-2.5786996985874801E-2</v>
      </c>
      <c r="L1171">
        <v>9292997638</v>
      </c>
      <c r="M1171" s="2" t="s">
        <v>18</v>
      </c>
    </row>
    <row r="1172" spans="1:13" x14ac:dyDescent="0.3">
      <c r="A1172" s="1">
        <v>45733</v>
      </c>
      <c r="B1172" s="2" t="s">
        <v>17</v>
      </c>
      <c r="C1172">
        <v>1887.44922</v>
      </c>
      <c r="D1172">
        <v>1951.62598</v>
      </c>
      <c r="E1172">
        <v>1880.4843800000001</v>
      </c>
      <c r="F1172">
        <v>1927.0029300000001</v>
      </c>
      <c r="G1172">
        <f>_xlfn.MAXIFS(Crypto[Close],Crypto[Name],Crypto[[#This Row],[Name]],Crypto[Date],"&lt;="&amp;Crypto[[#This Row],[Date]])</f>
        <v>3688.6113300000002</v>
      </c>
      <c r="H1172" s="3">
        <f>(Crypto[[#This Row],[Close]]/Crypto[[#This Row],[Peak Close]])-1</f>
        <v>-0.47758037982277735</v>
      </c>
      <c r="I1172">
        <v>1887.43506</v>
      </c>
      <c r="J1172" s="1">
        <v>45732</v>
      </c>
      <c r="K1172" s="3">
        <v>2.0963831200634799E-2</v>
      </c>
      <c r="L1172">
        <v>10436892087</v>
      </c>
      <c r="M1172" s="2" t="s">
        <v>18</v>
      </c>
    </row>
    <row r="1173" spans="1:13" x14ac:dyDescent="0.3">
      <c r="A1173" s="1">
        <v>45734</v>
      </c>
      <c r="B1173" s="2" t="s">
        <v>17</v>
      </c>
      <c r="C1173">
        <v>1927.0057400000001</v>
      </c>
      <c r="D1173">
        <v>1935.18201</v>
      </c>
      <c r="E1173">
        <v>1872.50891</v>
      </c>
      <c r="F1173">
        <v>1932.5434600000001</v>
      </c>
      <c r="G1173">
        <f>_xlfn.MAXIFS(Crypto[Close],Crypto[Name],Crypto[[#This Row],[Name]],Crypto[Date],"&lt;="&amp;Crypto[[#This Row],[Date]])</f>
        <v>3688.6113300000002</v>
      </c>
      <c r="H1173" s="3">
        <f>(Crypto[[#This Row],[Close]]/Crypto[[#This Row],[Peak Close]])-1</f>
        <v>-0.47607831590106842</v>
      </c>
      <c r="I1173">
        <v>1927.0029300000001</v>
      </c>
      <c r="J1173" s="1">
        <v>45733</v>
      </c>
      <c r="K1173" s="3">
        <v>2.8752057995054502E-3</v>
      </c>
      <c r="L1173">
        <v>10170844746</v>
      </c>
      <c r="M1173" s="2" t="s">
        <v>18</v>
      </c>
    </row>
    <row r="1174" spans="1:13" x14ac:dyDescent="0.3">
      <c r="A1174" s="1">
        <v>45735</v>
      </c>
      <c r="B1174" s="2" t="s">
        <v>17</v>
      </c>
      <c r="C1174">
        <v>1932.54456</v>
      </c>
      <c r="D1174">
        <v>2068.7644</v>
      </c>
      <c r="E1174">
        <v>1928.2495100000001</v>
      </c>
      <c r="F1174">
        <v>2057.7490200000002</v>
      </c>
      <c r="G1174">
        <f>_xlfn.MAXIFS(Crypto[Close],Crypto[Name],Crypto[[#This Row],[Name]],Crypto[Date],"&lt;="&amp;Crypto[[#This Row],[Date]])</f>
        <v>3688.6113300000002</v>
      </c>
      <c r="H1174" s="3">
        <f>(Crypto[[#This Row],[Close]]/Crypto[[#This Row],[Peak Close]])-1</f>
        <v>-0.44213449563958263</v>
      </c>
      <c r="I1174">
        <v>1932.5434600000001</v>
      </c>
      <c r="J1174" s="1">
        <v>45734</v>
      </c>
      <c r="K1174" s="3">
        <v>6.4787966010347905E-2</v>
      </c>
      <c r="L1174">
        <v>20065206266</v>
      </c>
      <c r="M1174" s="2" t="s">
        <v>18</v>
      </c>
    </row>
    <row r="1175" spans="1:13" x14ac:dyDescent="0.3">
      <c r="A1175" s="1">
        <v>45736</v>
      </c>
      <c r="B1175" s="2" t="s">
        <v>17</v>
      </c>
      <c r="C1175">
        <v>2057.9511699999998</v>
      </c>
      <c r="D1175">
        <v>2067.4836399999999</v>
      </c>
      <c r="E1175">
        <v>1952.2432899999999</v>
      </c>
      <c r="F1175">
        <v>1982.0998500000001</v>
      </c>
      <c r="G1175">
        <f>_xlfn.MAXIFS(Crypto[Close],Crypto[Name],Crypto[[#This Row],[Name]],Crypto[Date],"&lt;="&amp;Crypto[[#This Row],[Date]])</f>
        <v>3688.6113300000002</v>
      </c>
      <c r="H1175" s="3">
        <f>(Crypto[[#This Row],[Close]]/Crypto[[#This Row],[Peak Close]])-1</f>
        <v>-0.46264334388410611</v>
      </c>
      <c r="I1175">
        <v>2057.7490200000002</v>
      </c>
      <c r="J1175" s="1">
        <v>45735</v>
      </c>
      <c r="K1175" s="3">
        <v>-3.6763069385400603E-2</v>
      </c>
      <c r="L1175">
        <v>13217865782</v>
      </c>
      <c r="M1175" s="2" t="s">
        <v>18</v>
      </c>
    </row>
    <row r="1176" spans="1:13" x14ac:dyDescent="0.3">
      <c r="A1176" s="1">
        <v>45737</v>
      </c>
      <c r="B1176" s="2" t="s">
        <v>17</v>
      </c>
      <c r="C1176">
        <v>1981.85303</v>
      </c>
      <c r="D1176">
        <v>1994.89148</v>
      </c>
      <c r="E1176">
        <v>1937.21155</v>
      </c>
      <c r="F1176">
        <v>1964.84753</v>
      </c>
      <c r="G1176">
        <f>_xlfn.MAXIFS(Crypto[Close],Crypto[Name],Crypto[[#This Row],[Name]],Crypto[Date],"&lt;="&amp;Crypto[[#This Row],[Date]])</f>
        <v>3688.6113300000002</v>
      </c>
      <c r="H1176" s="3">
        <f>(Crypto[[#This Row],[Close]]/Crypto[[#This Row],[Peak Close]])-1</f>
        <v>-0.46732052953922909</v>
      </c>
      <c r="I1176">
        <v>1982.0998500000001</v>
      </c>
      <c r="J1176" s="1">
        <v>45736</v>
      </c>
      <c r="K1176" s="3">
        <v>-8.7040620077742607E-3</v>
      </c>
      <c r="L1176">
        <v>9708125480</v>
      </c>
      <c r="M1176" s="2" t="s">
        <v>18</v>
      </c>
    </row>
    <row r="1177" spans="1:13" x14ac:dyDescent="0.3">
      <c r="A1177" s="1">
        <v>45738</v>
      </c>
      <c r="B1177" s="2" t="s">
        <v>17</v>
      </c>
      <c r="C1177">
        <v>1964.9404300000001</v>
      </c>
      <c r="D1177">
        <v>2005.04114</v>
      </c>
      <c r="E1177">
        <v>1964.271</v>
      </c>
      <c r="F1177">
        <v>1980.03784</v>
      </c>
      <c r="G1177">
        <f>_xlfn.MAXIFS(Crypto[Close],Crypto[Name],Crypto[[#This Row],[Name]],Crypto[Date],"&lt;="&amp;Crypto[[#This Row],[Date]])</f>
        <v>3688.6113300000002</v>
      </c>
      <c r="H1177" s="3">
        <f>(Crypto[[#This Row],[Close]]/Crypto[[#This Row],[Peak Close]])-1</f>
        <v>-0.4632023645603236</v>
      </c>
      <c r="I1177">
        <v>1964.84753</v>
      </c>
      <c r="J1177" s="1">
        <v>45737</v>
      </c>
      <c r="K1177" s="3">
        <v>7.7310375324643899E-3</v>
      </c>
      <c r="L1177">
        <v>6117036512</v>
      </c>
      <c r="M1177" s="2" t="s">
        <v>18</v>
      </c>
    </row>
    <row r="1178" spans="1:13" x14ac:dyDescent="0.3">
      <c r="A1178" s="1">
        <v>45739</v>
      </c>
      <c r="B1178" s="2" t="s">
        <v>17</v>
      </c>
      <c r="C1178">
        <v>1979.9836399999999</v>
      </c>
      <c r="D1178">
        <v>2019.8894</v>
      </c>
      <c r="E1178">
        <v>1977.7093500000001</v>
      </c>
      <c r="F1178">
        <v>2005.29919</v>
      </c>
      <c r="G1178">
        <f>_xlfn.MAXIFS(Crypto[Close],Crypto[Name],Crypto[[#This Row],[Name]],Crypto[Date],"&lt;="&amp;Crypto[[#This Row],[Date]])</f>
        <v>3688.6113300000002</v>
      </c>
      <c r="H1178" s="3">
        <f>(Crypto[[#This Row],[Close]]/Crypto[[#This Row],[Peak Close]])-1</f>
        <v>-0.45635389294322859</v>
      </c>
      <c r="I1178">
        <v>1980.03784</v>
      </c>
      <c r="J1178" s="1">
        <v>45738</v>
      </c>
      <c r="K1178" s="3">
        <v>1.27580137559391E-2</v>
      </c>
      <c r="L1178">
        <v>7522339707</v>
      </c>
      <c r="M1178" s="2" t="s">
        <v>18</v>
      </c>
    </row>
    <row r="1179" spans="1:13" x14ac:dyDescent="0.3">
      <c r="A1179" s="1">
        <v>45740</v>
      </c>
      <c r="B1179" s="2" t="s">
        <v>17</v>
      </c>
      <c r="C1179">
        <v>2005.71838</v>
      </c>
      <c r="D1179">
        <v>2101.9834000000001</v>
      </c>
      <c r="E1179">
        <v>1978.76379</v>
      </c>
      <c r="F1179">
        <v>2077.4789999999998</v>
      </c>
      <c r="G1179">
        <f>_xlfn.MAXIFS(Crypto[Close],Crypto[Name],Crypto[[#This Row],[Name]],Crypto[Date],"&lt;="&amp;Crypto[[#This Row],[Date]])</f>
        <v>3688.6113300000002</v>
      </c>
      <c r="H1179" s="3">
        <f>(Crypto[[#This Row],[Close]]/Crypto[[#This Row],[Peak Close]])-1</f>
        <v>-0.43678560462481697</v>
      </c>
      <c r="I1179">
        <v>2005.29919</v>
      </c>
      <c r="J1179" s="1">
        <v>45739</v>
      </c>
      <c r="K1179" s="3">
        <v>3.5994534062520497E-2</v>
      </c>
      <c r="L1179">
        <v>14044912402</v>
      </c>
      <c r="M1179" s="2" t="s">
        <v>18</v>
      </c>
    </row>
    <row r="1180" spans="1:13" x14ac:dyDescent="0.3">
      <c r="A1180" s="1">
        <v>45741</v>
      </c>
      <c r="B1180" s="2" t="s">
        <v>17</v>
      </c>
      <c r="C1180">
        <v>2078.5681199999999</v>
      </c>
      <c r="D1180">
        <v>2096.5183099999999</v>
      </c>
      <c r="E1180">
        <v>2038.64453</v>
      </c>
      <c r="F1180">
        <v>2067.7641600000002</v>
      </c>
      <c r="G1180">
        <f>_xlfn.MAXIFS(Crypto[Close],Crypto[Name],Crypto[[#This Row],[Name]],Crypto[Date],"&lt;="&amp;Crypto[[#This Row],[Date]])</f>
        <v>3688.6113300000002</v>
      </c>
      <c r="H1180" s="3">
        <f>(Crypto[[#This Row],[Close]]/Crypto[[#This Row],[Peak Close]])-1</f>
        <v>-0.43941934375612302</v>
      </c>
      <c r="I1180">
        <v>2077.4789999999998</v>
      </c>
      <c r="J1180" s="1">
        <v>45740</v>
      </c>
      <c r="K1180" s="3">
        <v>-4.6762638755913502E-3</v>
      </c>
      <c r="L1180">
        <v>11735658914</v>
      </c>
      <c r="M1180" s="2" t="s">
        <v>18</v>
      </c>
    </row>
    <row r="1181" spans="1:13" x14ac:dyDescent="0.3">
      <c r="A1181" s="1">
        <v>45742</v>
      </c>
      <c r="B1181" s="2" t="s">
        <v>17</v>
      </c>
      <c r="C1181">
        <v>2067.5087899999999</v>
      </c>
      <c r="D1181">
        <v>2078.3691399999998</v>
      </c>
      <c r="E1181">
        <v>1982.4123500000001</v>
      </c>
      <c r="F1181">
        <v>2009.1893299999999</v>
      </c>
      <c r="G1181">
        <f>_xlfn.MAXIFS(Crypto[Close],Crypto[Name],Crypto[[#This Row],[Name]],Crypto[Date],"&lt;="&amp;Crypto[[#This Row],[Date]])</f>
        <v>3688.6113300000002</v>
      </c>
      <c r="H1181" s="3">
        <f>(Crypto[[#This Row],[Close]]/Crypto[[#This Row],[Peak Close]])-1</f>
        <v>-0.455299257566397</v>
      </c>
      <c r="I1181">
        <v>2067.7641600000002</v>
      </c>
      <c r="J1181" s="1">
        <v>45741</v>
      </c>
      <c r="K1181" s="3">
        <v>-2.83276164337814E-2</v>
      </c>
      <c r="L1181">
        <v>13178523590</v>
      </c>
      <c r="M1181" s="2" t="s">
        <v>18</v>
      </c>
    </row>
    <row r="1182" spans="1:13" x14ac:dyDescent="0.3">
      <c r="A1182" s="1">
        <v>45743</v>
      </c>
      <c r="B1182" s="2" t="s">
        <v>17</v>
      </c>
      <c r="C1182">
        <v>2008.94055</v>
      </c>
      <c r="D1182">
        <v>2037.3961200000001</v>
      </c>
      <c r="E1182">
        <v>1987.71777</v>
      </c>
      <c r="F1182">
        <v>2002.35742</v>
      </c>
      <c r="G1182">
        <f>_xlfn.MAXIFS(Crypto[Close],Crypto[Name],Crypto[[#This Row],[Name]],Crypto[Date],"&lt;="&amp;Crypto[[#This Row],[Date]])</f>
        <v>3688.6113300000002</v>
      </c>
      <c r="H1182" s="3">
        <f>(Crypto[[#This Row],[Close]]/Crypto[[#This Row],[Peak Close]])-1</f>
        <v>-0.45715142072179238</v>
      </c>
      <c r="I1182">
        <v>2009.1893299999999</v>
      </c>
      <c r="J1182" s="1">
        <v>45742</v>
      </c>
      <c r="K1182" s="3">
        <v>-3.40033161533855E-3</v>
      </c>
      <c r="L1182">
        <v>11593274543</v>
      </c>
      <c r="M1182" s="2" t="s">
        <v>18</v>
      </c>
    </row>
    <row r="1183" spans="1:13" x14ac:dyDescent="0.3">
      <c r="A1183" s="1">
        <v>45744</v>
      </c>
      <c r="B1183" s="2" t="s">
        <v>17</v>
      </c>
      <c r="C1183">
        <v>2002.4105199999999</v>
      </c>
      <c r="D1183">
        <v>2015.45435</v>
      </c>
      <c r="E1183">
        <v>1863.01062</v>
      </c>
      <c r="F1183">
        <v>1895.5029300000001</v>
      </c>
      <c r="G1183">
        <f>_xlfn.MAXIFS(Crypto[Close],Crypto[Name],Crypto[[#This Row],[Name]],Crypto[Date],"&lt;="&amp;Crypto[[#This Row],[Date]])</f>
        <v>3688.6113300000002</v>
      </c>
      <c r="H1183" s="3">
        <f>(Crypto[[#This Row],[Close]]/Crypto[[#This Row],[Peak Close]])-1</f>
        <v>-0.48612017899972126</v>
      </c>
      <c r="I1183">
        <v>2002.35742</v>
      </c>
      <c r="J1183" s="1">
        <v>45743</v>
      </c>
      <c r="K1183" s="3">
        <v>-5.3364343914184903E-2</v>
      </c>
      <c r="L1183">
        <v>18160526498</v>
      </c>
      <c r="M1183" s="2" t="s">
        <v>18</v>
      </c>
    </row>
    <row r="1184" spans="1:13" x14ac:dyDescent="0.3">
      <c r="A1184" s="1">
        <v>45745</v>
      </c>
      <c r="B1184" s="2" t="s">
        <v>17</v>
      </c>
      <c r="C1184">
        <v>1895.5496800000001</v>
      </c>
      <c r="D1184">
        <v>1911.9008799999999</v>
      </c>
      <c r="E1184">
        <v>1799.20081</v>
      </c>
      <c r="F1184">
        <v>1827.3203100000001</v>
      </c>
      <c r="G1184">
        <f>_xlfn.MAXIFS(Crypto[Close],Crypto[Name],Crypto[[#This Row],[Name]],Crypto[Date],"&lt;="&amp;Crypto[[#This Row],[Date]])</f>
        <v>3688.6113300000002</v>
      </c>
      <c r="H1184" s="3">
        <f>(Crypto[[#This Row],[Close]]/Crypto[[#This Row],[Peak Close]])-1</f>
        <v>-0.50460481017933656</v>
      </c>
      <c r="I1184">
        <v>1895.5029300000001</v>
      </c>
      <c r="J1184" s="1">
        <v>45744</v>
      </c>
      <c r="K1184" s="3">
        <v>-3.5970727832111603E-2</v>
      </c>
      <c r="L1184">
        <v>12194771785</v>
      </c>
      <c r="M1184" s="2" t="s">
        <v>18</v>
      </c>
    </row>
    <row r="1185" spans="1:13" x14ac:dyDescent="0.3">
      <c r="A1185" s="1">
        <v>45746</v>
      </c>
      <c r="B1185" s="2" t="s">
        <v>17</v>
      </c>
      <c r="C1185">
        <v>1827.31104</v>
      </c>
      <c r="D1185">
        <v>1847.5705599999999</v>
      </c>
      <c r="E1185">
        <v>1769.41272</v>
      </c>
      <c r="F1185">
        <v>1806.2186300000001</v>
      </c>
      <c r="G1185">
        <f>_xlfn.MAXIFS(Crypto[Close],Crypto[Name],Crypto[[#This Row],[Name]],Crypto[Date],"&lt;="&amp;Crypto[[#This Row],[Date]])</f>
        <v>3688.6113300000002</v>
      </c>
      <c r="H1185" s="3">
        <f>(Crypto[[#This Row],[Close]]/Crypto[[#This Row],[Peak Close]])-1</f>
        <v>-0.51032557556016611</v>
      </c>
      <c r="I1185">
        <v>1827.3203100000001</v>
      </c>
      <c r="J1185" s="1">
        <v>45745</v>
      </c>
      <c r="K1185" s="3">
        <v>-1.1547882374273E-2</v>
      </c>
      <c r="L1185">
        <v>9854857162</v>
      </c>
      <c r="M1185" s="2" t="s">
        <v>18</v>
      </c>
    </row>
    <row r="1186" spans="1:13" x14ac:dyDescent="0.3">
      <c r="A1186" s="1">
        <v>45747</v>
      </c>
      <c r="B1186" s="2" t="s">
        <v>17</v>
      </c>
      <c r="C1186">
        <v>1806.3165300000001</v>
      </c>
      <c r="D1186">
        <v>1852.5513900000001</v>
      </c>
      <c r="E1186">
        <v>1778.69226</v>
      </c>
      <c r="F1186">
        <v>1823.4799800000001</v>
      </c>
      <c r="G1186">
        <f>_xlfn.MAXIFS(Crypto[Close],Crypto[Name],Crypto[[#This Row],[Name]],Crypto[Date],"&lt;="&amp;Crypto[[#This Row],[Date]])</f>
        <v>3688.6113300000002</v>
      </c>
      <c r="H1186" s="3">
        <f>(Crypto[[#This Row],[Close]]/Crypto[[#This Row],[Peak Close]])-1</f>
        <v>-0.50564594182927913</v>
      </c>
      <c r="I1186">
        <v>1806.2186300000001</v>
      </c>
      <c r="J1186" s="1">
        <v>45746</v>
      </c>
      <c r="K1186" s="3">
        <v>9.5566227218019505E-3</v>
      </c>
      <c r="L1186">
        <v>15765030938</v>
      </c>
      <c r="M1186" s="2" t="s">
        <v>18</v>
      </c>
    </row>
    <row r="1187" spans="1:13" x14ac:dyDescent="0.3">
      <c r="A1187" s="1">
        <v>45748</v>
      </c>
      <c r="B1187" s="2" t="s">
        <v>17</v>
      </c>
      <c r="C1187">
        <v>1823.5623800000001</v>
      </c>
      <c r="D1187">
        <v>1926.3029799999999</v>
      </c>
      <c r="E1187">
        <v>1820.35034</v>
      </c>
      <c r="F1187">
        <v>1905.49146</v>
      </c>
      <c r="G1187">
        <f>_xlfn.MAXIFS(Crypto[Close],Crypto[Name],Crypto[[#This Row],[Name]],Crypto[Date],"&lt;="&amp;Crypto[[#This Row],[Date]])</f>
        <v>3688.6113300000002</v>
      </c>
      <c r="H1187" s="3">
        <f>(Crypto[[#This Row],[Close]]/Crypto[[#This Row],[Peak Close]])-1</f>
        <v>-0.48341224121328075</v>
      </c>
      <c r="I1187">
        <v>1823.4799800000001</v>
      </c>
      <c r="J1187" s="1">
        <v>45747</v>
      </c>
      <c r="K1187" s="3">
        <v>4.4975256597004097E-2</v>
      </c>
      <c r="L1187">
        <v>15001220420</v>
      </c>
      <c r="M1187" s="2" t="s">
        <v>18</v>
      </c>
    </row>
    <row r="1188" spans="1:13" x14ac:dyDescent="0.3">
      <c r="A1188" s="1">
        <v>45749</v>
      </c>
      <c r="B1188" s="2" t="s">
        <v>17</v>
      </c>
      <c r="C1188">
        <v>1905.4846199999999</v>
      </c>
      <c r="D1188">
        <v>1951.1803</v>
      </c>
      <c r="E1188">
        <v>1782.76025</v>
      </c>
      <c r="F1188">
        <v>1795.31323</v>
      </c>
      <c r="G1188">
        <f>_xlfn.MAXIFS(Crypto[Close],Crypto[Name],Crypto[[#This Row],[Name]],Crypto[Date],"&lt;="&amp;Crypto[[#This Row],[Date]])</f>
        <v>3688.6113300000002</v>
      </c>
      <c r="H1188" s="3">
        <f>(Crypto[[#This Row],[Close]]/Crypto[[#This Row],[Peak Close]])-1</f>
        <v>-0.51328208114569773</v>
      </c>
      <c r="I1188">
        <v>1905.49146</v>
      </c>
      <c r="J1188" s="1">
        <v>45748</v>
      </c>
      <c r="K1188" s="3">
        <v>-5.7821424190481502E-2</v>
      </c>
      <c r="L1188">
        <v>22593742104</v>
      </c>
      <c r="M1188" s="2" t="s">
        <v>18</v>
      </c>
    </row>
    <row r="1189" spans="1:13" x14ac:dyDescent="0.3">
      <c r="A1189" s="1">
        <v>45750</v>
      </c>
      <c r="B1189" s="2" t="s">
        <v>17</v>
      </c>
      <c r="C1189">
        <v>1794.9760699999999</v>
      </c>
      <c r="D1189">
        <v>1844.07105</v>
      </c>
      <c r="E1189">
        <v>1751.38086</v>
      </c>
      <c r="F1189">
        <v>1815.6372100000001</v>
      </c>
      <c r="G1189">
        <f>_xlfn.MAXIFS(Crypto[Close],Crypto[Name],Crypto[[#This Row],[Name]],Crypto[Date],"&lt;="&amp;Crypto[[#This Row],[Date]])</f>
        <v>3688.6113300000002</v>
      </c>
      <c r="H1189" s="3">
        <f>(Crypto[[#This Row],[Close]]/Crypto[[#This Row],[Peak Close]])-1</f>
        <v>-0.507772153917881</v>
      </c>
      <c r="I1189">
        <v>1795.31323</v>
      </c>
      <c r="J1189" s="1">
        <v>45749</v>
      </c>
      <c r="K1189" s="3">
        <v>1.13205760757415E-2</v>
      </c>
      <c r="L1189">
        <v>16450974373</v>
      </c>
      <c r="M1189" s="2" t="s">
        <v>18</v>
      </c>
    </row>
    <row r="1190" spans="1:13" x14ac:dyDescent="0.3">
      <c r="A1190" s="1">
        <v>45751</v>
      </c>
      <c r="B1190" s="2" t="s">
        <v>17</v>
      </c>
      <c r="C1190">
        <v>1815.60986</v>
      </c>
      <c r="D1190">
        <v>1833.95679</v>
      </c>
      <c r="E1190">
        <v>1760.58862</v>
      </c>
      <c r="F1190">
        <v>1815.33521</v>
      </c>
      <c r="G1190">
        <f>_xlfn.MAXIFS(Crypto[Close],Crypto[Name],Crypto[[#This Row],[Name]],Crypto[Date],"&lt;="&amp;Crypto[[#This Row],[Date]])</f>
        <v>3688.6113300000002</v>
      </c>
      <c r="H1190" s="3">
        <f>(Crypto[[#This Row],[Close]]/Crypto[[#This Row],[Peak Close]])-1</f>
        <v>-0.5078540275480854</v>
      </c>
      <c r="I1190">
        <v>1815.6372100000001</v>
      </c>
      <c r="J1190" s="1">
        <v>45750</v>
      </c>
      <c r="K1190" s="3">
        <v>-1.66332788476027E-4</v>
      </c>
      <c r="L1190">
        <v>18061720814</v>
      </c>
      <c r="M1190" s="2" t="s">
        <v>18</v>
      </c>
    </row>
    <row r="1191" spans="1:13" x14ac:dyDescent="0.3">
      <c r="A1191" s="1">
        <v>45752</v>
      </c>
      <c r="B1191" s="2" t="s">
        <v>17</v>
      </c>
      <c r="C1191">
        <v>1815.3449700000001</v>
      </c>
      <c r="D1191">
        <v>1826.2985799999999</v>
      </c>
      <c r="E1191">
        <v>1767.5135499999999</v>
      </c>
      <c r="F1191">
        <v>1805.97327</v>
      </c>
      <c r="G1191">
        <f>_xlfn.MAXIFS(Crypto[Close],Crypto[Name],Crypto[[#This Row],[Name]],Crypto[Date],"&lt;="&amp;Crypto[[#This Row],[Date]])</f>
        <v>3688.6113300000002</v>
      </c>
      <c r="H1191" s="3">
        <f>(Crypto[[#This Row],[Close]]/Crypto[[#This Row],[Peak Close]])-1</f>
        <v>-0.51039209381813622</v>
      </c>
      <c r="I1191">
        <v>1815.33521</v>
      </c>
      <c r="J1191" s="1">
        <v>45751</v>
      </c>
      <c r="K1191" s="3">
        <v>-5.1571411981812497E-3</v>
      </c>
      <c r="L1191">
        <v>6374712479</v>
      </c>
      <c r="M1191" s="2" t="s">
        <v>18</v>
      </c>
    </row>
    <row r="1192" spans="1:13" x14ac:dyDescent="0.3">
      <c r="A1192" s="1">
        <v>45753</v>
      </c>
      <c r="B1192" s="2" t="s">
        <v>17</v>
      </c>
      <c r="C1192">
        <v>1805.9630099999999</v>
      </c>
      <c r="D1192">
        <v>1815.57483</v>
      </c>
      <c r="E1192">
        <v>1539.4379899999999</v>
      </c>
      <c r="F1192">
        <v>1576.72803</v>
      </c>
      <c r="G1192">
        <f>_xlfn.MAXIFS(Crypto[Close],Crypto[Name],Crypto[[#This Row],[Name]],Crypto[Date],"&lt;="&amp;Crypto[[#This Row],[Date]])</f>
        <v>3688.6113300000002</v>
      </c>
      <c r="H1192" s="3">
        <f>(Crypto[[#This Row],[Close]]/Crypto[[#This Row],[Peak Close]])-1</f>
        <v>-0.57254156403624124</v>
      </c>
      <c r="I1192">
        <v>1805.97327</v>
      </c>
      <c r="J1192" s="1">
        <v>45752</v>
      </c>
      <c r="K1192" s="3">
        <v>-0.12693722759252099</v>
      </c>
      <c r="L1192">
        <v>22154445576</v>
      </c>
      <c r="M1192" s="2" t="s">
        <v>18</v>
      </c>
    </row>
    <row r="1193" spans="1:13" x14ac:dyDescent="0.3">
      <c r="A1193" s="1">
        <v>45754</v>
      </c>
      <c r="B1193" s="2" t="s">
        <v>17</v>
      </c>
      <c r="C1193">
        <v>1576.94983</v>
      </c>
      <c r="D1193">
        <v>1634.04114</v>
      </c>
      <c r="E1193">
        <v>1415.37354</v>
      </c>
      <c r="F1193">
        <v>1555.2409700000001</v>
      </c>
      <c r="G1193">
        <f>_xlfn.MAXIFS(Crypto[Close],Crypto[Name],Crypto[[#This Row],[Name]],Crypto[Date],"&lt;="&amp;Crypto[[#This Row],[Date]])</f>
        <v>3688.6113300000002</v>
      </c>
      <c r="H1193" s="3">
        <f>(Crypto[[#This Row],[Close]]/Crypto[[#This Row],[Peak Close]])-1</f>
        <v>-0.57836680776014426</v>
      </c>
      <c r="I1193">
        <v>1576.72803</v>
      </c>
      <c r="J1193" s="1">
        <v>45753</v>
      </c>
      <c r="K1193" s="3">
        <v>-1.36276260656062E-2</v>
      </c>
      <c r="L1193">
        <v>46073959047</v>
      </c>
      <c r="M1193" s="2" t="s">
        <v>18</v>
      </c>
    </row>
    <row r="1194" spans="1:13" x14ac:dyDescent="0.3">
      <c r="A1194" s="1">
        <v>45755</v>
      </c>
      <c r="B1194" s="2" t="s">
        <v>17</v>
      </c>
      <c r="C1194">
        <v>1554.9321299999999</v>
      </c>
      <c r="D1194">
        <v>1617.3398400000001</v>
      </c>
      <c r="E1194">
        <v>1447.6101100000001</v>
      </c>
      <c r="F1194">
        <v>1472.5531000000001</v>
      </c>
      <c r="G1194">
        <f>_xlfn.MAXIFS(Crypto[Close],Crypto[Name],Crypto[[#This Row],[Name]],Crypto[Date],"&lt;="&amp;Crypto[[#This Row],[Date]])</f>
        <v>3688.6113300000002</v>
      </c>
      <c r="H1194" s="3">
        <f>(Crypto[[#This Row],[Close]]/Crypto[[#This Row],[Peak Close]])-1</f>
        <v>-0.60078388090837431</v>
      </c>
      <c r="I1194">
        <v>1555.2409700000001</v>
      </c>
      <c r="J1194" s="1">
        <v>45754</v>
      </c>
      <c r="K1194" s="3">
        <v>-5.3167240057982797E-2</v>
      </c>
      <c r="L1194">
        <v>21315312919</v>
      </c>
      <c r="M1194" s="2" t="s">
        <v>18</v>
      </c>
    </row>
    <row r="1195" spans="1:13" x14ac:dyDescent="0.3">
      <c r="A1195" s="1">
        <v>45756</v>
      </c>
      <c r="B1195" s="2" t="s">
        <v>17</v>
      </c>
      <c r="C1195">
        <v>1472.6014399999999</v>
      </c>
      <c r="D1195">
        <v>1687.1879899999999</v>
      </c>
      <c r="E1195">
        <v>1386.7993200000001</v>
      </c>
      <c r="F1195">
        <v>1668.0400400000001</v>
      </c>
      <c r="G1195">
        <f>_xlfn.MAXIFS(Crypto[Close],Crypto[Name],Crypto[[#This Row],[Name]],Crypto[Date],"&lt;="&amp;Crypto[[#This Row],[Date]])</f>
        <v>3688.6113300000002</v>
      </c>
      <c r="H1195" s="3">
        <f>(Crypto[[#This Row],[Close]]/Crypto[[#This Row],[Peak Close]])-1</f>
        <v>-0.54778644569201607</v>
      </c>
      <c r="I1195">
        <v>1472.5531000000001</v>
      </c>
      <c r="J1195" s="1">
        <v>45755</v>
      </c>
      <c r="K1195" s="3">
        <v>0.13275374585812899</v>
      </c>
      <c r="L1195">
        <v>39252195855</v>
      </c>
      <c r="M1195" s="2" t="s">
        <v>18</v>
      </c>
    </row>
    <row r="1196" spans="1:13" x14ac:dyDescent="0.3">
      <c r="A1196" s="1">
        <v>45757</v>
      </c>
      <c r="B1196" s="2" t="s">
        <v>17</v>
      </c>
      <c r="C1196">
        <v>1668.2017800000001</v>
      </c>
      <c r="D1196">
        <v>1669.39417</v>
      </c>
      <c r="E1196">
        <v>1474.91419</v>
      </c>
      <c r="F1196">
        <v>1522.5188000000001</v>
      </c>
      <c r="G1196">
        <f>_xlfn.MAXIFS(Crypto[Close],Crypto[Name],Crypto[[#This Row],[Name]],Crypto[Date],"&lt;="&amp;Crypto[[#This Row],[Date]])</f>
        <v>3688.6113300000002</v>
      </c>
      <c r="H1196" s="3">
        <f>(Crypto[[#This Row],[Close]]/Crypto[[#This Row],[Peak Close]])-1</f>
        <v>-0.5872379430120116</v>
      </c>
      <c r="I1196">
        <v>1668.0400400000001</v>
      </c>
      <c r="J1196" s="1">
        <v>45756</v>
      </c>
      <c r="K1196" s="3">
        <v>-8.7240855441335793E-2</v>
      </c>
      <c r="L1196">
        <v>21379604307</v>
      </c>
      <c r="M1196" s="2" t="s">
        <v>18</v>
      </c>
    </row>
    <row r="1197" spans="1:13" x14ac:dyDescent="0.3">
      <c r="A1197" s="1">
        <v>45758</v>
      </c>
      <c r="B1197" s="2" t="s">
        <v>17</v>
      </c>
      <c r="C1197">
        <v>1522.4730199999999</v>
      </c>
      <c r="D1197">
        <v>1587.5385699999999</v>
      </c>
      <c r="E1197">
        <v>1505.0019500000001</v>
      </c>
      <c r="F1197">
        <v>1567.14978</v>
      </c>
      <c r="G1197">
        <f>_xlfn.MAXIFS(Crypto[Close],Crypto[Name],Crypto[[#This Row],[Name]],Crypto[Date],"&lt;="&amp;Crypto[[#This Row],[Date]])</f>
        <v>3688.6113300000002</v>
      </c>
      <c r="H1197" s="3">
        <f>(Crypto[[#This Row],[Close]]/Crypto[[#This Row],[Peak Close]])-1</f>
        <v>-0.57513827297168774</v>
      </c>
      <c r="I1197">
        <v>1522.5188000000001</v>
      </c>
      <c r="J1197" s="1">
        <v>45757</v>
      </c>
      <c r="K1197" s="3">
        <v>2.9313910606555301E-2</v>
      </c>
      <c r="L1197">
        <v>14871838813</v>
      </c>
      <c r="M1197" s="2" t="s">
        <v>18</v>
      </c>
    </row>
    <row r="1198" spans="1:13" x14ac:dyDescent="0.3">
      <c r="A1198" s="1">
        <v>45759</v>
      </c>
      <c r="B1198" s="2" t="s">
        <v>17</v>
      </c>
      <c r="C1198">
        <v>1567.1557600000001</v>
      </c>
      <c r="D1198">
        <v>1666.01758</v>
      </c>
      <c r="E1198">
        <v>1546.8195800000001</v>
      </c>
      <c r="F1198">
        <v>1643.52856</v>
      </c>
      <c r="G1198">
        <f>_xlfn.MAXIFS(Crypto[Close],Crypto[Name],Crypto[[#This Row],[Name]],Crypto[Date],"&lt;="&amp;Crypto[[#This Row],[Date]])</f>
        <v>3688.6113300000002</v>
      </c>
      <c r="H1198" s="3">
        <f>(Crypto[[#This Row],[Close]]/Crypto[[#This Row],[Peak Close]])-1</f>
        <v>-0.55443162400089463</v>
      </c>
      <c r="I1198">
        <v>1567.14978</v>
      </c>
      <c r="J1198" s="1">
        <v>45758</v>
      </c>
      <c r="K1198" s="3">
        <v>4.8737383608604398E-2</v>
      </c>
      <c r="L1198">
        <v>12110995013</v>
      </c>
      <c r="M1198" s="2" t="s">
        <v>18</v>
      </c>
    </row>
    <row r="1199" spans="1:13" x14ac:dyDescent="0.3">
      <c r="A1199" s="1">
        <v>45760</v>
      </c>
      <c r="B1199" s="2" t="s">
        <v>17</v>
      </c>
      <c r="C1199">
        <v>1643.5011</v>
      </c>
      <c r="D1199">
        <v>1648.28674</v>
      </c>
      <c r="E1199">
        <v>1564.83887</v>
      </c>
      <c r="F1199">
        <v>1596.68579</v>
      </c>
      <c r="G1199">
        <f>_xlfn.MAXIFS(Crypto[Close],Crypto[Name],Crypto[[#This Row],[Name]],Crypto[Date],"&lt;="&amp;Crypto[[#This Row],[Date]])</f>
        <v>3688.6113300000002</v>
      </c>
      <c r="H1199" s="3">
        <f>(Crypto[[#This Row],[Close]]/Crypto[[#This Row],[Peak Close]])-1</f>
        <v>-0.56713092078476057</v>
      </c>
      <c r="I1199">
        <v>1643.52856</v>
      </c>
      <c r="J1199" s="1">
        <v>45759</v>
      </c>
      <c r="K1199" s="3">
        <v>-2.85013422583907E-2</v>
      </c>
      <c r="L1199">
        <v>13909890792</v>
      </c>
      <c r="M1199" s="2" t="s">
        <v>18</v>
      </c>
    </row>
    <row r="1200" spans="1:13" x14ac:dyDescent="0.3">
      <c r="A1200" s="1">
        <v>45761</v>
      </c>
      <c r="B1200" s="2" t="s">
        <v>17</v>
      </c>
      <c r="C1200">
        <v>1596.88184</v>
      </c>
      <c r="D1200">
        <v>1689.85754</v>
      </c>
      <c r="E1200">
        <v>1596.08655</v>
      </c>
      <c r="F1200">
        <v>1622.7699</v>
      </c>
      <c r="G1200">
        <f>_xlfn.MAXIFS(Crypto[Close],Crypto[Name],Crypto[[#This Row],[Name]],Crypto[Date],"&lt;="&amp;Crypto[[#This Row],[Date]])</f>
        <v>3688.6113300000002</v>
      </c>
      <c r="H1200" s="3">
        <f>(Crypto[[#This Row],[Close]]/Crypto[[#This Row],[Peak Close]])-1</f>
        <v>-0.56005939503525848</v>
      </c>
      <c r="I1200">
        <v>1596.68579</v>
      </c>
      <c r="J1200" s="1">
        <v>45760</v>
      </c>
      <c r="K1200" s="3">
        <v>1.63364076785577E-2</v>
      </c>
      <c r="L1200">
        <v>16518325094</v>
      </c>
      <c r="M1200" s="2" t="s">
        <v>18</v>
      </c>
    </row>
    <row r="1201" spans="1:13" x14ac:dyDescent="0.3">
      <c r="A1201" s="1">
        <v>45762</v>
      </c>
      <c r="B1201" s="2" t="s">
        <v>17</v>
      </c>
      <c r="C1201">
        <v>1622.7718500000001</v>
      </c>
      <c r="D1201">
        <v>1659.83618</v>
      </c>
      <c r="E1201">
        <v>1585.2291299999999</v>
      </c>
      <c r="F1201">
        <v>1588.6324500000001</v>
      </c>
      <c r="G1201">
        <f>_xlfn.MAXIFS(Crypto[Close],Crypto[Name],Crypto[[#This Row],[Name]],Crypto[Date],"&lt;="&amp;Crypto[[#This Row],[Date]])</f>
        <v>3688.6113300000002</v>
      </c>
      <c r="H1201" s="3">
        <f>(Crypto[[#This Row],[Close]]/Crypto[[#This Row],[Peak Close]])-1</f>
        <v>-0.56931421939757476</v>
      </c>
      <c r="I1201">
        <v>1622.7699</v>
      </c>
      <c r="J1201" s="1">
        <v>45761</v>
      </c>
      <c r="K1201" s="3">
        <v>-2.1036531426913901E-2</v>
      </c>
      <c r="L1201">
        <v>13175452875</v>
      </c>
      <c r="M1201" s="2" t="s">
        <v>18</v>
      </c>
    </row>
    <row r="1202" spans="1:13" x14ac:dyDescent="0.3">
      <c r="A1202" s="1">
        <v>45763</v>
      </c>
      <c r="B1202" s="2" t="s">
        <v>17</v>
      </c>
      <c r="C1202">
        <v>1589.0310099999999</v>
      </c>
      <c r="D1202">
        <v>1610.7820999999999</v>
      </c>
      <c r="E1202">
        <v>1540.0338099999999</v>
      </c>
      <c r="F1202">
        <v>1578.10535</v>
      </c>
      <c r="G1202">
        <f>_xlfn.MAXIFS(Crypto[Close],Crypto[Name],Crypto[[#This Row],[Name]],Crypto[Date],"&lt;="&amp;Crypto[[#This Row],[Date]])</f>
        <v>3688.6113300000002</v>
      </c>
      <c r="H1202" s="3">
        <f>(Crypto[[#This Row],[Close]]/Crypto[[#This Row],[Peak Close]])-1</f>
        <v>-0.57216816606156229</v>
      </c>
      <c r="I1202">
        <v>1588.6324500000001</v>
      </c>
      <c r="J1202" s="1">
        <v>45762</v>
      </c>
      <c r="K1202" s="3">
        <v>-6.6265170398603001E-3</v>
      </c>
      <c r="L1202">
        <v>15339621551</v>
      </c>
      <c r="M1202" s="2" t="s">
        <v>18</v>
      </c>
    </row>
    <row r="1203" spans="1:13" x14ac:dyDescent="0.3">
      <c r="A1203" s="1">
        <v>45764</v>
      </c>
      <c r="B1203" s="2" t="s">
        <v>17</v>
      </c>
      <c r="C1203">
        <v>1578.0141599999999</v>
      </c>
      <c r="D1203">
        <v>1615.3068900000001</v>
      </c>
      <c r="E1203">
        <v>1564.19568</v>
      </c>
      <c r="F1203">
        <v>1582.5483400000001</v>
      </c>
      <c r="G1203">
        <f>_xlfn.MAXIFS(Crypto[Close],Crypto[Name],Crypto[[#This Row],[Name]],Crypto[Date],"&lt;="&amp;Crypto[[#This Row],[Date]])</f>
        <v>3688.6113300000002</v>
      </c>
      <c r="H1203" s="3">
        <f>(Crypto[[#This Row],[Close]]/Crypto[[#This Row],[Peak Close]])-1</f>
        <v>-0.57096365043155684</v>
      </c>
      <c r="I1203">
        <v>1578.10535</v>
      </c>
      <c r="J1203" s="1">
        <v>45763</v>
      </c>
      <c r="K1203" s="3">
        <v>2.8153950558497298E-3</v>
      </c>
      <c r="L1203">
        <v>11312160796</v>
      </c>
      <c r="M1203" s="2" t="s">
        <v>18</v>
      </c>
    </row>
    <row r="1204" spans="1:13" x14ac:dyDescent="0.3">
      <c r="A1204" s="1">
        <v>45765</v>
      </c>
      <c r="B1204" s="2" t="s">
        <v>17</v>
      </c>
      <c r="C1204">
        <v>1582.3972200000001</v>
      </c>
      <c r="D1204">
        <v>1599.41687</v>
      </c>
      <c r="E1204">
        <v>1573.9039299999999</v>
      </c>
      <c r="F1204">
        <v>1588.9246800000001</v>
      </c>
      <c r="G1204">
        <f>_xlfn.MAXIFS(Crypto[Close],Crypto[Name],Crypto[[#This Row],[Name]],Crypto[Date],"&lt;="&amp;Crypto[[#This Row],[Date]])</f>
        <v>3688.6113300000002</v>
      </c>
      <c r="H1204" s="3">
        <f>(Crypto[[#This Row],[Close]]/Crypto[[#This Row],[Peak Close]])-1</f>
        <v>-0.56923499446063897</v>
      </c>
      <c r="I1204">
        <v>1582.5483400000001</v>
      </c>
      <c r="J1204" s="1">
        <v>45764</v>
      </c>
      <c r="K1204" s="3">
        <v>4.0291597032669603E-3</v>
      </c>
      <c r="L1204">
        <v>7123507323</v>
      </c>
      <c r="M1204" s="2" t="s">
        <v>18</v>
      </c>
    </row>
    <row r="1205" spans="1:13" x14ac:dyDescent="0.3">
      <c r="A1205" s="1">
        <v>45766</v>
      </c>
      <c r="B1205" s="2" t="s">
        <v>17</v>
      </c>
      <c r="C1205">
        <v>1588.96973</v>
      </c>
      <c r="D1205">
        <v>1629.05151</v>
      </c>
      <c r="E1205">
        <v>1585.4730199999999</v>
      </c>
      <c r="F1205">
        <v>1612.9228499999999</v>
      </c>
      <c r="G1205">
        <f>_xlfn.MAXIFS(Crypto[Close],Crypto[Name],Crypto[[#This Row],[Name]],Crypto[Date],"&lt;="&amp;Crypto[[#This Row],[Date]])</f>
        <v>3688.6113300000002</v>
      </c>
      <c r="H1205" s="3">
        <f>(Crypto[[#This Row],[Close]]/Crypto[[#This Row],[Peak Close]])-1</f>
        <v>-0.56272897692368151</v>
      </c>
      <c r="I1205">
        <v>1588.9246800000001</v>
      </c>
      <c r="J1205" s="1">
        <v>45765</v>
      </c>
      <c r="K1205" s="3">
        <v>1.51034031392853E-2</v>
      </c>
      <c r="L1205">
        <v>7168138700</v>
      </c>
      <c r="M1205" s="2" t="s">
        <v>18</v>
      </c>
    </row>
    <row r="1206" spans="1:13" x14ac:dyDescent="0.3">
      <c r="A1206" s="1">
        <v>45767</v>
      </c>
      <c r="B1206" s="2" t="s">
        <v>17</v>
      </c>
      <c r="C1206">
        <v>1612.96606</v>
      </c>
      <c r="D1206">
        <v>1618.43677</v>
      </c>
      <c r="E1206">
        <v>1566.6915300000001</v>
      </c>
      <c r="F1206">
        <v>1587.5142800000001</v>
      </c>
      <c r="G1206">
        <f>_xlfn.MAXIFS(Crypto[Close],Crypto[Name],Crypto[[#This Row],[Name]],Crypto[Date],"&lt;="&amp;Crypto[[#This Row],[Date]])</f>
        <v>3688.6113300000002</v>
      </c>
      <c r="H1206" s="3">
        <f>(Crypto[[#This Row],[Close]]/Crypto[[#This Row],[Peak Close]])-1</f>
        <v>-0.56961736057997747</v>
      </c>
      <c r="I1206">
        <v>1612.9228499999999</v>
      </c>
      <c r="J1206" s="1">
        <v>45766</v>
      </c>
      <c r="K1206" s="3">
        <v>-1.5753121731767801E-2</v>
      </c>
      <c r="L1206">
        <v>7642784469</v>
      </c>
      <c r="M1206" s="2" t="s">
        <v>18</v>
      </c>
    </row>
    <row r="1207" spans="1:13" x14ac:dyDescent="0.3">
      <c r="A1207" s="1">
        <v>45768</v>
      </c>
      <c r="B1207" s="2" t="s">
        <v>17</v>
      </c>
      <c r="C1207">
        <v>1587.4609399999999</v>
      </c>
      <c r="D1207">
        <v>1656.1196299999999</v>
      </c>
      <c r="E1207">
        <v>1566.1474599999999</v>
      </c>
      <c r="F1207">
        <v>1579.7345</v>
      </c>
      <c r="G1207">
        <f>_xlfn.MAXIFS(Crypto[Close],Crypto[Name],Crypto[[#This Row],[Name]],Crypto[Date],"&lt;="&amp;Crypto[[#This Row],[Date]])</f>
        <v>3688.6113300000002</v>
      </c>
      <c r="H1207" s="3">
        <f>(Crypto[[#This Row],[Close]]/Crypto[[#This Row],[Peak Close]])-1</f>
        <v>-0.57172649578127288</v>
      </c>
      <c r="I1207">
        <v>1587.5142800000001</v>
      </c>
      <c r="J1207" s="1">
        <v>45767</v>
      </c>
      <c r="K1207" s="3">
        <v>-4.90060473660752E-3</v>
      </c>
      <c r="L1207">
        <v>15403785611</v>
      </c>
      <c r="M1207" s="2" t="s">
        <v>18</v>
      </c>
    </row>
    <row r="1208" spans="1:13" x14ac:dyDescent="0.3">
      <c r="A1208" s="1">
        <v>45769</v>
      </c>
      <c r="B1208" s="2" t="s">
        <v>17</v>
      </c>
      <c r="C1208">
        <v>1579.81519</v>
      </c>
      <c r="D1208">
        <v>1773.6391599999999</v>
      </c>
      <c r="E1208">
        <v>1542.00037</v>
      </c>
      <c r="F1208">
        <v>1757.33167</v>
      </c>
      <c r="G1208">
        <f>_xlfn.MAXIFS(Crypto[Close],Crypto[Name],Crypto[[#This Row],[Name]],Crypto[Date],"&lt;="&amp;Crypto[[#This Row],[Date]])</f>
        <v>3688.6113300000002</v>
      </c>
      <c r="H1208" s="3">
        <f>(Crypto[[#This Row],[Close]]/Crypto[[#This Row],[Peak Close]])-1</f>
        <v>-0.52357906193385795</v>
      </c>
      <c r="I1208">
        <v>1579.7345</v>
      </c>
      <c r="J1208" s="1">
        <v>45768</v>
      </c>
      <c r="K1208" s="3">
        <v>0.112422163344537</v>
      </c>
      <c r="L1208">
        <v>23747917555</v>
      </c>
      <c r="M1208" s="2" t="s">
        <v>18</v>
      </c>
    </row>
    <row r="1209" spans="1:13" x14ac:dyDescent="0.3">
      <c r="A1209" s="1">
        <v>45770</v>
      </c>
      <c r="B1209" s="2" t="s">
        <v>17</v>
      </c>
      <c r="C1209">
        <v>1757.1965299999999</v>
      </c>
      <c r="D1209">
        <v>1829.7099599999999</v>
      </c>
      <c r="E1209">
        <v>1746.92407</v>
      </c>
      <c r="F1209">
        <v>1796.1042500000001</v>
      </c>
      <c r="G1209">
        <f>_xlfn.MAXIFS(Crypto[Close],Crypto[Name],Crypto[[#This Row],[Name]],Crypto[Date],"&lt;="&amp;Crypto[[#This Row],[Date]])</f>
        <v>3688.6113300000002</v>
      </c>
      <c r="H1209" s="3">
        <f>(Crypto[[#This Row],[Close]]/Crypto[[#This Row],[Peak Close]])-1</f>
        <v>-0.51306763187760418</v>
      </c>
      <c r="I1209">
        <v>1757.33167</v>
      </c>
      <c r="J1209" s="1">
        <v>45769</v>
      </c>
      <c r="K1209" s="3">
        <v>2.2063325132016798E-2</v>
      </c>
      <c r="L1209">
        <v>22904644756</v>
      </c>
      <c r="M1209" s="2" t="s">
        <v>18</v>
      </c>
    </row>
    <row r="1210" spans="1:13" x14ac:dyDescent="0.3">
      <c r="A1210" s="1">
        <v>45771</v>
      </c>
      <c r="B1210" s="2" t="s">
        <v>17</v>
      </c>
      <c r="C1210">
        <v>1795.9794899999999</v>
      </c>
      <c r="D1210">
        <v>1801.6914099999999</v>
      </c>
      <c r="E1210">
        <v>1724.74072</v>
      </c>
      <c r="F1210">
        <v>1769.83167</v>
      </c>
      <c r="G1210">
        <f>_xlfn.MAXIFS(Crypto[Close],Crypto[Name],Crypto[[#This Row],[Name]],Crypto[Date],"&lt;="&amp;Crypto[[#This Row],[Date]])</f>
        <v>3688.6113300000002</v>
      </c>
      <c r="H1210" s="3">
        <f>(Crypto[[#This Row],[Close]]/Crypto[[#This Row],[Peak Close]])-1</f>
        <v>-0.52019025273665798</v>
      </c>
      <c r="I1210">
        <v>1796.1042500000001</v>
      </c>
      <c r="J1210" s="1">
        <v>45770</v>
      </c>
      <c r="K1210" s="3">
        <v>-1.4627536235716899E-2</v>
      </c>
      <c r="L1210">
        <v>15207402759</v>
      </c>
      <c r="M1210" s="2" t="s">
        <v>18</v>
      </c>
    </row>
    <row r="1211" spans="1:13" x14ac:dyDescent="0.3">
      <c r="A1211" s="1">
        <v>45772</v>
      </c>
      <c r="B1211" s="2" t="s">
        <v>17</v>
      </c>
      <c r="C1211">
        <v>1770.0036600000001</v>
      </c>
      <c r="D1211">
        <v>1826.69605</v>
      </c>
      <c r="E1211">
        <v>1740.3319100000001</v>
      </c>
      <c r="F1211">
        <v>1786.6345200000001</v>
      </c>
      <c r="G1211">
        <f>_xlfn.MAXIFS(Crypto[Close],Crypto[Name],Crypto[[#This Row],[Name]],Crypto[Date],"&lt;="&amp;Crypto[[#This Row],[Date]])</f>
        <v>3688.6113300000002</v>
      </c>
      <c r="H1211" s="3">
        <f>(Crypto[[#This Row],[Close]]/Crypto[[#This Row],[Peak Close]])-1</f>
        <v>-0.51563492052712423</v>
      </c>
      <c r="I1211">
        <v>1769.83167</v>
      </c>
      <c r="J1211" s="1">
        <v>45771</v>
      </c>
      <c r="K1211" s="3">
        <v>9.4940384923725696E-3</v>
      </c>
      <c r="L1211">
        <v>17459399281</v>
      </c>
      <c r="M1211" s="2" t="s">
        <v>18</v>
      </c>
    </row>
    <row r="1212" spans="1:13" x14ac:dyDescent="0.3">
      <c r="A1212" s="1">
        <v>45773</v>
      </c>
      <c r="B1212" s="2" t="s">
        <v>17</v>
      </c>
      <c r="C1212">
        <v>1786.53296</v>
      </c>
      <c r="D1212">
        <v>1839.36304</v>
      </c>
      <c r="E1212">
        <v>1781.47388</v>
      </c>
      <c r="F1212">
        <v>1821.8811000000001</v>
      </c>
      <c r="G1212">
        <f>_xlfn.MAXIFS(Crypto[Close],Crypto[Name],Crypto[[#This Row],[Name]],Crypto[Date],"&lt;="&amp;Crypto[[#This Row],[Date]])</f>
        <v>3688.6113300000002</v>
      </c>
      <c r="H1212" s="3">
        <f>(Crypto[[#This Row],[Close]]/Crypto[[#This Row],[Peak Close]])-1</f>
        <v>-0.50607940576921662</v>
      </c>
      <c r="I1212">
        <v>1786.6345200000001</v>
      </c>
      <c r="J1212" s="1">
        <v>45772</v>
      </c>
      <c r="K1212" s="3">
        <v>1.9727918388143501E-2</v>
      </c>
      <c r="L1212">
        <v>11926379867</v>
      </c>
      <c r="M1212" s="2" t="s">
        <v>18</v>
      </c>
    </row>
    <row r="1213" spans="1:13" x14ac:dyDescent="0.3">
      <c r="A1213" s="1">
        <v>45774</v>
      </c>
      <c r="B1213" s="2" t="s">
        <v>17</v>
      </c>
      <c r="C1213">
        <v>1822.17554</v>
      </c>
      <c r="D1213">
        <v>1856.4438500000001</v>
      </c>
      <c r="E1213">
        <v>1785.9021</v>
      </c>
      <c r="F1213">
        <v>1792.86499</v>
      </c>
      <c r="G1213">
        <f>_xlfn.MAXIFS(Crypto[Close],Crypto[Name],Crypto[[#This Row],[Name]],Crypto[Date],"&lt;="&amp;Crypto[[#This Row],[Date]])</f>
        <v>3688.6113300000002</v>
      </c>
      <c r="H1213" s="3">
        <f>(Crypto[[#This Row],[Close]]/Crypto[[#This Row],[Peak Close]])-1</f>
        <v>-0.51394581060401401</v>
      </c>
      <c r="I1213">
        <v>1821.8811000000001</v>
      </c>
      <c r="J1213" s="1">
        <v>45773</v>
      </c>
      <c r="K1213" s="3">
        <v>-1.5926456452070401E-2</v>
      </c>
      <c r="L1213">
        <v>11321944113</v>
      </c>
      <c r="M1213" s="2" t="s">
        <v>18</v>
      </c>
    </row>
    <row r="1214" spans="1:13" x14ac:dyDescent="0.3">
      <c r="A1214" s="1">
        <v>45775</v>
      </c>
      <c r="B1214" s="2" t="s">
        <v>17</v>
      </c>
      <c r="C1214">
        <v>1792.4461699999999</v>
      </c>
      <c r="D1214">
        <v>1827.4822999999999</v>
      </c>
      <c r="E1214">
        <v>1747.7268099999999</v>
      </c>
      <c r="F1214">
        <v>1798.8518099999999</v>
      </c>
      <c r="G1214">
        <f>_xlfn.MAXIFS(Crypto[Close],Crypto[Name],Crypto[[#This Row],[Name]],Crypto[Date],"&lt;="&amp;Crypto[[#This Row],[Date]])</f>
        <v>3688.6113300000002</v>
      </c>
      <c r="H1214" s="3">
        <f>(Crypto[[#This Row],[Close]]/Crypto[[#This Row],[Peak Close]])-1</f>
        <v>-0.51232275534977556</v>
      </c>
      <c r="I1214">
        <v>1792.86499</v>
      </c>
      <c r="J1214" s="1">
        <v>45774</v>
      </c>
      <c r="K1214" s="3">
        <v>3.3392475358670799E-3</v>
      </c>
      <c r="L1214">
        <v>17043640437</v>
      </c>
      <c r="M1214" s="2" t="s">
        <v>18</v>
      </c>
    </row>
    <row r="1215" spans="1:13" x14ac:dyDescent="0.3">
      <c r="A1215" s="1">
        <v>45776</v>
      </c>
      <c r="B1215" s="2" t="s">
        <v>17</v>
      </c>
      <c r="C1215">
        <v>1798.9122299999999</v>
      </c>
      <c r="D1215">
        <v>1842.0330799999999</v>
      </c>
      <c r="E1215">
        <v>1782.28125</v>
      </c>
      <c r="F1215">
        <v>1799.1756600000001</v>
      </c>
      <c r="G1215">
        <f>_xlfn.MAXIFS(Crypto[Close],Crypto[Name],Crypto[[#This Row],[Name]],Crypto[Date],"&lt;="&amp;Crypto[[#This Row],[Date]])</f>
        <v>3688.6113300000002</v>
      </c>
      <c r="H1215" s="3">
        <f>(Crypto[[#This Row],[Close]]/Crypto[[#This Row],[Peak Close]])-1</f>
        <v>-0.51223495808109443</v>
      </c>
      <c r="I1215">
        <v>1798.8518099999999</v>
      </c>
      <c r="J1215" s="1">
        <v>45775</v>
      </c>
      <c r="K1215" s="3">
        <v>1.8003150576379099E-4</v>
      </c>
      <c r="L1215">
        <v>14734257744</v>
      </c>
      <c r="M1215" s="2" t="s">
        <v>18</v>
      </c>
    </row>
    <row r="1216" spans="1:13" x14ac:dyDescent="0.3">
      <c r="A1216" s="1">
        <v>45777</v>
      </c>
      <c r="B1216" s="2" t="s">
        <v>17</v>
      </c>
      <c r="C1216">
        <v>1799.20911</v>
      </c>
      <c r="D1216">
        <v>1816.68994</v>
      </c>
      <c r="E1216">
        <v>1736.14294</v>
      </c>
      <c r="F1216">
        <v>1793.77539</v>
      </c>
      <c r="G1216">
        <f>_xlfn.MAXIFS(Crypto[Close],Crypto[Name],Crypto[[#This Row],[Name]],Crypto[Date],"&lt;="&amp;Crypto[[#This Row],[Date]])</f>
        <v>3688.6113300000002</v>
      </c>
      <c r="H1216" s="3">
        <f>(Crypto[[#This Row],[Close]]/Crypto[[#This Row],[Peak Close]])-1</f>
        <v>-0.51369899685256348</v>
      </c>
      <c r="I1216">
        <v>1799.1756600000001</v>
      </c>
      <c r="J1216" s="1">
        <v>45776</v>
      </c>
      <c r="K1216" s="3">
        <v>-3.0015245982152102E-3</v>
      </c>
      <c r="L1216">
        <v>14810431362</v>
      </c>
      <c r="M1216" s="2" t="s">
        <v>18</v>
      </c>
    </row>
    <row r="1217" spans="1:13" x14ac:dyDescent="0.3">
      <c r="A1217" s="1">
        <v>45778</v>
      </c>
      <c r="B1217" s="2" t="s">
        <v>17</v>
      </c>
      <c r="C1217">
        <v>1794.0410199999999</v>
      </c>
      <c r="D1217">
        <v>1872.93958</v>
      </c>
      <c r="E1217">
        <v>1793.15112</v>
      </c>
      <c r="F1217">
        <v>1839.22156</v>
      </c>
      <c r="G1217">
        <f>_xlfn.MAXIFS(Crypto[Close],Crypto[Name],Crypto[[#This Row],[Name]],Crypto[Date],"&lt;="&amp;Crypto[[#This Row],[Date]])</f>
        <v>3688.6113300000002</v>
      </c>
      <c r="H1217" s="3">
        <f>(Crypto[[#This Row],[Close]]/Crypto[[#This Row],[Peak Close]])-1</f>
        <v>-0.50137832494268242</v>
      </c>
      <c r="I1217">
        <v>1793.77539</v>
      </c>
      <c r="J1217" s="1">
        <v>45777</v>
      </c>
      <c r="K1217" s="3">
        <v>2.5335485286148301E-2</v>
      </c>
      <c r="L1217">
        <v>15861442721</v>
      </c>
      <c r="M1217" s="2" t="s">
        <v>18</v>
      </c>
    </row>
    <row r="1218" spans="1:13" x14ac:dyDescent="0.3">
      <c r="A1218" s="1">
        <v>45779</v>
      </c>
      <c r="B1218" s="2" t="s">
        <v>17</v>
      </c>
      <c r="C1218">
        <v>1839.17481</v>
      </c>
      <c r="D1218">
        <v>1869.5300299999999</v>
      </c>
      <c r="E1218">
        <v>1814.73047</v>
      </c>
      <c r="F1218">
        <v>1842.7078899999999</v>
      </c>
      <c r="G1218">
        <f>_xlfn.MAXIFS(Crypto[Close],Crypto[Name],Crypto[[#This Row],[Name]],Crypto[Date],"&lt;="&amp;Crypto[[#This Row],[Date]])</f>
        <v>3688.6113300000002</v>
      </c>
      <c r="H1218" s="3">
        <f>(Crypto[[#This Row],[Close]]/Crypto[[#This Row],[Peak Close]])-1</f>
        <v>-0.5004331643692046</v>
      </c>
      <c r="I1218">
        <v>1839.22156</v>
      </c>
      <c r="J1218" s="1">
        <v>45778</v>
      </c>
      <c r="K1218" s="3">
        <v>1.89554650501158E-3</v>
      </c>
      <c r="L1218">
        <v>13570171872</v>
      </c>
      <c r="M1218" s="2" t="s">
        <v>18</v>
      </c>
    </row>
    <row r="1219" spans="1:13" x14ac:dyDescent="0.3">
      <c r="A1219" s="1">
        <v>45780</v>
      </c>
      <c r="B1219" s="2" t="s">
        <v>17</v>
      </c>
      <c r="C1219">
        <v>1842.7181399999999</v>
      </c>
      <c r="D1219">
        <v>1848.24683</v>
      </c>
      <c r="E1219">
        <v>1812.81567</v>
      </c>
      <c r="F1219">
        <v>1833.8397199999999</v>
      </c>
      <c r="G1219">
        <f>_xlfn.MAXIFS(Crypto[Close],Crypto[Name],Crypto[[#This Row],[Name]],Crypto[Date],"&lt;="&amp;Crypto[[#This Row],[Date]])</f>
        <v>3688.6113300000002</v>
      </c>
      <c r="H1219" s="3">
        <f>(Crypto[[#This Row],[Close]]/Crypto[[#This Row],[Peak Close]])-1</f>
        <v>-0.50283736725387118</v>
      </c>
      <c r="I1219">
        <v>1842.7078899999999</v>
      </c>
      <c r="J1219" s="1">
        <v>45779</v>
      </c>
      <c r="K1219" s="3">
        <v>-4.8125750413973399E-3</v>
      </c>
      <c r="L1219">
        <v>8344452620</v>
      </c>
      <c r="M1219" s="2" t="s">
        <v>18</v>
      </c>
    </row>
    <row r="1220" spans="1:13" x14ac:dyDescent="0.3">
      <c r="A1220" s="1">
        <v>45781</v>
      </c>
      <c r="B1220" s="2" t="s">
        <v>17</v>
      </c>
      <c r="C1220">
        <v>1833.6472200000001</v>
      </c>
      <c r="D1220">
        <v>1849.99854</v>
      </c>
      <c r="E1220">
        <v>1804.49512</v>
      </c>
      <c r="F1220">
        <v>1808.5942399999999</v>
      </c>
      <c r="G1220">
        <f>_xlfn.MAXIFS(Crypto[Close],Crypto[Name],Crypto[[#This Row],[Name]],Crypto[Date],"&lt;="&amp;Crypto[[#This Row],[Date]])</f>
        <v>3688.6113300000002</v>
      </c>
      <c r="H1220" s="3">
        <f>(Crypto[[#This Row],[Close]]/Crypto[[#This Row],[Peak Close]])-1</f>
        <v>-0.50968153643880942</v>
      </c>
      <c r="I1220">
        <v>1833.8397199999999</v>
      </c>
      <c r="J1220" s="1">
        <v>45780</v>
      </c>
      <c r="K1220" s="3">
        <v>-1.3766459371923801E-2</v>
      </c>
      <c r="L1220">
        <v>8918979887</v>
      </c>
      <c r="M1220" s="2" t="s">
        <v>18</v>
      </c>
    </row>
    <row r="1221" spans="1:13" x14ac:dyDescent="0.3">
      <c r="A1221" s="1">
        <v>45782</v>
      </c>
      <c r="B1221" s="2" t="s">
        <v>17</v>
      </c>
      <c r="C1221">
        <v>1808.70496</v>
      </c>
      <c r="D1221">
        <v>1832.05078</v>
      </c>
      <c r="E1221">
        <v>1783.3148200000001</v>
      </c>
      <c r="F1221">
        <v>1819.69751</v>
      </c>
      <c r="G1221">
        <f>_xlfn.MAXIFS(Crypto[Close],Crypto[Name],Crypto[[#This Row],[Name]],Crypto[Date],"&lt;="&amp;Crypto[[#This Row],[Date]])</f>
        <v>3688.6113300000002</v>
      </c>
      <c r="H1221" s="3">
        <f>(Crypto[[#This Row],[Close]]/Crypto[[#This Row],[Peak Close]])-1</f>
        <v>-0.5066713873592098</v>
      </c>
      <c r="I1221">
        <v>1808.5942399999999</v>
      </c>
      <c r="J1221" s="1">
        <v>45781</v>
      </c>
      <c r="K1221" s="3">
        <v>6.13917138207853E-3</v>
      </c>
      <c r="L1221">
        <v>11389336489</v>
      </c>
      <c r="M1221" s="2" t="s">
        <v>18</v>
      </c>
    </row>
    <row r="1222" spans="1:13" x14ac:dyDescent="0.3">
      <c r="A1222" s="1">
        <v>45783</v>
      </c>
      <c r="B1222" s="2" t="s">
        <v>17</v>
      </c>
      <c r="C1222">
        <v>1819.7340099999999</v>
      </c>
      <c r="D1222">
        <v>1820.7966300000001</v>
      </c>
      <c r="E1222">
        <v>1753.3154300000001</v>
      </c>
      <c r="F1222">
        <v>1815.08752</v>
      </c>
      <c r="G1222">
        <f>_xlfn.MAXIFS(Crypto[Close],Crypto[Name],Crypto[[#This Row],[Name]],Crypto[Date],"&lt;="&amp;Crypto[[#This Row],[Date]])</f>
        <v>3688.6113300000002</v>
      </c>
      <c r="H1222" s="3">
        <f>(Crypto[[#This Row],[Close]]/Crypto[[#This Row],[Peak Close]])-1</f>
        <v>-0.5079211774800898</v>
      </c>
      <c r="I1222">
        <v>1819.69751</v>
      </c>
      <c r="J1222" s="1">
        <v>45782</v>
      </c>
      <c r="K1222" s="3">
        <v>-2.5333825950005998E-3</v>
      </c>
      <c r="L1222">
        <v>13206516310</v>
      </c>
      <c r="M1222" s="2" t="s">
        <v>18</v>
      </c>
    </row>
    <row r="1223" spans="1:13" x14ac:dyDescent="0.3">
      <c r="A1223" s="1">
        <v>45784</v>
      </c>
      <c r="B1223" s="2" t="s">
        <v>17</v>
      </c>
      <c r="C1223">
        <v>1815.01892</v>
      </c>
      <c r="D1223">
        <v>1849.6584499999999</v>
      </c>
      <c r="E1223">
        <v>1788.6873800000001</v>
      </c>
      <c r="F1223">
        <v>1811.6066900000001</v>
      </c>
      <c r="G1223">
        <f>_xlfn.MAXIFS(Crypto[Close],Crypto[Name],Crypto[[#This Row],[Name]],Crypto[Date],"&lt;="&amp;Crypto[[#This Row],[Date]])</f>
        <v>3688.6113300000002</v>
      </c>
      <c r="H1223" s="3">
        <f>(Crypto[[#This Row],[Close]]/Crypto[[#This Row],[Peak Close]])-1</f>
        <v>-0.50886484697752099</v>
      </c>
      <c r="I1223">
        <v>1815.08752</v>
      </c>
      <c r="J1223" s="1">
        <v>45783</v>
      </c>
      <c r="K1223" s="3">
        <v>-1.91772019896868E-3</v>
      </c>
      <c r="L1223">
        <v>50540755039</v>
      </c>
      <c r="M1223" s="2" t="s">
        <v>18</v>
      </c>
    </row>
    <row r="1224" spans="1:13" x14ac:dyDescent="0.3">
      <c r="A1224" s="1">
        <v>45785</v>
      </c>
      <c r="B1224" s="2" t="s">
        <v>17</v>
      </c>
      <c r="C1224">
        <v>1811.54639</v>
      </c>
      <c r="D1224">
        <v>2222.2055700000001</v>
      </c>
      <c r="E1224">
        <v>1809.4569100000001</v>
      </c>
      <c r="F1224">
        <v>2206.5146500000001</v>
      </c>
      <c r="G1224">
        <f>_xlfn.MAXIFS(Crypto[Close],Crypto[Name],Crypto[[#This Row],[Name]],Crypto[Date],"&lt;="&amp;Crypto[[#This Row],[Date]])</f>
        <v>3688.6113300000002</v>
      </c>
      <c r="H1224" s="3">
        <f>(Crypto[[#This Row],[Close]]/Crypto[[#This Row],[Peak Close]])-1</f>
        <v>-0.40180342882588282</v>
      </c>
      <c r="I1224">
        <v>1811.6066900000001</v>
      </c>
      <c r="J1224" s="1">
        <v>45784</v>
      </c>
      <c r="K1224" s="3">
        <v>0.21798769135700199</v>
      </c>
      <c r="L1224">
        <v>37777245241</v>
      </c>
      <c r="M1224" s="2" t="s">
        <v>18</v>
      </c>
    </row>
    <row r="1225" spans="1:13" x14ac:dyDescent="0.3">
      <c r="A1225" s="1">
        <v>45786</v>
      </c>
      <c r="B1225" s="2" t="s">
        <v>17</v>
      </c>
      <c r="C1225">
        <v>2206.12817</v>
      </c>
      <c r="D1225">
        <v>2486.00684</v>
      </c>
      <c r="E1225">
        <v>2186.0544399999999</v>
      </c>
      <c r="F1225">
        <v>2345.5073200000002</v>
      </c>
      <c r="G1225">
        <f>_xlfn.MAXIFS(Crypto[Close],Crypto[Name],Crypto[[#This Row],[Name]],Crypto[Date],"&lt;="&amp;Crypto[[#This Row],[Date]])</f>
        <v>3688.6113300000002</v>
      </c>
      <c r="H1225" s="3">
        <f>(Crypto[[#This Row],[Close]]/Crypto[[#This Row],[Peak Close]])-1</f>
        <v>-0.36412185775073247</v>
      </c>
      <c r="I1225">
        <v>2206.5146500000001</v>
      </c>
      <c r="J1225" s="1">
        <v>45785</v>
      </c>
      <c r="K1225" s="3">
        <v>6.2991954302229605E-2</v>
      </c>
      <c r="L1225">
        <v>43766026875</v>
      </c>
      <c r="M1225" s="2" t="s">
        <v>18</v>
      </c>
    </row>
    <row r="1226" spans="1:13" x14ac:dyDescent="0.3">
      <c r="A1226" s="1">
        <v>45787</v>
      </c>
      <c r="B1226" s="2" t="s">
        <v>17</v>
      </c>
      <c r="C1226">
        <v>2345.7604999999999</v>
      </c>
      <c r="D1226">
        <v>2597.5434599999999</v>
      </c>
      <c r="E1226">
        <v>2320.2351100000001</v>
      </c>
      <c r="F1226">
        <v>2582.4226100000001</v>
      </c>
      <c r="G1226">
        <f>_xlfn.MAXIFS(Crypto[Close],Crypto[Name],Crypto[[#This Row],[Name]],Crypto[Date],"&lt;="&amp;Crypto[[#This Row],[Date]])</f>
        <v>3688.6113300000002</v>
      </c>
      <c r="H1226" s="3">
        <f>(Crypto[[#This Row],[Close]]/Crypto[[#This Row],[Peak Close]])-1</f>
        <v>-0.29989300065398872</v>
      </c>
      <c r="I1226">
        <v>2345.5073200000002</v>
      </c>
      <c r="J1226" s="1">
        <v>45786</v>
      </c>
      <c r="K1226" s="3">
        <v>0.10100812220019</v>
      </c>
      <c r="L1226">
        <v>30265913403</v>
      </c>
      <c r="M1226" s="2" t="s">
        <v>18</v>
      </c>
    </row>
    <row r="1227" spans="1:13" x14ac:dyDescent="0.3">
      <c r="A1227" s="1">
        <v>45788</v>
      </c>
      <c r="B1227" s="2" t="s">
        <v>17</v>
      </c>
      <c r="C1227">
        <v>2582.71045</v>
      </c>
      <c r="D1227">
        <v>2603.2644</v>
      </c>
      <c r="E1227">
        <v>2441.7307099999998</v>
      </c>
      <c r="F1227">
        <v>2510.2377900000001</v>
      </c>
      <c r="G1227">
        <f>_xlfn.MAXIFS(Crypto[Close],Crypto[Name],Crypto[[#This Row],[Name]],Crypto[Date],"&lt;="&amp;Crypto[[#This Row],[Date]])</f>
        <v>3688.6113300000002</v>
      </c>
      <c r="H1227" s="3">
        <f>(Crypto[[#This Row],[Close]]/Crypto[[#This Row],[Peak Close]])-1</f>
        <v>-0.31946264720712658</v>
      </c>
      <c r="I1227">
        <v>2582.4226100000001</v>
      </c>
      <c r="J1227" s="1">
        <v>45787</v>
      </c>
      <c r="K1227" s="3">
        <v>-2.7952365240482401E-2</v>
      </c>
      <c r="L1227">
        <v>26496368543</v>
      </c>
      <c r="M1227" s="2" t="s">
        <v>18</v>
      </c>
    </row>
    <row r="1228" spans="1:13" x14ac:dyDescent="0.3">
      <c r="A1228" s="1">
        <v>45789</v>
      </c>
      <c r="B1228" s="2" t="s">
        <v>17</v>
      </c>
      <c r="C1228">
        <v>2510.2893100000001</v>
      </c>
      <c r="D1228">
        <v>2620.8972199999998</v>
      </c>
      <c r="E1228">
        <v>2411.5944800000002</v>
      </c>
      <c r="F1228">
        <v>2496.3977100000002</v>
      </c>
      <c r="G1228">
        <f>_xlfn.MAXIFS(Crypto[Close],Crypto[Name],Crypto[[#This Row],[Name]],Crypto[Date],"&lt;="&amp;Crypto[[#This Row],[Date]])</f>
        <v>3688.6113300000002</v>
      </c>
      <c r="H1228" s="3">
        <f>(Crypto[[#This Row],[Close]]/Crypto[[#This Row],[Peak Close]])-1</f>
        <v>-0.32321475843864522</v>
      </c>
      <c r="I1228">
        <v>2510.2377900000001</v>
      </c>
      <c r="J1228" s="1">
        <v>45788</v>
      </c>
      <c r="K1228" s="3">
        <v>-5.5134537672624001E-3</v>
      </c>
      <c r="L1228">
        <v>32121858921</v>
      </c>
      <c r="M1228" s="2" t="s">
        <v>18</v>
      </c>
    </row>
    <row r="1229" spans="1:13" x14ac:dyDescent="0.3">
      <c r="A1229" s="1">
        <v>45790</v>
      </c>
      <c r="B1229" s="2" t="s">
        <v>17</v>
      </c>
      <c r="C1229">
        <v>2496.3373999999999</v>
      </c>
      <c r="D1229">
        <v>2736.89014</v>
      </c>
      <c r="E1229">
        <v>2418.3256799999999</v>
      </c>
      <c r="F1229">
        <v>2680.1296400000001</v>
      </c>
      <c r="G1229">
        <f>_xlfn.MAXIFS(Crypto[Close],Crypto[Name],Crypto[[#This Row],[Name]],Crypto[Date],"&lt;="&amp;Crypto[[#This Row],[Date]])</f>
        <v>3688.6113300000002</v>
      </c>
      <c r="H1229" s="3">
        <f>(Crypto[[#This Row],[Close]]/Crypto[[#This Row],[Peak Close]])-1</f>
        <v>-0.27340416210238128</v>
      </c>
      <c r="I1229">
        <v>2496.3977100000002</v>
      </c>
      <c r="J1229" s="1">
        <v>45789</v>
      </c>
      <c r="K1229" s="3">
        <v>7.3598821719797203E-2</v>
      </c>
      <c r="L1229">
        <v>33528741590</v>
      </c>
      <c r="M1229" s="2" t="s">
        <v>18</v>
      </c>
    </row>
    <row r="1230" spans="1:13" x14ac:dyDescent="0.3">
      <c r="A1230" s="1">
        <v>45791</v>
      </c>
      <c r="B1230" s="2" t="s">
        <v>17</v>
      </c>
      <c r="C1230">
        <v>2680.2622099999999</v>
      </c>
      <c r="D1230">
        <v>2721.9499500000002</v>
      </c>
      <c r="E1230">
        <v>2549.6850599999998</v>
      </c>
      <c r="F1230">
        <v>2610.0632300000002</v>
      </c>
      <c r="G1230">
        <f>_xlfn.MAXIFS(Crypto[Close],Crypto[Name],Crypto[[#This Row],[Name]],Crypto[Date],"&lt;="&amp;Crypto[[#This Row],[Date]])</f>
        <v>3688.6113300000002</v>
      </c>
      <c r="H1230" s="3">
        <f>(Crypto[[#This Row],[Close]]/Crypto[[#This Row],[Peak Close]])-1</f>
        <v>-0.29239949767220386</v>
      </c>
      <c r="I1230">
        <v>2680.1296400000001</v>
      </c>
      <c r="J1230" s="1">
        <v>45790</v>
      </c>
      <c r="K1230" s="3">
        <v>-2.6142918220926001E-2</v>
      </c>
      <c r="L1230">
        <v>26602676588</v>
      </c>
      <c r="M1230" s="2" t="s">
        <v>18</v>
      </c>
    </row>
    <row r="1231" spans="1:13" x14ac:dyDescent="0.3">
      <c r="A1231" s="1">
        <v>45792</v>
      </c>
      <c r="B1231" s="2" t="s">
        <v>17</v>
      </c>
      <c r="C1231">
        <v>2610.02783</v>
      </c>
      <c r="D1231">
        <v>2645.07422</v>
      </c>
      <c r="E1231">
        <v>2482.2128899999998</v>
      </c>
      <c r="F1231">
        <v>2546.8569299999999</v>
      </c>
      <c r="G1231">
        <f>_xlfn.MAXIFS(Crypto[Close],Crypto[Name],Crypto[[#This Row],[Name]],Crypto[Date],"&lt;="&amp;Crypto[[#This Row],[Date]])</f>
        <v>3688.6113300000002</v>
      </c>
      <c r="H1231" s="3">
        <f>(Crypto[[#This Row],[Close]]/Crypto[[#This Row],[Peak Close]])-1</f>
        <v>-0.30953502493308238</v>
      </c>
      <c r="I1231">
        <v>2610.0632300000002</v>
      </c>
      <c r="J1231" s="1">
        <v>45791</v>
      </c>
      <c r="K1231" s="3">
        <v>-2.4216386512598099E-2</v>
      </c>
      <c r="L1231">
        <v>26637688883</v>
      </c>
      <c r="M1231" s="2" t="s">
        <v>18</v>
      </c>
    </row>
    <row r="1232" spans="1:13" x14ac:dyDescent="0.3">
      <c r="A1232" s="1">
        <v>45793</v>
      </c>
      <c r="B1232" s="2" t="s">
        <v>17</v>
      </c>
      <c r="C1232">
        <v>2547.0583499999998</v>
      </c>
      <c r="D1232">
        <v>2645.6079100000002</v>
      </c>
      <c r="E1232">
        <v>2532.0270999999998</v>
      </c>
      <c r="F1232">
        <v>2536.2976100000001</v>
      </c>
      <c r="G1232">
        <f>_xlfn.MAXIFS(Crypto[Close],Crypto[Name],Crypto[[#This Row],[Name]],Crypto[Date],"&lt;="&amp;Crypto[[#This Row],[Date]])</f>
        <v>3688.6113300000002</v>
      </c>
      <c r="H1232" s="3">
        <f>(Crypto[[#This Row],[Close]]/Crypto[[#This Row],[Peak Close]])-1</f>
        <v>-0.31239770659165655</v>
      </c>
      <c r="I1232">
        <v>2546.8569299999999</v>
      </c>
      <c r="J1232" s="1">
        <v>45792</v>
      </c>
      <c r="K1232" s="3">
        <v>-4.14602009073193E-3</v>
      </c>
      <c r="L1232">
        <v>21298907763</v>
      </c>
      <c r="M1232" s="2" t="s">
        <v>18</v>
      </c>
    </row>
    <row r="1233" spans="1:13" x14ac:dyDescent="0.3">
      <c r="A1233" s="1">
        <v>45794</v>
      </c>
      <c r="B1233" s="2" t="s">
        <v>17</v>
      </c>
      <c r="C1233">
        <v>2536.2976100000001</v>
      </c>
      <c r="D1233">
        <v>2537.7817399999999</v>
      </c>
      <c r="E1233">
        <v>2449.06934</v>
      </c>
      <c r="F1233">
        <v>2475.7543999999998</v>
      </c>
      <c r="G1233">
        <f>_xlfn.MAXIFS(Crypto[Close],Crypto[Name],Crypto[[#This Row],[Name]],Crypto[Date],"&lt;="&amp;Crypto[[#This Row],[Date]])</f>
        <v>3688.6113300000002</v>
      </c>
      <c r="H1233" s="3">
        <f>(Crypto[[#This Row],[Close]]/Crypto[[#This Row],[Peak Close]])-1</f>
        <v>-0.32881125754173735</v>
      </c>
      <c r="I1233">
        <v>2536.2976100000001</v>
      </c>
      <c r="J1233" s="1">
        <v>45793</v>
      </c>
      <c r="K1233" s="3">
        <v>-2.3870704195475E-2</v>
      </c>
      <c r="L1233">
        <v>18830706230</v>
      </c>
      <c r="M1233" s="2" t="s">
        <v>18</v>
      </c>
    </row>
    <row r="1234" spans="1:13" x14ac:dyDescent="0.3">
      <c r="A1234" s="1">
        <v>45795</v>
      </c>
      <c r="B1234" s="2" t="s">
        <v>17</v>
      </c>
      <c r="C1234">
        <v>2475.76953</v>
      </c>
      <c r="D1234">
        <v>2585.6970200000001</v>
      </c>
      <c r="E1234">
        <v>2344.6682099999998</v>
      </c>
      <c r="F1234">
        <v>2498.2336399999999</v>
      </c>
      <c r="G1234">
        <f>_xlfn.MAXIFS(Crypto[Close],Crypto[Name],Crypto[[#This Row],[Name]],Crypto[Date],"&lt;="&amp;Crypto[[#This Row],[Date]])</f>
        <v>3688.6113300000002</v>
      </c>
      <c r="H1234" s="3">
        <f>(Crypto[[#This Row],[Close]]/Crypto[[#This Row],[Peak Close]])-1</f>
        <v>-0.32271702912109212</v>
      </c>
      <c r="I1234">
        <v>2475.7543999999998</v>
      </c>
      <c r="J1234" s="1">
        <v>45794</v>
      </c>
      <c r="K1234" s="3">
        <v>9.0797536298431406E-3</v>
      </c>
      <c r="L1234">
        <v>25005164865</v>
      </c>
      <c r="M1234" s="2" t="s">
        <v>18</v>
      </c>
    </row>
    <row r="1235" spans="1:13" x14ac:dyDescent="0.3">
      <c r="A1235" s="1">
        <v>45796</v>
      </c>
      <c r="B1235" s="2" t="s">
        <v>17</v>
      </c>
      <c r="C1235">
        <v>2498.8000499999998</v>
      </c>
      <c r="D1235">
        <v>2545.4611799999998</v>
      </c>
      <c r="E1235">
        <v>2353.4270000000001</v>
      </c>
      <c r="F1235">
        <v>2529.1667499999999</v>
      </c>
      <c r="G1235">
        <f>_xlfn.MAXIFS(Crypto[Close],Crypto[Name],Crypto[[#This Row],[Name]],Crypto[Date],"&lt;="&amp;Crypto[[#This Row],[Date]])</f>
        <v>3688.6113300000002</v>
      </c>
      <c r="H1235" s="3">
        <f>(Crypto[[#This Row],[Close]]/Crypto[[#This Row],[Peak Close]])-1</f>
        <v>-0.3143309165078122</v>
      </c>
      <c r="I1235">
        <v>2498.2336399999999</v>
      </c>
      <c r="J1235" s="1">
        <v>45795</v>
      </c>
      <c r="K1235" s="3">
        <v>1.2381992422454101E-2</v>
      </c>
      <c r="L1235">
        <v>27351331811</v>
      </c>
      <c r="M1235" s="2" t="s">
        <v>18</v>
      </c>
    </row>
    <row r="1236" spans="1:13" x14ac:dyDescent="0.3">
      <c r="A1236" s="1">
        <v>45797</v>
      </c>
      <c r="B1236" s="2" t="s">
        <v>17</v>
      </c>
      <c r="C1236">
        <v>2529.13501</v>
      </c>
      <c r="D1236">
        <v>2585.61987</v>
      </c>
      <c r="E1236">
        <v>2446.4467800000002</v>
      </c>
      <c r="F1236">
        <v>2524.1731</v>
      </c>
      <c r="G1236">
        <f>_xlfn.MAXIFS(Crypto[Close],Crypto[Name],Crypto[[#This Row],[Name]],Crypto[Date],"&lt;="&amp;Crypto[[#This Row],[Date]])</f>
        <v>3688.6113300000002</v>
      </c>
      <c r="H1236" s="3">
        <f>(Crypto[[#This Row],[Close]]/Crypto[[#This Row],[Peak Close]])-1</f>
        <v>-0.31568471867162007</v>
      </c>
      <c r="I1236">
        <v>2529.1667499999999</v>
      </c>
      <c r="J1236" s="1">
        <v>45796</v>
      </c>
      <c r="K1236" s="3">
        <v>-1.9744249761309298E-3</v>
      </c>
      <c r="L1236">
        <v>23453322578</v>
      </c>
      <c r="M1236" s="2" t="s">
        <v>18</v>
      </c>
    </row>
    <row r="1237" spans="1:13" x14ac:dyDescent="0.3">
      <c r="A1237" s="1">
        <v>45798</v>
      </c>
      <c r="B1237" s="2" t="s">
        <v>17</v>
      </c>
      <c r="C1237">
        <v>2524.1591800000001</v>
      </c>
      <c r="D1237">
        <v>2614.06079</v>
      </c>
      <c r="E1237">
        <v>2454.53784</v>
      </c>
      <c r="F1237">
        <v>2552.34717</v>
      </c>
      <c r="G1237">
        <f>_xlfn.MAXIFS(Crypto[Close],Crypto[Name],Crypto[[#This Row],[Name]],Crypto[Date],"&lt;="&amp;Crypto[[#This Row],[Date]])</f>
        <v>3688.6113300000002</v>
      </c>
      <c r="H1237" s="3">
        <f>(Crypto[[#This Row],[Close]]/Crypto[[#This Row],[Peak Close]])-1</f>
        <v>-0.30804659486853558</v>
      </c>
      <c r="I1237">
        <v>2524.1731</v>
      </c>
      <c r="J1237" s="1">
        <v>45797</v>
      </c>
      <c r="K1237" s="3">
        <v>1.11617028166571E-2</v>
      </c>
      <c r="L1237">
        <v>31952904125</v>
      </c>
      <c r="M1237" s="2" t="s">
        <v>18</v>
      </c>
    </row>
    <row r="1238" spans="1:13" x14ac:dyDescent="0.3">
      <c r="A1238" s="1">
        <v>45799</v>
      </c>
      <c r="B1238" s="2" t="s">
        <v>17</v>
      </c>
      <c r="C1238">
        <v>2552.76685</v>
      </c>
      <c r="D1238">
        <v>2691.1023</v>
      </c>
      <c r="E1238">
        <v>2546.4348100000002</v>
      </c>
      <c r="F1238">
        <v>2664.1569800000002</v>
      </c>
      <c r="G1238">
        <f>_xlfn.MAXIFS(Crypto[Close],Crypto[Name],Crypto[[#This Row],[Name]],Crypto[Date],"&lt;="&amp;Crypto[[#This Row],[Date]])</f>
        <v>3688.6113300000002</v>
      </c>
      <c r="H1238" s="3">
        <f>(Crypto[[#This Row],[Close]]/Crypto[[#This Row],[Peak Close]])-1</f>
        <v>-0.27773442587132102</v>
      </c>
      <c r="I1238">
        <v>2552.34717</v>
      </c>
      <c r="J1238" s="1">
        <v>45798</v>
      </c>
      <c r="K1238" s="3">
        <v>4.3806662085080002E-2</v>
      </c>
      <c r="L1238">
        <v>26596978352</v>
      </c>
      <c r="M1238" s="2" t="s">
        <v>18</v>
      </c>
    </row>
    <row r="1239" spans="1:13" x14ac:dyDescent="0.3">
      <c r="A1239" s="1">
        <v>45800</v>
      </c>
      <c r="B1239" s="2" t="s">
        <v>17</v>
      </c>
      <c r="C1239">
        <v>2664.08203</v>
      </c>
      <c r="D1239">
        <v>2731.2206999999999</v>
      </c>
      <c r="E1239">
        <v>2504.87354</v>
      </c>
      <c r="F1239">
        <v>2526.4418999999998</v>
      </c>
      <c r="G1239">
        <f>_xlfn.MAXIFS(Crypto[Close],Crypto[Name],Crypto[[#This Row],[Name]],Crypto[Date],"&lt;="&amp;Crypto[[#This Row],[Date]])</f>
        <v>3688.6113300000002</v>
      </c>
      <c r="H1239" s="3">
        <f>(Crypto[[#This Row],[Close]]/Crypto[[#This Row],[Peak Close]])-1</f>
        <v>-0.3150696362470915</v>
      </c>
      <c r="I1239">
        <v>2664.1569800000002</v>
      </c>
      <c r="J1239" s="1">
        <v>45799</v>
      </c>
      <c r="K1239" s="3">
        <v>-5.1691803836574401E-2</v>
      </c>
      <c r="L1239">
        <v>30536501878</v>
      </c>
      <c r="M1239" s="2" t="s">
        <v>18</v>
      </c>
    </row>
    <row r="1240" spans="1:13" x14ac:dyDescent="0.3">
      <c r="A1240" s="1">
        <v>45801</v>
      </c>
      <c r="B1240" s="2" t="s">
        <v>17</v>
      </c>
      <c r="C1240">
        <v>2526.3879400000001</v>
      </c>
      <c r="D1240">
        <v>2575.1313500000001</v>
      </c>
      <c r="E1240">
        <v>2516.0180700000001</v>
      </c>
      <c r="F1240">
        <v>2530.64624</v>
      </c>
      <c r="G1240">
        <f>_xlfn.MAXIFS(Crypto[Close],Crypto[Name],Crypto[[#This Row],[Name]],Crypto[Date],"&lt;="&amp;Crypto[[#This Row],[Date]])</f>
        <v>3688.6113300000002</v>
      </c>
      <c r="H1240" s="3">
        <f>(Crypto[[#This Row],[Close]]/Crypto[[#This Row],[Peak Close]])-1</f>
        <v>-0.31392981976227896</v>
      </c>
      <c r="I1240">
        <v>2526.4418999999998</v>
      </c>
      <c r="J1240" s="1">
        <v>45800</v>
      </c>
      <c r="K1240" s="3">
        <v>1.6641348451354599E-3</v>
      </c>
      <c r="L1240">
        <v>11380899856</v>
      </c>
      <c r="M1240" s="2" t="s">
        <v>18</v>
      </c>
    </row>
    <row r="1241" spans="1:13" x14ac:dyDescent="0.3">
      <c r="A1241" s="1">
        <v>45802</v>
      </c>
      <c r="B1241" s="2" t="s">
        <v>17</v>
      </c>
      <c r="C1241">
        <v>2530.89014</v>
      </c>
      <c r="D1241">
        <v>2553.8691399999998</v>
      </c>
      <c r="E1241">
        <v>2467.88013</v>
      </c>
      <c r="F1241">
        <v>2551.7639199999999</v>
      </c>
      <c r="G1241">
        <f>_xlfn.MAXIFS(Crypto[Close],Crypto[Name],Crypto[[#This Row],[Name]],Crypto[Date],"&lt;="&amp;Crypto[[#This Row],[Date]])</f>
        <v>3688.6113300000002</v>
      </c>
      <c r="H1241" s="3">
        <f>(Crypto[[#This Row],[Close]]/Crypto[[#This Row],[Peak Close]])-1</f>
        <v>-0.30820471670567695</v>
      </c>
      <c r="I1241">
        <v>2530.64624</v>
      </c>
      <c r="J1241" s="1">
        <v>45801</v>
      </c>
      <c r="K1241" s="3">
        <v>8.3447775774459203E-3</v>
      </c>
      <c r="L1241">
        <v>14556431364</v>
      </c>
      <c r="M1241" s="2" t="s">
        <v>18</v>
      </c>
    </row>
    <row r="1242" spans="1:13" x14ac:dyDescent="0.3">
      <c r="A1242" s="1">
        <v>45803</v>
      </c>
      <c r="B1242" s="2" t="s">
        <v>17</v>
      </c>
      <c r="C1242">
        <v>2551.3808600000002</v>
      </c>
      <c r="D1242">
        <v>2598.5666500000002</v>
      </c>
      <c r="E1242">
        <v>2530.3215300000002</v>
      </c>
      <c r="F1242">
        <v>2564.13843</v>
      </c>
      <c r="G1242">
        <f>_xlfn.MAXIFS(Crypto[Close],Crypto[Name],Crypto[[#This Row],[Name]],Crypto[Date],"&lt;="&amp;Crypto[[#This Row],[Date]])</f>
        <v>3688.6113300000002</v>
      </c>
      <c r="H1242" s="3">
        <f>(Crypto[[#This Row],[Close]]/Crypto[[#This Row],[Peak Close]])-1</f>
        <v>-0.3048499284417695</v>
      </c>
      <c r="I1242">
        <v>2551.7639199999999</v>
      </c>
      <c r="J1242" s="1">
        <v>45802</v>
      </c>
      <c r="K1242" s="3">
        <v>4.8493945317637796E-3</v>
      </c>
      <c r="L1242">
        <v>14936610009</v>
      </c>
      <c r="M1242" s="2" t="s">
        <v>18</v>
      </c>
    </row>
    <row r="1243" spans="1:13" x14ac:dyDescent="0.3">
      <c r="A1243" s="1">
        <v>45804</v>
      </c>
      <c r="B1243" s="2" t="s">
        <v>17</v>
      </c>
      <c r="C1243">
        <v>2564.1408700000002</v>
      </c>
      <c r="D1243">
        <v>2712.2851599999999</v>
      </c>
      <c r="E1243">
        <v>2512.58862</v>
      </c>
      <c r="F1243">
        <v>2663.0698200000002</v>
      </c>
      <c r="G1243">
        <f>_xlfn.MAXIFS(Crypto[Close],Crypto[Name],Crypto[[#This Row],[Name]],Crypto[Date],"&lt;="&amp;Crypto[[#This Row],[Date]])</f>
        <v>3688.6113300000002</v>
      </c>
      <c r="H1243" s="3">
        <f>(Crypto[[#This Row],[Close]]/Crypto[[#This Row],[Peak Close]])-1</f>
        <v>-0.27802916009586731</v>
      </c>
      <c r="I1243">
        <v>2564.13843</v>
      </c>
      <c r="J1243" s="1">
        <v>45803</v>
      </c>
      <c r="K1243" s="3">
        <v>3.8582702416733498E-2</v>
      </c>
      <c r="L1243">
        <v>26264200536</v>
      </c>
      <c r="M1243" s="2" t="s">
        <v>18</v>
      </c>
    </row>
    <row r="1244" spans="1:13" x14ac:dyDescent="0.3">
      <c r="A1244" s="1">
        <v>45805</v>
      </c>
      <c r="B1244" s="2" t="s">
        <v>17</v>
      </c>
      <c r="C1244">
        <v>2663.0102499999998</v>
      </c>
      <c r="D1244">
        <v>2688.7421899999999</v>
      </c>
      <c r="E1244">
        <v>2611.1608900000001</v>
      </c>
      <c r="F1244">
        <v>2682.2128899999998</v>
      </c>
      <c r="G1244">
        <f>_xlfn.MAXIFS(Crypto[Close],Crypto[Name],Crypto[[#This Row],[Name]],Crypto[Date],"&lt;="&amp;Crypto[[#This Row],[Date]])</f>
        <v>3688.6113300000002</v>
      </c>
      <c r="H1244" s="3">
        <f>(Crypto[[#This Row],[Close]]/Crypto[[#This Row],[Peak Close]])-1</f>
        <v>-0.27283938316157597</v>
      </c>
      <c r="I1244">
        <v>2663.0698200000002</v>
      </c>
      <c r="J1244" s="1">
        <v>45804</v>
      </c>
      <c r="K1244" s="3">
        <v>7.1883470182541502E-3</v>
      </c>
      <c r="L1244">
        <v>19087366068</v>
      </c>
      <c r="M1244" s="2" t="s">
        <v>18</v>
      </c>
    </row>
    <row r="1245" spans="1:13" x14ac:dyDescent="0.3">
      <c r="A1245" s="1">
        <v>45806</v>
      </c>
      <c r="B1245" s="2" t="s">
        <v>17</v>
      </c>
      <c r="C1245">
        <v>2681.8432600000001</v>
      </c>
      <c r="D1245">
        <v>2784.7524400000002</v>
      </c>
      <c r="E1245">
        <v>2620.9826699999999</v>
      </c>
      <c r="F1245">
        <v>2632.65479</v>
      </c>
      <c r="G1245">
        <f>_xlfn.MAXIFS(Crypto[Close],Crypto[Name],Crypto[[#This Row],[Name]],Crypto[Date],"&lt;="&amp;Crypto[[#This Row],[Date]])</f>
        <v>3688.6113300000002</v>
      </c>
      <c r="H1245" s="3">
        <f>(Crypto[[#This Row],[Close]]/Crypto[[#This Row],[Peak Close]])-1</f>
        <v>-0.28627481876763639</v>
      </c>
      <c r="I1245">
        <v>2682.2128899999998</v>
      </c>
      <c r="J1245" s="1">
        <v>45805</v>
      </c>
      <c r="K1245" s="3">
        <v>-1.84765721560602E-2</v>
      </c>
      <c r="L1245">
        <v>27567479811</v>
      </c>
      <c r="M1245" s="2" t="s">
        <v>18</v>
      </c>
    </row>
    <row r="1246" spans="1:13" x14ac:dyDescent="0.3">
      <c r="A1246" s="1">
        <v>45807</v>
      </c>
      <c r="B1246" s="2" t="s">
        <v>17</v>
      </c>
      <c r="C1246">
        <v>2632.8359399999999</v>
      </c>
      <c r="D1246">
        <v>2648.2607400000002</v>
      </c>
      <c r="E1246">
        <v>2510.1638200000002</v>
      </c>
      <c r="F1246">
        <v>2529.9436000000001</v>
      </c>
      <c r="G1246">
        <f>_xlfn.MAXIFS(Crypto[Close],Crypto[Name],Crypto[[#This Row],[Name]],Crypto[Date],"&lt;="&amp;Crypto[[#This Row],[Date]])</f>
        <v>3688.6113300000002</v>
      </c>
      <c r="H1246" s="3">
        <f>(Crypto[[#This Row],[Close]]/Crypto[[#This Row],[Peak Close]])-1</f>
        <v>-0.31412030879382458</v>
      </c>
      <c r="I1246">
        <v>2632.65479</v>
      </c>
      <c r="J1246" s="1">
        <v>45806</v>
      </c>
      <c r="K1246" s="3">
        <v>-3.9014302365104198E-2</v>
      </c>
      <c r="L1246">
        <v>24599403943</v>
      </c>
      <c r="M1246" s="2" t="s">
        <v>18</v>
      </c>
    </row>
    <row r="1247" spans="1:13" x14ac:dyDescent="0.3">
      <c r="A1247" s="1">
        <v>45808</v>
      </c>
      <c r="B1247" s="2" t="s">
        <v>17</v>
      </c>
      <c r="C1247">
        <v>2529.8339799999999</v>
      </c>
      <c r="D1247">
        <v>2550.4836399999999</v>
      </c>
      <c r="E1247">
        <v>2484.21558</v>
      </c>
      <c r="F1247">
        <v>2529.0873999999999</v>
      </c>
      <c r="G1247">
        <f>_xlfn.MAXIFS(Crypto[Close],Crypto[Name],Crypto[[#This Row],[Name]],Crypto[Date],"&lt;="&amp;Crypto[[#This Row],[Date]])</f>
        <v>3688.6113300000002</v>
      </c>
      <c r="H1247" s="3">
        <f>(Crypto[[#This Row],[Close]]/Crypto[[#This Row],[Peak Close]])-1</f>
        <v>-0.31435242866859603</v>
      </c>
      <c r="I1247">
        <v>2529.9436000000001</v>
      </c>
      <c r="J1247" s="1">
        <v>45807</v>
      </c>
      <c r="K1247" s="3">
        <v>-3.3842651670186301E-4</v>
      </c>
      <c r="L1247">
        <v>13992843765</v>
      </c>
      <c r="M1247" s="2" t="s">
        <v>18</v>
      </c>
    </row>
    <row r="1248" spans="1:13" x14ac:dyDescent="0.3">
      <c r="A1248" s="1">
        <v>45809</v>
      </c>
      <c r="B1248" s="2" t="s">
        <v>17</v>
      </c>
      <c r="C1248">
        <v>2529.0966800000001</v>
      </c>
      <c r="D1248">
        <v>2547.77295</v>
      </c>
      <c r="E1248">
        <v>2472.5407700000001</v>
      </c>
      <c r="F1248">
        <v>2536.2663600000001</v>
      </c>
      <c r="G1248">
        <f>_xlfn.MAXIFS(Crypto[Close],Crypto[Name],Crypto[[#This Row],[Name]],Crypto[Date],"&lt;="&amp;Crypto[[#This Row],[Date]])</f>
        <v>3688.6113300000002</v>
      </c>
      <c r="H1248" s="3">
        <f>(Crypto[[#This Row],[Close]]/Crypto[[#This Row],[Peak Close]])-1</f>
        <v>-0.31240617861464959</v>
      </c>
      <c r="I1248">
        <v>2529.0873999999999</v>
      </c>
      <c r="J1248" s="1">
        <v>45808</v>
      </c>
      <c r="K1248" s="3">
        <v>2.8385574970640399E-3</v>
      </c>
      <c r="L1248">
        <v>13287852482</v>
      </c>
      <c r="M1248" s="2" t="s">
        <v>18</v>
      </c>
    </row>
    <row r="1249" spans="1:13" x14ac:dyDescent="0.3">
      <c r="A1249" s="1">
        <v>45810</v>
      </c>
      <c r="B1249" s="2" t="s">
        <v>17</v>
      </c>
      <c r="C1249">
        <v>2536.1848100000002</v>
      </c>
      <c r="D1249">
        <v>2615.5156299999999</v>
      </c>
      <c r="E1249">
        <v>2477.2927300000001</v>
      </c>
      <c r="F1249">
        <v>2607.0974099999999</v>
      </c>
      <c r="G1249">
        <f>_xlfn.MAXIFS(Crypto[Close],Crypto[Name],Crypto[[#This Row],[Name]],Crypto[Date],"&lt;="&amp;Crypto[[#This Row],[Date]])</f>
        <v>3688.6113300000002</v>
      </c>
      <c r="H1249" s="3">
        <f>(Crypto[[#This Row],[Close]]/Crypto[[#This Row],[Peak Close]])-1</f>
        <v>-0.29320354551966321</v>
      </c>
      <c r="I1249">
        <v>2536.2663600000001</v>
      </c>
      <c r="J1249" s="1">
        <v>45809</v>
      </c>
      <c r="K1249" s="3">
        <v>2.7927291516810501E-2</v>
      </c>
      <c r="L1249">
        <v>16744168824</v>
      </c>
      <c r="M1249" s="2" t="s">
        <v>18</v>
      </c>
    </row>
    <row r="1250" spans="1:13" x14ac:dyDescent="0.3">
      <c r="A1250" s="1">
        <v>45811</v>
      </c>
      <c r="B1250" s="2" t="s">
        <v>17</v>
      </c>
      <c r="C1250">
        <v>2607.19751</v>
      </c>
      <c r="D1250">
        <v>2652.4187000000002</v>
      </c>
      <c r="E1250">
        <v>2582.2504899999999</v>
      </c>
      <c r="F1250">
        <v>2593.2802700000002</v>
      </c>
      <c r="G1250">
        <f>_xlfn.MAXIFS(Crypto[Close],Crypto[Name],Crypto[[#This Row],[Name]],Crypto[Date],"&lt;="&amp;Crypto[[#This Row],[Date]])</f>
        <v>3688.6113300000002</v>
      </c>
      <c r="H1250" s="3">
        <f>(Crypto[[#This Row],[Close]]/Crypto[[#This Row],[Peak Close]])-1</f>
        <v>-0.29694943760854298</v>
      </c>
      <c r="I1250">
        <v>2607.0974099999999</v>
      </c>
      <c r="J1250" s="1">
        <v>45810</v>
      </c>
      <c r="K1250" s="3">
        <v>-5.2998173167605796E-3</v>
      </c>
      <c r="L1250">
        <v>18291179016</v>
      </c>
      <c r="M1250" s="2" t="s">
        <v>18</v>
      </c>
    </row>
    <row r="1251" spans="1:13" x14ac:dyDescent="0.3">
      <c r="A1251" s="1">
        <v>45812</v>
      </c>
      <c r="B1251" s="2" t="s">
        <v>17</v>
      </c>
      <c r="C1251">
        <v>2593.4826699999999</v>
      </c>
      <c r="D1251">
        <v>2677.97046</v>
      </c>
      <c r="E1251">
        <v>2585.7377900000001</v>
      </c>
      <c r="F1251">
        <v>2608.6430700000001</v>
      </c>
      <c r="G1251">
        <f>_xlfn.MAXIFS(Crypto[Close],Crypto[Name],Crypto[[#This Row],[Name]],Crypto[Date],"&lt;="&amp;Crypto[[#This Row],[Date]])</f>
        <v>3688.6113300000002</v>
      </c>
      <c r="H1251" s="3">
        <f>(Crypto[[#This Row],[Close]]/Crypto[[#This Row],[Peak Close]])-1</f>
        <v>-0.29278450977376358</v>
      </c>
      <c r="I1251">
        <v>2593.2802700000002</v>
      </c>
      <c r="J1251" s="1">
        <v>45811</v>
      </c>
      <c r="K1251" s="3">
        <v>5.9240800841013101E-3</v>
      </c>
      <c r="L1251">
        <v>18621211035</v>
      </c>
      <c r="M1251" s="2" t="s">
        <v>18</v>
      </c>
    </row>
    <row r="1252" spans="1:13" x14ac:dyDescent="0.3">
      <c r="A1252" s="1">
        <v>45813</v>
      </c>
      <c r="B1252" s="2" t="s">
        <v>17</v>
      </c>
      <c r="C1252">
        <v>2608.60718</v>
      </c>
      <c r="D1252">
        <v>2640.6039999999998</v>
      </c>
      <c r="E1252">
        <v>2395.7536599999999</v>
      </c>
      <c r="F1252">
        <v>2416.2856499999998</v>
      </c>
      <c r="G1252">
        <f>_xlfn.MAXIFS(Crypto[Close],Crypto[Name],Crypto[[#This Row],[Name]],Crypto[Date],"&lt;="&amp;Crypto[[#This Row],[Date]])</f>
        <v>3688.6113300000002</v>
      </c>
      <c r="H1252" s="3">
        <f>(Crypto[[#This Row],[Close]]/Crypto[[#This Row],[Peak Close]])-1</f>
        <v>-0.34493351729741617</v>
      </c>
      <c r="I1252">
        <v>2608.6430700000001</v>
      </c>
      <c r="J1252" s="1">
        <v>45812</v>
      </c>
      <c r="K1252" s="3">
        <v>-7.3738497310021106E-2</v>
      </c>
      <c r="L1252">
        <v>26194462737</v>
      </c>
      <c r="M1252" s="2" t="s">
        <v>18</v>
      </c>
    </row>
    <row r="1253" spans="1:13" x14ac:dyDescent="0.3">
      <c r="A1253" s="1">
        <v>45814</v>
      </c>
      <c r="B1253" s="2" t="s">
        <v>17</v>
      </c>
      <c r="C1253">
        <v>2416.4550800000002</v>
      </c>
      <c r="D1253">
        <v>2530.39185</v>
      </c>
      <c r="E1253">
        <v>2387.6086399999999</v>
      </c>
      <c r="F1253">
        <v>2477.1948200000002</v>
      </c>
      <c r="G1253">
        <f>_xlfn.MAXIFS(Crypto[Close],Crypto[Name],Crypto[[#This Row],[Name]],Crypto[Date],"&lt;="&amp;Crypto[[#This Row],[Date]])</f>
        <v>3688.6113300000002</v>
      </c>
      <c r="H1253" s="3">
        <f>(Crypto[[#This Row],[Close]]/Crypto[[#This Row],[Peak Close]])-1</f>
        <v>-0.3284207528582308</v>
      </c>
      <c r="I1253">
        <v>2416.2856499999998</v>
      </c>
      <c r="J1253" s="1">
        <v>45813</v>
      </c>
      <c r="K1253" s="3">
        <v>2.5207768791740501E-2</v>
      </c>
      <c r="L1253">
        <v>19407449565</v>
      </c>
      <c r="M1253" s="2" t="s">
        <v>18</v>
      </c>
    </row>
    <row r="1254" spans="1:13" x14ac:dyDescent="0.3">
      <c r="A1254" s="1">
        <v>45815</v>
      </c>
      <c r="B1254" s="2" t="s">
        <v>17</v>
      </c>
      <c r="C1254">
        <v>2477.1833499999998</v>
      </c>
      <c r="D1254">
        <v>2543.0488300000002</v>
      </c>
      <c r="E1254">
        <v>2459.1372099999999</v>
      </c>
      <c r="F1254">
        <v>2526.5053699999999</v>
      </c>
      <c r="G1254">
        <f>_xlfn.MAXIFS(Crypto[Close],Crypto[Name],Crypto[[#This Row],[Name]],Crypto[Date],"&lt;="&amp;Crypto[[#This Row],[Date]])</f>
        <v>3688.6113300000002</v>
      </c>
      <c r="H1254" s="3">
        <f>(Crypto[[#This Row],[Close]]/Crypto[[#This Row],[Peak Close]])-1</f>
        <v>-0.31505242922951171</v>
      </c>
      <c r="I1254">
        <v>2477.1948200000002</v>
      </c>
      <c r="J1254" s="1">
        <v>45814</v>
      </c>
      <c r="K1254" s="3">
        <v>1.9905802160525999E-2</v>
      </c>
      <c r="L1254">
        <v>11664303387</v>
      </c>
      <c r="M1254" s="2" t="s">
        <v>18</v>
      </c>
    </row>
    <row r="1255" spans="1:13" x14ac:dyDescent="0.3">
      <c r="A1255" s="1">
        <v>45816</v>
      </c>
      <c r="B1255" s="2" t="s">
        <v>17</v>
      </c>
      <c r="C1255">
        <v>2526.1933600000002</v>
      </c>
      <c r="D1255">
        <v>2547.46704</v>
      </c>
      <c r="E1255">
        <v>2493.9201699999999</v>
      </c>
      <c r="F1255">
        <v>2510.7871100000002</v>
      </c>
      <c r="G1255">
        <f>_xlfn.MAXIFS(Crypto[Close],Crypto[Name],Crypto[[#This Row],[Name]],Crypto[Date],"&lt;="&amp;Crypto[[#This Row],[Date]])</f>
        <v>3688.6113300000002</v>
      </c>
      <c r="H1255" s="3">
        <f>(Crypto[[#This Row],[Close]]/Crypto[[#This Row],[Peak Close]])-1</f>
        <v>-0.31931372395367008</v>
      </c>
      <c r="I1255">
        <v>2526.5053699999999</v>
      </c>
      <c r="J1255" s="1">
        <v>45815</v>
      </c>
      <c r="K1255" s="3">
        <v>-6.2213443860598804E-3</v>
      </c>
      <c r="L1255">
        <v>12097170203</v>
      </c>
      <c r="M1255" s="2" t="s">
        <v>18</v>
      </c>
    </row>
    <row r="1256" spans="1:13" x14ac:dyDescent="0.3">
      <c r="A1256" s="1">
        <v>45817</v>
      </c>
      <c r="B1256" s="2" t="s">
        <v>17</v>
      </c>
      <c r="C1256">
        <v>2510.8381399999998</v>
      </c>
      <c r="D1256">
        <v>2693.8066399999998</v>
      </c>
      <c r="E1256">
        <v>2479.8679200000001</v>
      </c>
      <c r="F1256">
        <v>2681.5170899999998</v>
      </c>
      <c r="G1256">
        <f>_xlfn.MAXIFS(Crypto[Close],Crypto[Name],Crypto[[#This Row],[Name]],Crypto[Date],"&lt;="&amp;Crypto[[#This Row],[Date]])</f>
        <v>3688.6113300000002</v>
      </c>
      <c r="H1256" s="3">
        <f>(Crypto[[#This Row],[Close]]/Crypto[[#This Row],[Peak Close]])-1</f>
        <v>-0.27302801783672892</v>
      </c>
      <c r="I1256">
        <v>2510.7871100000002</v>
      </c>
      <c r="J1256" s="1">
        <v>45816</v>
      </c>
      <c r="K1256" s="3">
        <v>6.7998588697549794E-2</v>
      </c>
      <c r="L1256">
        <v>20605172560</v>
      </c>
      <c r="M1256" s="2" t="s">
        <v>18</v>
      </c>
    </row>
    <row r="1257" spans="1:13" x14ac:dyDescent="0.3">
      <c r="A1257" s="1">
        <v>45818</v>
      </c>
      <c r="B1257" s="2" t="s">
        <v>17</v>
      </c>
      <c r="C1257">
        <v>2681.2854000000002</v>
      </c>
      <c r="D1257">
        <v>2824.8081099999999</v>
      </c>
      <c r="E1257">
        <v>2658.6772500000002</v>
      </c>
      <c r="F1257">
        <v>2813.5175800000002</v>
      </c>
      <c r="G1257">
        <f>_xlfn.MAXIFS(Crypto[Close],Crypto[Name],Crypto[[#This Row],[Name]],Crypto[Date],"&lt;="&amp;Crypto[[#This Row],[Date]])</f>
        <v>3688.6113300000002</v>
      </c>
      <c r="H1257" s="3">
        <f>(Crypto[[#This Row],[Close]]/Crypto[[#This Row],[Peak Close]])-1</f>
        <v>-0.23724205987297664</v>
      </c>
      <c r="I1257">
        <v>2681.5170899999998</v>
      </c>
      <c r="J1257" s="1">
        <v>45817</v>
      </c>
      <c r="K1257" s="3">
        <v>4.9226048378457399E-2</v>
      </c>
      <c r="L1257">
        <v>35555755055</v>
      </c>
      <c r="M1257" s="2" t="s">
        <v>18</v>
      </c>
    </row>
    <row r="1258" spans="1:13" x14ac:dyDescent="0.3">
      <c r="A1258" s="1">
        <v>45819</v>
      </c>
      <c r="B1258" s="2" t="s">
        <v>17</v>
      </c>
      <c r="C1258">
        <v>2813.7397500000002</v>
      </c>
      <c r="D1258">
        <v>2877.6293999999998</v>
      </c>
      <c r="E1258">
        <v>2746.4599600000001</v>
      </c>
      <c r="F1258">
        <v>2773.5293000000001</v>
      </c>
      <c r="G1258">
        <f>_xlfn.MAXIFS(Crypto[Close],Crypto[Name],Crypto[[#This Row],[Name]],Crypto[Date],"&lt;="&amp;Crypto[[#This Row],[Date]])</f>
        <v>3688.6113300000002</v>
      </c>
      <c r="H1258" s="3">
        <f>(Crypto[[#This Row],[Close]]/Crypto[[#This Row],[Peak Close]])-1</f>
        <v>-0.24808307195651325</v>
      </c>
      <c r="I1258">
        <v>2813.5175800000002</v>
      </c>
      <c r="J1258" s="1">
        <v>45818</v>
      </c>
      <c r="K1258" s="3">
        <v>-1.42129127908275E-2</v>
      </c>
      <c r="L1258">
        <v>30705408054</v>
      </c>
      <c r="M1258" s="2" t="s">
        <v>18</v>
      </c>
    </row>
    <row r="1259" spans="1:13" x14ac:dyDescent="0.3">
      <c r="A1259" s="1">
        <v>45820</v>
      </c>
      <c r="B1259" s="2" t="s">
        <v>17</v>
      </c>
      <c r="C1259">
        <v>2773.5979000000002</v>
      </c>
      <c r="D1259">
        <v>2784.2627000000002</v>
      </c>
      <c r="E1259">
        <v>2619.9665500000001</v>
      </c>
      <c r="F1259">
        <v>2651.7951699999999</v>
      </c>
      <c r="G1259">
        <f>_xlfn.MAXIFS(Crypto[Close],Crypto[Name],Crypto[[#This Row],[Name]],Crypto[Date],"&lt;="&amp;Crypto[[#This Row],[Date]])</f>
        <v>3688.6113300000002</v>
      </c>
      <c r="H1259" s="3">
        <f>(Crypto[[#This Row],[Close]]/Crypto[[#This Row],[Peak Close]])-1</f>
        <v>-0.28108577110508426</v>
      </c>
      <c r="I1259">
        <v>2773.5293000000001</v>
      </c>
      <c r="J1259" s="1">
        <v>45819</v>
      </c>
      <c r="K1259" s="3">
        <v>-4.38914166149246E-2</v>
      </c>
      <c r="L1259">
        <v>25924959613</v>
      </c>
      <c r="M1259" s="2" t="s">
        <v>18</v>
      </c>
    </row>
    <row r="1260" spans="1:13" x14ac:dyDescent="0.3">
      <c r="A1260" s="1">
        <v>45821</v>
      </c>
      <c r="B1260" s="2" t="s">
        <v>17</v>
      </c>
      <c r="C1260">
        <v>2651.9155300000002</v>
      </c>
      <c r="D1260">
        <v>2651.9155300000002</v>
      </c>
      <c r="E1260">
        <v>2443.9626499999999</v>
      </c>
      <c r="F1260">
        <v>2579.4860800000001</v>
      </c>
      <c r="G1260">
        <f>_xlfn.MAXIFS(Crypto[Close],Crypto[Name],Crypto[[#This Row],[Name]],Crypto[Date],"&lt;="&amp;Crypto[[#This Row],[Date]])</f>
        <v>3688.6113300000002</v>
      </c>
      <c r="H1260" s="3">
        <f>(Crypto[[#This Row],[Close]]/Crypto[[#This Row],[Peak Close]])-1</f>
        <v>-0.30068910784373692</v>
      </c>
      <c r="I1260">
        <v>2651.7951699999999</v>
      </c>
      <c r="J1260" s="1">
        <v>45820</v>
      </c>
      <c r="K1260" s="3">
        <v>-2.7267977111520202E-2</v>
      </c>
      <c r="L1260">
        <v>37986747138</v>
      </c>
      <c r="M1260" s="2" t="s">
        <v>18</v>
      </c>
    </row>
    <row r="1261" spans="1:13" x14ac:dyDescent="0.3">
      <c r="A1261" s="1">
        <v>45822</v>
      </c>
      <c r="B1261" s="2" t="s">
        <v>17</v>
      </c>
      <c r="C1261">
        <v>2579.7214399999998</v>
      </c>
      <c r="D1261">
        <v>2580.1581999999999</v>
      </c>
      <c r="E1261">
        <v>2491.4907199999998</v>
      </c>
      <c r="F1261">
        <v>2533.44409</v>
      </c>
      <c r="G1261">
        <f>_xlfn.MAXIFS(Crypto[Close],Crypto[Name],Crypto[[#This Row],[Name]],Crypto[Date],"&lt;="&amp;Crypto[[#This Row],[Date]])</f>
        <v>3688.6113300000002</v>
      </c>
      <c r="H1261" s="3">
        <f>(Crypto[[#This Row],[Close]]/Crypto[[#This Row],[Peak Close]])-1</f>
        <v>-0.3131713093772881</v>
      </c>
      <c r="I1261">
        <v>2579.4860800000001</v>
      </c>
      <c r="J1261" s="1">
        <v>45821</v>
      </c>
      <c r="K1261" s="3">
        <v>-1.7849288025621E-2</v>
      </c>
      <c r="L1261">
        <v>14285000473</v>
      </c>
      <c r="M1261" s="2" t="s">
        <v>18</v>
      </c>
    </row>
    <row r="1262" spans="1:13" x14ac:dyDescent="0.3">
      <c r="A1262" s="1">
        <v>45823</v>
      </c>
      <c r="B1262" s="2" t="s">
        <v>17</v>
      </c>
      <c r="C1262">
        <v>2533.1833499999998</v>
      </c>
      <c r="D1262">
        <v>2558.6777299999999</v>
      </c>
      <c r="E1262">
        <v>2493.2045899999998</v>
      </c>
      <c r="F1262">
        <v>2546.83716</v>
      </c>
      <c r="G1262">
        <f>_xlfn.MAXIFS(Crypto[Close],Crypto[Name],Crypto[[#This Row],[Name]],Crypto[Date],"&lt;="&amp;Crypto[[#This Row],[Date]])</f>
        <v>3688.6113300000002</v>
      </c>
      <c r="H1262" s="3">
        <f>(Crypto[[#This Row],[Close]]/Crypto[[#This Row],[Peak Close]])-1</f>
        <v>-0.3095403846737087</v>
      </c>
      <c r="I1262">
        <v>2533.44409</v>
      </c>
      <c r="J1262" s="1">
        <v>45822</v>
      </c>
      <c r="K1262" s="3">
        <v>5.2865070331984598E-3</v>
      </c>
      <c r="L1262">
        <v>13961893828</v>
      </c>
      <c r="M1262" s="2" t="s">
        <v>18</v>
      </c>
    </row>
    <row r="1263" spans="1:13" x14ac:dyDescent="0.3">
      <c r="A1263" s="1">
        <v>45824</v>
      </c>
      <c r="B1263" s="2" t="s">
        <v>17</v>
      </c>
      <c r="C1263">
        <v>2547.2268100000001</v>
      </c>
      <c r="D1263">
        <v>2680.0876499999999</v>
      </c>
      <c r="E1263">
        <v>2517.1452599999998</v>
      </c>
      <c r="F1263">
        <v>2540.6049800000001</v>
      </c>
      <c r="G1263">
        <f>_xlfn.MAXIFS(Crypto[Close],Crypto[Name],Crypto[[#This Row],[Name]],Crypto[Date],"&lt;="&amp;Crypto[[#This Row],[Date]])</f>
        <v>3688.6113300000002</v>
      </c>
      <c r="H1263" s="3">
        <f>(Crypto[[#This Row],[Close]]/Crypto[[#This Row],[Peak Close]])-1</f>
        <v>-0.31122995818591714</v>
      </c>
      <c r="I1263">
        <v>2546.83716</v>
      </c>
      <c r="J1263" s="1">
        <v>45823</v>
      </c>
      <c r="K1263" s="3">
        <v>-2.4470272767654999E-3</v>
      </c>
      <c r="L1263">
        <v>22792449577</v>
      </c>
      <c r="M1263" s="2" t="s">
        <v>18</v>
      </c>
    </row>
    <row r="1264" spans="1:13" x14ac:dyDescent="0.3">
      <c r="A1264" s="1">
        <v>45825</v>
      </c>
      <c r="B1264" s="2" t="s">
        <v>17</v>
      </c>
      <c r="C1264">
        <v>2540.3144499999999</v>
      </c>
      <c r="D1264">
        <v>2617.90137</v>
      </c>
      <c r="E1264">
        <v>2456.6489299999998</v>
      </c>
      <c r="F1264">
        <v>2510.7614800000001</v>
      </c>
      <c r="G1264">
        <f>_xlfn.MAXIFS(Crypto[Close],Crypto[Name],Crypto[[#This Row],[Name]],Crypto[Date],"&lt;="&amp;Crypto[[#This Row],[Date]])</f>
        <v>3688.6113300000002</v>
      </c>
      <c r="H1264" s="3">
        <f>(Crypto[[#This Row],[Close]]/Crypto[[#This Row],[Peak Close]])-1</f>
        <v>-0.31932067236804806</v>
      </c>
      <c r="I1264">
        <v>2540.6049800000001</v>
      </c>
      <c r="J1264" s="1">
        <v>45824</v>
      </c>
      <c r="K1264" s="3">
        <v>-1.1746611627912301E-2</v>
      </c>
      <c r="L1264">
        <v>25653232897</v>
      </c>
      <c r="M1264" s="2" t="s">
        <v>18</v>
      </c>
    </row>
    <row r="1265" spans="1:13" x14ac:dyDescent="0.3">
      <c r="A1265" s="1">
        <v>45826</v>
      </c>
      <c r="B1265" s="2" t="s">
        <v>17</v>
      </c>
      <c r="C1265">
        <v>2510.8168999999998</v>
      </c>
      <c r="D1265">
        <v>2546.6274400000002</v>
      </c>
      <c r="E1265">
        <v>2469.0502900000001</v>
      </c>
      <c r="F1265">
        <v>2524.3015099999998</v>
      </c>
      <c r="G1265">
        <f>_xlfn.MAXIFS(Crypto[Close],Crypto[Name],Crypto[[#This Row],[Name]],Crypto[Date],"&lt;="&amp;Crypto[[#This Row],[Date]])</f>
        <v>3688.6113300000002</v>
      </c>
      <c r="H1265" s="3">
        <f>(Crypto[[#This Row],[Close]]/Crypto[[#This Row],[Peak Close]])-1</f>
        <v>-0.3156499061124991</v>
      </c>
      <c r="I1265">
        <v>2510.7614800000001</v>
      </c>
      <c r="J1265" s="1">
        <v>45825</v>
      </c>
      <c r="K1265" s="3">
        <v>5.3927982039933403E-3</v>
      </c>
      <c r="L1265">
        <v>19873957905</v>
      </c>
      <c r="M1265" s="2" t="s">
        <v>18</v>
      </c>
    </row>
    <row r="1266" spans="1:13" x14ac:dyDescent="0.3">
      <c r="A1266" s="1">
        <v>45827</v>
      </c>
      <c r="B1266" s="2" t="s">
        <v>17</v>
      </c>
      <c r="C1266">
        <v>2524.4040500000001</v>
      </c>
      <c r="D1266">
        <v>2546.76953</v>
      </c>
      <c r="E1266">
        <v>2486.1018100000001</v>
      </c>
      <c r="F1266">
        <v>2521.6535600000002</v>
      </c>
      <c r="G1266">
        <f>_xlfn.MAXIFS(Crypto[Close],Crypto[Name],Crypto[[#This Row],[Name]],Crypto[Date],"&lt;="&amp;Crypto[[#This Row],[Date]])</f>
        <v>3688.6113300000002</v>
      </c>
      <c r="H1266" s="3">
        <f>(Crypto[[#This Row],[Close]]/Crypto[[#This Row],[Peak Close]])-1</f>
        <v>-0.31636777789759707</v>
      </c>
      <c r="I1266">
        <v>2524.3015099999998</v>
      </c>
      <c r="J1266" s="1">
        <v>45826</v>
      </c>
      <c r="K1266" s="3">
        <v>-1.0489832492314201E-3</v>
      </c>
      <c r="L1266">
        <v>12782730709</v>
      </c>
      <c r="M1266" s="2" t="s">
        <v>18</v>
      </c>
    </row>
    <row r="1267" spans="1:13" x14ac:dyDescent="0.3">
      <c r="A1267" s="1">
        <v>45828</v>
      </c>
      <c r="B1267" s="2" t="s">
        <v>17</v>
      </c>
      <c r="C1267">
        <v>2521.52637</v>
      </c>
      <c r="D1267">
        <v>2569.0146500000001</v>
      </c>
      <c r="E1267">
        <v>2371.4743699999999</v>
      </c>
      <c r="F1267">
        <v>2407.3042</v>
      </c>
      <c r="G1267">
        <f>_xlfn.MAXIFS(Crypto[Close],Crypto[Name],Crypto[[#This Row],[Name]],Crypto[Date],"&lt;="&amp;Crypto[[#This Row],[Date]])</f>
        <v>3688.6113300000002</v>
      </c>
      <c r="H1267" s="3">
        <f>(Crypto[[#This Row],[Close]]/Crypto[[#This Row],[Peak Close]])-1</f>
        <v>-0.34736843092655145</v>
      </c>
      <c r="I1267">
        <v>2521.6535600000002</v>
      </c>
      <c r="J1267" s="1">
        <v>45827</v>
      </c>
      <c r="K1267" s="3">
        <v>-4.5346974625650099E-2</v>
      </c>
      <c r="L1267">
        <v>22592586688</v>
      </c>
      <c r="M1267" s="2" t="s">
        <v>18</v>
      </c>
    </row>
    <row r="1268" spans="1:13" x14ac:dyDescent="0.3">
      <c r="A1268" s="1">
        <v>45829</v>
      </c>
      <c r="B1268" s="2" t="s">
        <v>17</v>
      </c>
      <c r="C1268">
        <v>2407.3476599999999</v>
      </c>
      <c r="D1268">
        <v>2448.4116199999999</v>
      </c>
      <c r="E1268">
        <v>2222.8125</v>
      </c>
      <c r="F1268">
        <v>2300.4956099999999</v>
      </c>
      <c r="G1268">
        <f>_xlfn.MAXIFS(Crypto[Close],Crypto[Name],Crypto[[#This Row],[Name]],Crypto[Date],"&lt;="&amp;Crypto[[#This Row],[Date]])</f>
        <v>3688.6113300000002</v>
      </c>
      <c r="H1268" s="3">
        <f>(Crypto[[#This Row],[Close]]/Crypto[[#This Row],[Peak Close]])-1</f>
        <v>-0.37632474549710826</v>
      </c>
      <c r="I1268">
        <v>2407.3042</v>
      </c>
      <c r="J1268" s="1">
        <v>45828</v>
      </c>
      <c r="K1268" s="3">
        <v>-4.43685471906708E-2</v>
      </c>
      <c r="L1268">
        <v>16108791762</v>
      </c>
      <c r="M1268" s="2" t="s">
        <v>18</v>
      </c>
    </row>
    <row r="1269" spans="1:13" x14ac:dyDescent="0.3">
      <c r="A1269" s="1">
        <v>45830</v>
      </c>
      <c r="B1269" s="2" t="s">
        <v>17</v>
      </c>
      <c r="C1269">
        <v>2298.8427700000002</v>
      </c>
      <c r="D1269">
        <v>2313.8530300000002</v>
      </c>
      <c r="E1269">
        <v>2116.6813999999999</v>
      </c>
      <c r="F1269">
        <v>2228.2131399999998</v>
      </c>
      <c r="G1269">
        <f>_xlfn.MAXIFS(Crypto[Close],Crypto[Name],Crypto[[#This Row],[Name]],Crypto[Date],"&lt;="&amp;Crypto[[#This Row],[Date]])</f>
        <v>3688.6113300000002</v>
      </c>
      <c r="H1269" s="3">
        <f>(Crypto[[#This Row],[Close]]/Crypto[[#This Row],[Peak Close]])-1</f>
        <v>-0.39592086542769478</v>
      </c>
      <c r="I1269">
        <v>2300.4956099999999</v>
      </c>
      <c r="J1269" s="1">
        <v>45829</v>
      </c>
      <c r="K1269" s="3">
        <v>-3.1420390321892498E-2</v>
      </c>
      <c r="L1269">
        <v>28458151601</v>
      </c>
      <c r="M1269" s="2" t="s">
        <v>18</v>
      </c>
    </row>
    <row r="1270" spans="1:13" x14ac:dyDescent="0.3">
      <c r="A1270" s="1">
        <v>45831</v>
      </c>
      <c r="B1270" s="2" t="s">
        <v>17</v>
      </c>
      <c r="C1270">
        <v>2228.4846200000002</v>
      </c>
      <c r="D1270">
        <v>2434.2397500000002</v>
      </c>
      <c r="E1270">
        <v>2191.4182099999998</v>
      </c>
      <c r="F1270">
        <v>2421.8249500000002</v>
      </c>
      <c r="G1270">
        <f>_xlfn.MAXIFS(Crypto[Close],Crypto[Name],Crypto[[#This Row],[Name]],Crypto[Date],"&lt;="&amp;Crypto[[#This Row],[Date]])</f>
        <v>3688.6113300000002</v>
      </c>
      <c r="H1270" s="3">
        <f>(Crypto[[#This Row],[Close]]/Crypto[[#This Row],[Peak Close]])-1</f>
        <v>-0.34343178683453213</v>
      </c>
      <c r="I1270">
        <v>2228.2131399999998</v>
      </c>
      <c r="J1270" s="1">
        <v>45830</v>
      </c>
      <c r="K1270" s="3">
        <v>8.6891063751648304E-2</v>
      </c>
      <c r="L1270">
        <v>26247439429</v>
      </c>
      <c r="M1270" s="2" t="s">
        <v>18</v>
      </c>
    </row>
    <row r="1271" spans="1:13" x14ac:dyDescent="0.3">
      <c r="A1271" s="1">
        <v>45832</v>
      </c>
      <c r="B1271" s="2" t="s">
        <v>17</v>
      </c>
      <c r="C1271">
        <v>2421.8305700000001</v>
      </c>
      <c r="D1271">
        <v>2481.2229000000002</v>
      </c>
      <c r="E1271">
        <v>2379.56934</v>
      </c>
      <c r="F1271">
        <v>2448.0087899999999</v>
      </c>
      <c r="G1271">
        <f>_xlfn.MAXIFS(Crypto[Close],Crypto[Name],Crypto[[#This Row],[Name]],Crypto[Date],"&lt;="&amp;Crypto[[#This Row],[Date]])</f>
        <v>3688.6113300000002</v>
      </c>
      <c r="H1271" s="3">
        <f>(Crypto[[#This Row],[Close]]/Crypto[[#This Row],[Peak Close]])-1</f>
        <v>-0.33633322380973119</v>
      </c>
      <c r="I1271">
        <v>2421.8249500000002</v>
      </c>
      <c r="J1271" s="1">
        <v>45831</v>
      </c>
      <c r="K1271" s="3">
        <v>1.0811615430751801E-2</v>
      </c>
      <c r="L1271">
        <v>19539047009</v>
      </c>
      <c r="M1271" s="2" t="s">
        <v>18</v>
      </c>
    </row>
    <row r="1272" spans="1:13" x14ac:dyDescent="0.3">
      <c r="A1272" s="1">
        <v>45833</v>
      </c>
      <c r="B1272" s="2" t="s">
        <v>17</v>
      </c>
      <c r="C1272">
        <v>2448.73731</v>
      </c>
      <c r="D1272">
        <v>2468.6779799999999</v>
      </c>
      <c r="E1272">
        <v>2394.6074199999998</v>
      </c>
      <c r="F1272">
        <v>2419.3103000000001</v>
      </c>
      <c r="G1272">
        <f>_xlfn.MAXIFS(Crypto[Close],Crypto[Name],Crypto[[#This Row],[Name]],Crypto[Date],"&lt;="&amp;Crypto[[#This Row],[Date]])</f>
        <v>3688.6113300000002</v>
      </c>
      <c r="H1272" s="3">
        <f>(Crypto[[#This Row],[Close]]/Crypto[[#This Row],[Peak Close]])-1</f>
        <v>-0.34411352035835119</v>
      </c>
      <c r="I1272">
        <v>2448.0087899999999</v>
      </c>
      <c r="J1272" s="1">
        <v>45832</v>
      </c>
      <c r="K1272" s="3">
        <v>-1.1723197284761301E-2</v>
      </c>
      <c r="L1272">
        <v>17158118625</v>
      </c>
      <c r="M1272" s="2" t="s">
        <v>18</v>
      </c>
    </row>
    <row r="1273" spans="1:13" x14ac:dyDescent="0.3">
      <c r="A1273" s="1">
        <v>45834</v>
      </c>
      <c r="B1273" s="2" t="s">
        <v>17</v>
      </c>
      <c r="C1273">
        <v>2419.15479</v>
      </c>
      <c r="D1273">
        <v>2519.61987</v>
      </c>
      <c r="E1273">
        <v>2399.5339399999998</v>
      </c>
      <c r="F1273">
        <v>2416.1467299999999</v>
      </c>
      <c r="G1273">
        <f>_xlfn.MAXIFS(Crypto[Close],Crypto[Name],Crypto[[#This Row],[Name]],Crypto[Date],"&lt;="&amp;Crypto[[#This Row],[Date]])</f>
        <v>3688.6113300000002</v>
      </c>
      <c r="H1273" s="3">
        <f>(Crypto[[#This Row],[Close]]/Crypto[[#This Row],[Peak Close]])-1</f>
        <v>-0.34497117916731013</v>
      </c>
      <c r="I1273">
        <v>2419.3103000000001</v>
      </c>
      <c r="J1273" s="1">
        <v>45833</v>
      </c>
      <c r="K1273" s="3">
        <v>-1.3076330059852901E-3</v>
      </c>
      <c r="L1273">
        <v>18300413888</v>
      </c>
      <c r="M1273" s="2" t="s">
        <v>18</v>
      </c>
    </row>
    <row r="1274" spans="1:13" x14ac:dyDescent="0.3">
      <c r="A1274" s="1">
        <v>45835</v>
      </c>
      <c r="B1274" s="2" t="s">
        <v>17</v>
      </c>
      <c r="C1274">
        <v>2416.0231899999999</v>
      </c>
      <c r="D1274">
        <v>2463.15479</v>
      </c>
      <c r="E1274">
        <v>2386.3249500000002</v>
      </c>
      <c r="F1274">
        <v>2423.8669399999999</v>
      </c>
      <c r="G1274">
        <f>_xlfn.MAXIFS(Crypto[Close],Crypto[Name],Crypto[[#This Row],[Name]],Crypto[Date],"&lt;="&amp;Crypto[[#This Row],[Date]])</f>
        <v>3688.6113300000002</v>
      </c>
      <c r="H1274" s="3">
        <f>(Crypto[[#This Row],[Close]]/Crypto[[#This Row],[Peak Close]])-1</f>
        <v>-0.34287819367512495</v>
      </c>
      <c r="I1274">
        <v>2416.1467299999999</v>
      </c>
      <c r="J1274" s="1">
        <v>45834</v>
      </c>
      <c r="K1274" s="3">
        <v>3.1952571026180798E-3</v>
      </c>
      <c r="L1274">
        <v>15309834970</v>
      </c>
      <c r="M1274" s="2" t="s">
        <v>18</v>
      </c>
    </row>
    <row r="1275" spans="1:13" x14ac:dyDescent="0.3">
      <c r="A1275" s="1">
        <v>45836</v>
      </c>
      <c r="B1275" s="2" t="s">
        <v>17</v>
      </c>
      <c r="C1275">
        <v>2423.9252900000001</v>
      </c>
      <c r="D1275">
        <v>2448.1916500000002</v>
      </c>
      <c r="E1275">
        <v>2407.76172</v>
      </c>
      <c r="F1275">
        <v>2437.1093799999999</v>
      </c>
      <c r="G1275">
        <f>_xlfn.MAXIFS(Crypto[Close],Crypto[Name],Crypto[[#This Row],[Name]],Crypto[Date],"&lt;="&amp;Crypto[[#This Row],[Date]])</f>
        <v>3688.6113300000002</v>
      </c>
      <c r="H1275" s="3">
        <f>(Crypto[[#This Row],[Close]]/Crypto[[#This Row],[Peak Close]])-1</f>
        <v>-0.33928810547789545</v>
      </c>
      <c r="I1275">
        <v>2423.8669399999999</v>
      </c>
      <c r="J1275" s="1">
        <v>45835</v>
      </c>
      <c r="K1275" s="3">
        <v>5.46335270367605E-3</v>
      </c>
      <c r="L1275">
        <v>8273074809</v>
      </c>
      <c r="M1275" s="2" t="s">
        <v>18</v>
      </c>
    </row>
    <row r="1276" spans="1:13" x14ac:dyDescent="0.3">
      <c r="A1276" s="1">
        <v>45837</v>
      </c>
      <c r="B1276" s="2" t="s">
        <v>17</v>
      </c>
      <c r="C1276">
        <v>2437.1147500000002</v>
      </c>
      <c r="D1276">
        <v>2523.3205600000001</v>
      </c>
      <c r="E1276">
        <v>2417.6252399999998</v>
      </c>
      <c r="F1276">
        <v>2500.9599600000001</v>
      </c>
      <c r="G1276">
        <f>_xlfn.MAXIFS(Crypto[Close],Crypto[Name],Crypto[[#This Row],[Name]],Crypto[Date],"&lt;="&amp;Crypto[[#This Row],[Date]])</f>
        <v>3688.6113300000002</v>
      </c>
      <c r="H1276" s="3">
        <f>(Crypto[[#This Row],[Close]]/Crypto[[#This Row],[Peak Close]])-1</f>
        <v>-0.32197791085785121</v>
      </c>
      <c r="I1276">
        <v>2437.1093799999999</v>
      </c>
      <c r="J1276" s="1">
        <v>45836</v>
      </c>
      <c r="K1276" s="3">
        <v>2.61993082969466E-2</v>
      </c>
      <c r="L1276">
        <v>12500580479</v>
      </c>
      <c r="M1276" s="2" t="s">
        <v>18</v>
      </c>
    </row>
    <row r="1277" spans="1:13" x14ac:dyDescent="0.3">
      <c r="A1277" s="1">
        <v>45838</v>
      </c>
      <c r="B1277" s="2" t="s">
        <v>17</v>
      </c>
      <c r="C1277">
        <v>2500.60547</v>
      </c>
      <c r="D1277">
        <v>2521.72046</v>
      </c>
      <c r="E1277">
        <v>2438.0549299999998</v>
      </c>
      <c r="F1277">
        <v>2486.4643599999999</v>
      </c>
      <c r="G1277">
        <f>_xlfn.MAXIFS(Crypto[Close],Crypto[Name],Crypto[[#This Row],[Name]],Crypto[Date],"&lt;="&amp;Crypto[[#This Row],[Date]])</f>
        <v>3688.6113300000002</v>
      </c>
      <c r="H1277" s="3">
        <f>(Crypto[[#This Row],[Close]]/Crypto[[#This Row],[Peak Close]])-1</f>
        <v>-0.32590773666576578</v>
      </c>
      <c r="I1277">
        <v>2500.9599600000001</v>
      </c>
      <c r="J1277" s="1">
        <v>45837</v>
      </c>
      <c r="K1277" s="3">
        <v>-5.7960144231978001E-3</v>
      </c>
      <c r="L1277">
        <v>16859727663</v>
      </c>
      <c r="M1277" s="2" t="s">
        <v>18</v>
      </c>
    </row>
    <row r="1278" spans="1:13" x14ac:dyDescent="0.3">
      <c r="A1278" s="1">
        <v>45839</v>
      </c>
      <c r="B1278" s="2" t="s">
        <v>17</v>
      </c>
      <c r="C1278">
        <v>2486.4284699999998</v>
      </c>
      <c r="D1278">
        <v>2500.5918000000001</v>
      </c>
      <c r="E1278">
        <v>2389.81592</v>
      </c>
      <c r="F1278">
        <v>2405.7927300000001</v>
      </c>
      <c r="G1278">
        <f>_xlfn.MAXIFS(Crypto[Close],Crypto[Name],Crypto[[#This Row],[Name]],Crypto[Date],"&lt;="&amp;Crypto[[#This Row],[Date]])</f>
        <v>3688.6113300000002</v>
      </c>
      <c r="H1278" s="3">
        <f>(Crypto[[#This Row],[Close]]/Crypto[[#This Row],[Peak Close]])-1</f>
        <v>-0.34777819760153472</v>
      </c>
      <c r="I1278">
        <v>2486.4643599999999</v>
      </c>
      <c r="J1278" s="1">
        <v>45838</v>
      </c>
      <c r="K1278" s="3">
        <v>-3.2444313820769899E-2</v>
      </c>
      <c r="L1278">
        <v>15025451796</v>
      </c>
      <c r="M1278" s="2" t="s">
        <v>18</v>
      </c>
    </row>
    <row r="1279" spans="1:13" x14ac:dyDescent="0.3">
      <c r="A1279" s="1">
        <v>45840</v>
      </c>
      <c r="B1279" s="2" t="s">
        <v>17</v>
      </c>
      <c r="C1279">
        <v>2405.8574199999998</v>
      </c>
      <c r="D1279">
        <v>2616.7836900000002</v>
      </c>
      <c r="E1279">
        <v>2378.39356</v>
      </c>
      <c r="F1279">
        <v>2571.33545</v>
      </c>
      <c r="G1279">
        <f>_xlfn.MAXIFS(Crypto[Close],Crypto[Name],Crypto[[#This Row],[Name]],Crypto[Date],"&lt;="&amp;Crypto[[#This Row],[Date]])</f>
        <v>3688.6113300000002</v>
      </c>
      <c r="H1279" s="3">
        <f>(Crypto[[#This Row],[Close]]/Crypto[[#This Row],[Peak Close]])-1</f>
        <v>-0.30289878223629485</v>
      </c>
      <c r="I1279">
        <v>2405.7927300000001</v>
      </c>
      <c r="J1279" s="1">
        <v>45839</v>
      </c>
      <c r="K1279" s="3">
        <v>6.8810050814311005E-2</v>
      </c>
      <c r="L1279">
        <v>22792512025</v>
      </c>
      <c r="M1279" s="2" t="s">
        <v>18</v>
      </c>
    </row>
    <row r="1280" spans="1:13" x14ac:dyDescent="0.3">
      <c r="A1280" s="1">
        <v>45841</v>
      </c>
      <c r="B1280" s="2" t="s">
        <v>17</v>
      </c>
      <c r="C1280">
        <v>2570.7966299999998</v>
      </c>
      <c r="D1280">
        <v>2635.1921400000001</v>
      </c>
      <c r="E1280">
        <v>2558.5825199999999</v>
      </c>
      <c r="F1280">
        <v>2591.0073200000002</v>
      </c>
      <c r="G1280">
        <f>_xlfn.MAXIFS(Crypto[Close],Crypto[Name],Crypto[[#This Row],[Name]],Crypto[Date],"&lt;="&amp;Crypto[[#This Row],[Date]])</f>
        <v>3688.6113300000002</v>
      </c>
      <c r="H1280" s="3">
        <f>(Crypto[[#This Row],[Close]]/Crypto[[#This Row],[Peak Close]])-1</f>
        <v>-0.2975656451177251</v>
      </c>
      <c r="I1280">
        <v>2571.33545</v>
      </c>
      <c r="J1280" s="1">
        <v>45840</v>
      </c>
      <c r="K1280" s="3">
        <v>7.6504487191665803E-3</v>
      </c>
      <c r="L1280">
        <v>20873559425</v>
      </c>
      <c r="M1280" s="2" t="s">
        <v>18</v>
      </c>
    </row>
    <row r="1281" spans="1:13" x14ac:dyDescent="0.3">
      <c r="A1281" s="1">
        <v>45842</v>
      </c>
      <c r="B1281" s="2" t="s">
        <v>17</v>
      </c>
      <c r="C1281">
        <v>2590.8456999999999</v>
      </c>
      <c r="D1281">
        <v>2601.1196300000001</v>
      </c>
      <c r="E1281">
        <v>2475.75488</v>
      </c>
      <c r="F1281">
        <v>2508.5183099999999</v>
      </c>
      <c r="G1281">
        <f>_xlfn.MAXIFS(Crypto[Close],Crypto[Name],Crypto[[#This Row],[Name]],Crypto[Date],"&lt;="&amp;Crypto[[#This Row],[Date]])</f>
        <v>3688.6113300000002</v>
      </c>
      <c r="H1281" s="3">
        <f>(Crypto[[#This Row],[Close]]/Crypto[[#This Row],[Peak Close]])-1</f>
        <v>-0.31992880637819876</v>
      </c>
      <c r="I1281">
        <v>2591.0073200000002</v>
      </c>
      <c r="J1281" s="1">
        <v>45841</v>
      </c>
      <c r="K1281" s="3">
        <v>-3.1836656486173197E-2</v>
      </c>
      <c r="L1281">
        <v>17222740209</v>
      </c>
      <c r="M1281" s="2" t="s">
        <v>18</v>
      </c>
    </row>
    <row r="1282" spans="1:13" x14ac:dyDescent="0.3">
      <c r="A1282" s="1">
        <v>45843</v>
      </c>
      <c r="B1282" s="2" t="s">
        <v>17</v>
      </c>
      <c r="C1282">
        <v>2508.0959499999999</v>
      </c>
      <c r="D1282">
        <v>2529.84229</v>
      </c>
      <c r="E1282">
        <v>2489.0024400000002</v>
      </c>
      <c r="F1282">
        <v>2517.2800299999999</v>
      </c>
      <c r="G1282">
        <f>_xlfn.MAXIFS(Crypto[Close],Crypto[Name],Crypto[[#This Row],[Name]],Crypto[Date],"&lt;="&amp;Crypto[[#This Row],[Date]])</f>
        <v>3688.6113300000002</v>
      </c>
      <c r="H1282" s="3">
        <f>(Crypto[[#This Row],[Close]]/Crypto[[#This Row],[Peak Close]])-1</f>
        <v>-0.31755346259265549</v>
      </c>
      <c r="I1282">
        <v>2508.5183099999999</v>
      </c>
      <c r="J1282" s="1">
        <v>45842</v>
      </c>
      <c r="K1282" s="3">
        <v>3.49278694322146E-3</v>
      </c>
      <c r="L1282">
        <v>9289382302</v>
      </c>
      <c r="M1282" s="2" t="s">
        <v>18</v>
      </c>
    </row>
    <row r="1283" spans="1:13" x14ac:dyDescent="0.3">
      <c r="A1283" s="1">
        <v>45844</v>
      </c>
      <c r="B1283" s="2" t="s">
        <v>17</v>
      </c>
      <c r="C1283">
        <v>2517.2800299999999</v>
      </c>
      <c r="D1283">
        <v>2603.0646999999999</v>
      </c>
      <c r="E1283">
        <v>2505.3708499999998</v>
      </c>
      <c r="F1283">
        <v>2571.23657</v>
      </c>
      <c r="G1283">
        <f>_xlfn.MAXIFS(Crypto[Close],Crypto[Name],Crypto[[#This Row],[Name]],Crypto[Date],"&lt;="&amp;Crypto[[#This Row],[Date]])</f>
        <v>3688.6113300000002</v>
      </c>
      <c r="H1283" s="3">
        <f>(Crypto[[#This Row],[Close]]/Crypto[[#This Row],[Peak Close]])-1</f>
        <v>-0.30292558907256839</v>
      </c>
      <c r="I1283">
        <v>2517.2800299999999</v>
      </c>
      <c r="J1283" s="1">
        <v>45843</v>
      </c>
      <c r="K1283" s="3">
        <v>2.1434460750081999E-2</v>
      </c>
      <c r="L1283">
        <v>13190436110</v>
      </c>
      <c r="M1283" s="2" t="s">
        <v>18</v>
      </c>
    </row>
    <row r="1284" spans="1:13" x14ac:dyDescent="0.3">
      <c r="A1284" s="1">
        <v>45845</v>
      </c>
      <c r="B1284" s="2" t="s">
        <v>17</v>
      </c>
      <c r="C1284">
        <v>2571.3952599999998</v>
      </c>
      <c r="D1284">
        <v>2589.3249500000002</v>
      </c>
      <c r="E1284">
        <v>2517.9035600000002</v>
      </c>
      <c r="F1284">
        <v>2543.0131799999999</v>
      </c>
      <c r="G1284">
        <f>_xlfn.MAXIFS(Crypto[Close],Crypto[Name],Crypto[[#This Row],[Name]],Crypto[Date],"&lt;="&amp;Crypto[[#This Row],[Date]])</f>
        <v>3688.6113300000002</v>
      </c>
      <c r="H1284" s="3">
        <f>(Crypto[[#This Row],[Close]]/Crypto[[#This Row],[Peak Close]])-1</f>
        <v>-0.3105770837612214</v>
      </c>
      <c r="I1284">
        <v>2571.23657</v>
      </c>
      <c r="J1284" s="1">
        <v>45844</v>
      </c>
      <c r="K1284" s="3">
        <v>-1.0976582368692801E-2</v>
      </c>
      <c r="L1284">
        <v>18440266947</v>
      </c>
      <c r="M1284" s="2" t="s">
        <v>18</v>
      </c>
    </row>
    <row r="1285" spans="1:13" x14ac:dyDescent="0.3">
      <c r="A1285" s="1">
        <v>45846</v>
      </c>
      <c r="B1285" s="2" t="s">
        <v>17</v>
      </c>
      <c r="C1285">
        <v>2542.9726599999999</v>
      </c>
      <c r="D1285">
        <v>2626.66455</v>
      </c>
      <c r="E1285">
        <v>2525.4377399999998</v>
      </c>
      <c r="F1285">
        <v>2615.5058600000002</v>
      </c>
      <c r="G1285">
        <f>_xlfn.MAXIFS(Crypto[Close],Crypto[Name],Crypto[[#This Row],[Name]],Crypto[Date],"&lt;="&amp;Crypto[[#This Row],[Date]])</f>
        <v>3688.6113300000002</v>
      </c>
      <c r="H1285" s="3">
        <f>(Crypto[[#This Row],[Close]]/Crypto[[#This Row],[Peak Close]])-1</f>
        <v>-0.29092397490412736</v>
      </c>
      <c r="I1285">
        <v>2543.0131799999999</v>
      </c>
      <c r="J1285" s="1">
        <v>45845</v>
      </c>
      <c r="K1285" s="3">
        <v>2.8506608054622899E-2</v>
      </c>
      <c r="L1285">
        <v>17537487206</v>
      </c>
      <c r="M1285" s="2" t="s">
        <v>18</v>
      </c>
    </row>
    <row r="1286" spans="1:13" x14ac:dyDescent="0.3">
      <c r="A1286" s="1">
        <v>45847</v>
      </c>
      <c r="B1286" s="2" t="s">
        <v>17</v>
      </c>
      <c r="C1286">
        <v>2615.5058600000002</v>
      </c>
      <c r="D1286">
        <v>2794.51856</v>
      </c>
      <c r="E1286">
        <v>2591.9470200000001</v>
      </c>
      <c r="F1286">
        <v>2770.7775900000001</v>
      </c>
      <c r="G1286">
        <f>_xlfn.MAXIFS(Crypto[Close],Crypto[Name],Crypto[[#This Row],[Name]],Crypto[Date],"&lt;="&amp;Crypto[[#This Row],[Date]])</f>
        <v>3688.6113300000002</v>
      </c>
      <c r="H1286" s="3">
        <f>(Crypto[[#This Row],[Close]]/Crypto[[#This Row],[Peak Close]])-1</f>
        <v>-0.24882907356899542</v>
      </c>
      <c r="I1286">
        <v>2615.5058600000002</v>
      </c>
      <c r="J1286" s="1">
        <v>45846</v>
      </c>
      <c r="K1286" s="3">
        <v>5.9365850550990501E-2</v>
      </c>
      <c r="L1286">
        <v>27229452849</v>
      </c>
      <c r="M1286" s="2" t="s">
        <v>18</v>
      </c>
    </row>
    <row r="1287" spans="1:13" x14ac:dyDescent="0.3">
      <c r="A1287" s="1">
        <v>45848</v>
      </c>
      <c r="B1287" s="2" t="s">
        <v>17</v>
      </c>
      <c r="C1287">
        <v>2770.73731</v>
      </c>
      <c r="D1287">
        <v>2995.1520999999998</v>
      </c>
      <c r="E1287">
        <v>2757.2665999999999</v>
      </c>
      <c r="F1287">
        <v>2954.8452200000002</v>
      </c>
      <c r="G1287">
        <f>_xlfn.MAXIFS(Crypto[Close],Crypto[Name],Crypto[[#This Row],[Name]],Crypto[Date],"&lt;="&amp;Crypto[[#This Row],[Date]])</f>
        <v>3688.6113300000002</v>
      </c>
      <c r="H1287" s="3">
        <f>(Crypto[[#This Row],[Close]]/Crypto[[#This Row],[Peak Close]])-1</f>
        <v>-0.19892746737293132</v>
      </c>
      <c r="I1287">
        <v>2770.7775900000001</v>
      </c>
      <c r="J1287" s="1">
        <v>45847</v>
      </c>
      <c r="K1287" s="3">
        <v>6.6431759324284106E-2</v>
      </c>
      <c r="L1287">
        <v>33929201261</v>
      </c>
      <c r="M1287" s="2" t="s">
        <v>18</v>
      </c>
    </row>
    <row r="1288" spans="1:13" x14ac:dyDescent="0.3">
      <c r="A1288" s="1">
        <v>45849</v>
      </c>
      <c r="B1288" s="2" t="s">
        <v>17</v>
      </c>
      <c r="C1288">
        <v>2954.8327599999998</v>
      </c>
      <c r="D1288">
        <v>3038.14111</v>
      </c>
      <c r="E1288">
        <v>2916.9565400000001</v>
      </c>
      <c r="F1288">
        <v>2957.8862300000001</v>
      </c>
      <c r="G1288">
        <f>_xlfn.MAXIFS(Crypto[Close],Crypto[Name],Crypto[[#This Row],[Name]],Crypto[Date],"&lt;="&amp;Crypto[[#This Row],[Date]])</f>
        <v>3688.6113300000002</v>
      </c>
      <c r="H1288" s="3">
        <f>(Crypto[[#This Row],[Close]]/Crypto[[#This Row],[Peak Close]])-1</f>
        <v>-0.19810303516038918</v>
      </c>
      <c r="I1288">
        <v>2954.8452200000002</v>
      </c>
      <c r="J1288" s="1">
        <v>45848</v>
      </c>
      <c r="K1288" s="3">
        <v>1.0291605054020101E-3</v>
      </c>
      <c r="L1288">
        <v>36226558863</v>
      </c>
      <c r="M1288" s="2" t="s">
        <v>18</v>
      </c>
    </row>
    <row r="1289" spans="1:13" x14ac:dyDescent="0.3">
      <c r="A1289" s="1">
        <v>45850</v>
      </c>
      <c r="B1289" s="2" t="s">
        <v>17</v>
      </c>
      <c r="C1289">
        <v>2958.33374</v>
      </c>
      <c r="D1289">
        <v>2979.7800299999999</v>
      </c>
      <c r="E1289">
        <v>2907.1936000000001</v>
      </c>
      <c r="F1289">
        <v>2942.9116199999999</v>
      </c>
      <c r="G1289">
        <f>_xlfn.MAXIFS(Crypto[Close],Crypto[Name],Crypto[[#This Row],[Name]],Crypto[Date],"&lt;="&amp;Crypto[[#This Row],[Date]])</f>
        <v>3688.6113300000002</v>
      </c>
      <c r="H1289" s="3">
        <f>(Crypto[[#This Row],[Close]]/Crypto[[#This Row],[Peak Close]])-1</f>
        <v>-0.20216272284778791</v>
      </c>
      <c r="I1289">
        <v>2957.8862300000001</v>
      </c>
      <c r="J1289" s="1">
        <v>45849</v>
      </c>
      <c r="K1289" s="3">
        <v>-5.06260512933934E-3</v>
      </c>
      <c r="L1289">
        <v>16317198254</v>
      </c>
      <c r="M1289" s="2" t="s">
        <v>18</v>
      </c>
    </row>
    <row r="1290" spans="1:13" x14ac:dyDescent="0.3">
      <c r="A1290" s="1">
        <v>45851</v>
      </c>
      <c r="B1290" s="2" t="s">
        <v>17</v>
      </c>
      <c r="C1290">
        <v>2942.8535200000001</v>
      </c>
      <c r="D1290">
        <v>3016.39356</v>
      </c>
      <c r="E1290">
        <v>2938.73657</v>
      </c>
      <c r="F1290">
        <v>2973.35889</v>
      </c>
      <c r="G1290">
        <f>_xlfn.MAXIFS(Crypto[Close],Crypto[Name],Crypto[[#This Row],[Name]],Crypto[Date],"&lt;="&amp;Crypto[[#This Row],[Date]])</f>
        <v>3688.6113300000002</v>
      </c>
      <c r="H1290" s="3">
        <f>(Crypto[[#This Row],[Close]]/Crypto[[#This Row],[Peak Close]])-1</f>
        <v>-0.19390832375933742</v>
      </c>
      <c r="I1290">
        <v>2942.9116199999999</v>
      </c>
      <c r="J1290" s="1">
        <v>45850</v>
      </c>
      <c r="K1290" s="3">
        <v>1.03459681877909E-2</v>
      </c>
      <c r="L1290">
        <v>17361753131</v>
      </c>
      <c r="M1290" s="2" t="s">
        <v>18</v>
      </c>
    </row>
    <row r="1291" spans="1:13" x14ac:dyDescent="0.3">
      <c r="A1291" s="1">
        <v>45852</v>
      </c>
      <c r="B1291" s="2" t="s">
        <v>17</v>
      </c>
      <c r="C1291">
        <v>2973.2251000000001</v>
      </c>
      <c r="D1291">
        <v>3079.9856</v>
      </c>
      <c r="E1291">
        <v>2965.3237300000001</v>
      </c>
      <c r="F1291">
        <v>3013.3508299999999</v>
      </c>
      <c r="G1291">
        <f>_xlfn.MAXIFS(Crypto[Close],Crypto[Name],Crypto[[#This Row],[Name]],Crypto[Date],"&lt;="&amp;Crypto[[#This Row],[Date]])</f>
        <v>3688.6113300000002</v>
      </c>
      <c r="H1291" s="3">
        <f>(Crypto[[#This Row],[Close]]/Crypto[[#This Row],[Peak Close]])-1</f>
        <v>-0.18306631943246787</v>
      </c>
      <c r="I1291">
        <v>2973.35889</v>
      </c>
      <c r="J1291" s="1">
        <v>45851</v>
      </c>
      <c r="K1291" s="3">
        <v>1.3450088428443901E-2</v>
      </c>
      <c r="L1291">
        <v>36349290556</v>
      </c>
      <c r="M1291" s="2" t="s">
        <v>18</v>
      </c>
    </row>
    <row r="1292" spans="1:13" x14ac:dyDescent="0.3">
      <c r="A1292" s="1">
        <v>45853</v>
      </c>
      <c r="B1292" s="2" t="s">
        <v>17</v>
      </c>
      <c r="C1292">
        <v>3013.2934599999999</v>
      </c>
      <c r="D1292">
        <v>3142.4272500000002</v>
      </c>
      <c r="E1292">
        <v>2934.3713400000001</v>
      </c>
      <c r="F1292">
        <v>3139.8896500000001</v>
      </c>
      <c r="G1292">
        <f>_xlfn.MAXIFS(Crypto[Close],Crypto[Name],Crypto[[#This Row],[Name]],Crypto[Date],"&lt;="&amp;Crypto[[#This Row],[Date]])</f>
        <v>3688.6113300000002</v>
      </c>
      <c r="H1292" s="3">
        <f>(Crypto[[#This Row],[Close]]/Crypto[[#This Row],[Peak Close]])-1</f>
        <v>-0.14876104607096141</v>
      </c>
      <c r="I1292">
        <v>3013.3508299999999</v>
      </c>
      <c r="J1292" s="1">
        <v>45852</v>
      </c>
      <c r="K1292" s="3">
        <v>4.1992727411696802E-2</v>
      </c>
      <c r="L1292">
        <v>39013656112</v>
      </c>
      <c r="M1292" s="2" t="s">
        <v>18</v>
      </c>
    </row>
    <row r="1293" spans="1:13" x14ac:dyDescent="0.3">
      <c r="A1293" s="1">
        <v>45854</v>
      </c>
      <c r="B1293" s="2" t="s">
        <v>17</v>
      </c>
      <c r="C1293">
        <v>3139.8896500000001</v>
      </c>
      <c r="D1293">
        <v>3422.6030300000002</v>
      </c>
      <c r="E1293">
        <v>3102.4777800000002</v>
      </c>
      <c r="F1293">
        <v>3371.50684</v>
      </c>
      <c r="G1293">
        <f>_xlfn.MAXIFS(Crypto[Close],Crypto[Name],Crypto[[#This Row],[Name]],Crypto[Date],"&lt;="&amp;Crypto[[#This Row],[Date]])</f>
        <v>3688.6113300000002</v>
      </c>
      <c r="H1293" s="3">
        <f>(Crypto[[#This Row],[Close]]/Crypto[[#This Row],[Peak Close]])-1</f>
        <v>-8.5968528974832426E-2</v>
      </c>
      <c r="I1293">
        <v>3139.8896500000001</v>
      </c>
      <c r="J1293" s="1">
        <v>45853</v>
      </c>
      <c r="K1293" s="3">
        <v>7.3766028688301205E-2</v>
      </c>
      <c r="L1293">
        <v>46771354461</v>
      </c>
      <c r="M1293" s="2" t="s">
        <v>18</v>
      </c>
    </row>
    <row r="1294" spans="1:13" x14ac:dyDescent="0.3">
      <c r="A1294" s="1">
        <v>45855</v>
      </c>
      <c r="B1294" s="2" t="s">
        <v>17</v>
      </c>
      <c r="C1294">
        <v>3371.50684</v>
      </c>
      <c r="D1294">
        <v>3521.6853000000001</v>
      </c>
      <c r="E1294">
        <v>3315.9990200000002</v>
      </c>
      <c r="F1294">
        <v>3476.78442</v>
      </c>
      <c r="G1294">
        <f>_xlfn.MAXIFS(Crypto[Close],Crypto[Name],Crypto[[#This Row],[Name]],Crypto[Date],"&lt;="&amp;Crypto[[#This Row],[Date]])</f>
        <v>3688.6113300000002</v>
      </c>
      <c r="H1294" s="3">
        <f>(Crypto[[#This Row],[Close]]/Crypto[[#This Row],[Peak Close]])-1</f>
        <v>-5.7427278465795983E-2</v>
      </c>
      <c r="I1294">
        <v>3371.50684</v>
      </c>
      <c r="J1294" s="1">
        <v>45854</v>
      </c>
      <c r="K1294" s="3">
        <v>3.1225675935451998E-2</v>
      </c>
      <c r="L1294">
        <v>47532846793</v>
      </c>
      <c r="M1294" s="2" t="s">
        <v>18</v>
      </c>
    </row>
    <row r="1295" spans="1:13" x14ac:dyDescent="0.3">
      <c r="A1295" s="1">
        <v>45856</v>
      </c>
      <c r="B1295" s="2" t="s">
        <v>17</v>
      </c>
      <c r="C1295">
        <v>3476.1240200000002</v>
      </c>
      <c r="D1295">
        <v>3674.8552300000001</v>
      </c>
      <c r="E1295">
        <v>3463.3862300000001</v>
      </c>
      <c r="F1295">
        <v>3549.0163600000001</v>
      </c>
      <c r="G1295">
        <f>_xlfn.MAXIFS(Crypto[Close],Crypto[Name],Crypto[[#This Row],[Name]],Crypto[Date],"&lt;="&amp;Crypto[[#This Row],[Date]])</f>
        <v>3688.6113300000002</v>
      </c>
      <c r="H1295" s="3">
        <f>(Crypto[[#This Row],[Close]]/Crypto[[#This Row],[Peak Close]])-1</f>
        <v>-3.7844857457508319E-2</v>
      </c>
      <c r="I1295">
        <v>3476.78442</v>
      </c>
      <c r="J1295" s="1">
        <v>45855</v>
      </c>
      <c r="K1295" s="3">
        <v>2.07755015193033E-2</v>
      </c>
      <c r="L1295">
        <v>59198465810</v>
      </c>
      <c r="M1295" s="2" t="s">
        <v>18</v>
      </c>
    </row>
    <row r="1296" spans="1:13" x14ac:dyDescent="0.3">
      <c r="A1296" s="1">
        <v>45857</v>
      </c>
      <c r="B1296" s="2" t="s">
        <v>17</v>
      </c>
      <c r="C1296">
        <v>3548.9260300000001</v>
      </c>
      <c r="D1296">
        <v>3608.2756399999998</v>
      </c>
      <c r="E1296">
        <v>3512.9731499999998</v>
      </c>
      <c r="F1296">
        <v>3595.2736799999998</v>
      </c>
      <c r="G1296">
        <f>_xlfn.MAXIFS(Crypto[Close],Crypto[Name],Crypto[[#This Row],[Name]],Crypto[Date],"&lt;="&amp;Crypto[[#This Row],[Date]])</f>
        <v>3688.6113300000002</v>
      </c>
      <c r="H1296" s="3">
        <f>(Crypto[[#This Row],[Close]]/Crypto[[#This Row],[Peak Close]])-1</f>
        <v>-2.5304278941202574E-2</v>
      </c>
      <c r="I1296">
        <v>3549.0163600000001</v>
      </c>
      <c r="J1296" s="1">
        <v>45856</v>
      </c>
      <c r="K1296" s="3">
        <v>1.30338424250036E-2</v>
      </c>
      <c r="L1296">
        <v>26031719746</v>
      </c>
      <c r="M1296" s="2" t="s">
        <v>18</v>
      </c>
    </row>
    <row r="1297" spans="1:13" x14ac:dyDescent="0.3">
      <c r="A1297" s="1">
        <v>45858</v>
      </c>
      <c r="B1297" s="2" t="s">
        <v>17</v>
      </c>
      <c r="C1297">
        <v>3595.2404799999999</v>
      </c>
      <c r="D1297">
        <v>3819.3986799999998</v>
      </c>
      <c r="E1297">
        <v>3582.3496100000002</v>
      </c>
      <c r="F1297">
        <v>3759.4714399999998</v>
      </c>
      <c r="G1297">
        <f>_xlfn.MAXIFS(Crypto[Close],Crypto[Name],Crypto[[#This Row],[Name]],Crypto[Date],"&lt;="&amp;Crypto[[#This Row],[Date]])</f>
        <v>3759.4714399999998</v>
      </c>
      <c r="H1297" s="3">
        <f>(Crypto[[#This Row],[Close]]/Crypto[[#This Row],[Peak Close]])-1</f>
        <v>0</v>
      </c>
      <c r="I1297">
        <v>3595.2736799999998</v>
      </c>
      <c r="J1297" s="1">
        <v>45857</v>
      </c>
      <c r="K1297" s="3">
        <v>4.5670448097848301E-2</v>
      </c>
      <c r="L1297">
        <v>44600451066</v>
      </c>
      <c r="M1297" s="2" t="s">
        <v>18</v>
      </c>
    </row>
    <row r="1298" spans="1:13" x14ac:dyDescent="0.3">
      <c r="A1298" s="1">
        <v>45859</v>
      </c>
      <c r="B1298" s="2" t="s">
        <v>17</v>
      </c>
      <c r="C1298">
        <v>3758.92065</v>
      </c>
      <c r="D1298">
        <v>3856.7670899999998</v>
      </c>
      <c r="E1298">
        <v>3705.35376</v>
      </c>
      <c r="F1298">
        <v>3763.3713400000001</v>
      </c>
      <c r="G1298">
        <f>_xlfn.MAXIFS(Crypto[Close],Crypto[Name],Crypto[[#This Row],[Name]],Crypto[Date],"&lt;="&amp;Crypto[[#This Row],[Date]])</f>
        <v>3763.3713400000001</v>
      </c>
      <c r="H1298" s="3">
        <f>(Crypto[[#This Row],[Close]]/Crypto[[#This Row],[Peak Close]])-1</f>
        <v>0</v>
      </c>
      <c r="I1298">
        <v>3759.4714399999998</v>
      </c>
      <c r="J1298" s="1">
        <v>45858</v>
      </c>
      <c r="K1298" s="3">
        <v>1.0373532721930599E-3</v>
      </c>
      <c r="L1298">
        <v>42611467663</v>
      </c>
      <c r="M1298" s="2" t="s">
        <v>18</v>
      </c>
    </row>
    <row r="1299" spans="1:13" x14ac:dyDescent="0.3">
      <c r="A1299" s="1">
        <v>45860</v>
      </c>
      <c r="B1299" s="2" t="s">
        <v>17</v>
      </c>
      <c r="C1299">
        <v>3762.8820799999999</v>
      </c>
      <c r="D1299">
        <v>3798.10034</v>
      </c>
      <c r="E1299">
        <v>3624.1403799999998</v>
      </c>
      <c r="F1299">
        <v>3749.1455099999998</v>
      </c>
      <c r="G1299">
        <f>_xlfn.MAXIFS(Crypto[Close],Crypto[Name],Crypto[[#This Row],[Name]],Crypto[Date],"&lt;="&amp;Crypto[[#This Row],[Date]])</f>
        <v>3763.3713400000001</v>
      </c>
      <c r="H1299" s="3">
        <f>(Crypto[[#This Row],[Close]]/Crypto[[#This Row],[Peak Close]])-1</f>
        <v>-3.7800760846523618E-3</v>
      </c>
      <c r="I1299">
        <v>3763.3713400000001</v>
      </c>
      <c r="J1299" s="1">
        <v>45859</v>
      </c>
      <c r="K1299" s="3">
        <v>-3.7800760846524199E-3</v>
      </c>
      <c r="L1299">
        <v>45248868820</v>
      </c>
      <c r="M1299" s="2" t="s">
        <v>18</v>
      </c>
    </row>
    <row r="1300" spans="1:13" x14ac:dyDescent="0.3">
      <c r="A1300" s="1">
        <v>45861</v>
      </c>
      <c r="B1300" s="2" t="s">
        <v>17</v>
      </c>
      <c r="C1300">
        <v>3749.2385300000001</v>
      </c>
      <c r="D1300">
        <v>3765.02637</v>
      </c>
      <c r="E1300">
        <v>3532.8564500000002</v>
      </c>
      <c r="F1300">
        <v>3629.70361</v>
      </c>
      <c r="G1300">
        <f>_xlfn.MAXIFS(Crypto[Close],Crypto[Name],Crypto[[#This Row],[Name]],Crypto[Date],"&lt;="&amp;Crypto[[#This Row],[Date]])</f>
        <v>3763.3713400000001</v>
      </c>
      <c r="H1300" s="3">
        <f>(Crypto[[#This Row],[Close]]/Crypto[[#This Row],[Peak Close]])-1</f>
        <v>-3.5518081508268073E-2</v>
      </c>
      <c r="I1300">
        <v>3749.1455099999998</v>
      </c>
      <c r="J1300" s="1">
        <v>45860</v>
      </c>
      <c r="K1300" s="3">
        <v>-3.1858432723247301E-2</v>
      </c>
      <c r="L1300">
        <v>41283228953</v>
      </c>
      <c r="M1300" s="2" t="s">
        <v>18</v>
      </c>
    </row>
    <row r="1301" spans="1:13" x14ac:dyDescent="0.3">
      <c r="A1301" s="1">
        <v>45862</v>
      </c>
      <c r="B1301" s="2" t="s">
        <v>17</v>
      </c>
      <c r="C1301">
        <v>3629.7316900000001</v>
      </c>
      <c r="D1301">
        <v>3771.38159</v>
      </c>
      <c r="E1301">
        <v>3514.9992699999998</v>
      </c>
      <c r="F1301">
        <v>3708.0056199999999</v>
      </c>
      <c r="G1301">
        <f>_xlfn.MAXIFS(Crypto[Close],Crypto[Name],Crypto[[#This Row],[Name]],Crypto[Date],"&lt;="&amp;Crypto[[#This Row],[Date]])</f>
        <v>3763.3713400000001</v>
      </c>
      <c r="H1301" s="3">
        <f>(Crypto[[#This Row],[Close]]/Crypto[[#This Row],[Peak Close]])-1</f>
        <v>-1.4711734505583052E-2</v>
      </c>
      <c r="I1301">
        <v>3629.70361</v>
      </c>
      <c r="J1301" s="1">
        <v>45861</v>
      </c>
      <c r="K1301" s="3">
        <v>2.15725630556374E-2</v>
      </c>
      <c r="L1301">
        <v>40377960354</v>
      </c>
      <c r="M1301" s="2" t="s">
        <v>18</v>
      </c>
    </row>
    <row r="1302" spans="1:13" x14ac:dyDescent="0.3">
      <c r="A1302" s="1">
        <v>45863</v>
      </c>
      <c r="B1302" s="2" t="s">
        <v>17</v>
      </c>
      <c r="C1302">
        <v>3708.0056199999999</v>
      </c>
      <c r="D1302">
        <v>3744.8200700000002</v>
      </c>
      <c r="E1302">
        <v>3579.9628899999998</v>
      </c>
      <c r="F1302">
        <v>3727.26685</v>
      </c>
      <c r="G1302">
        <f>_xlfn.MAXIFS(Crypto[Close],Crypto[Name],Crypto[[#This Row],[Name]],Crypto[Date],"&lt;="&amp;Crypto[[#This Row],[Date]])</f>
        <v>3763.3713400000001</v>
      </c>
      <c r="H1302" s="3">
        <f>(Crypto[[#This Row],[Close]]/Crypto[[#This Row],[Peak Close]])-1</f>
        <v>-9.5936559903759822E-3</v>
      </c>
      <c r="I1302">
        <v>3708.0056199999999</v>
      </c>
      <c r="J1302" s="1">
        <v>45862</v>
      </c>
      <c r="K1302" s="3">
        <v>5.1944985994924302E-3</v>
      </c>
      <c r="L1302">
        <v>42264509577</v>
      </c>
      <c r="M1302" s="2" t="s">
        <v>18</v>
      </c>
    </row>
    <row r="1303" spans="1:13" x14ac:dyDescent="0.3">
      <c r="A1303" s="1">
        <v>45864</v>
      </c>
      <c r="B1303" s="2" t="s">
        <v>17</v>
      </c>
      <c r="C1303">
        <v>3727.23731</v>
      </c>
      <c r="D1303">
        <v>3789.7898</v>
      </c>
      <c r="E1303">
        <v>3702.7741700000001</v>
      </c>
      <c r="F1303">
        <v>3741.3960000000002</v>
      </c>
      <c r="G1303">
        <f>_xlfn.MAXIFS(Crypto[Close],Crypto[Name],Crypto[[#This Row],[Name]],Crypto[Date],"&lt;="&amp;Crypto[[#This Row],[Date]])</f>
        <v>3763.3713400000001</v>
      </c>
      <c r="H1303" s="3">
        <f>(Crypto[[#This Row],[Close]]/Crypto[[#This Row],[Peak Close]])-1</f>
        <v>-5.839269637420319E-3</v>
      </c>
      <c r="I1303">
        <v>3727.26685</v>
      </c>
      <c r="J1303" s="1">
        <v>45863</v>
      </c>
      <c r="K1303" s="3">
        <v>3.7907535383467899E-3</v>
      </c>
      <c r="L1303">
        <v>24635287361</v>
      </c>
      <c r="M1303" s="2" t="s">
        <v>18</v>
      </c>
    </row>
    <row r="1304" spans="1:13" x14ac:dyDescent="0.3">
      <c r="A1304" s="1">
        <v>45865</v>
      </c>
      <c r="B1304" s="2" t="s">
        <v>17</v>
      </c>
      <c r="C1304">
        <v>3741.2573200000002</v>
      </c>
      <c r="D1304">
        <v>3876.9335900000001</v>
      </c>
      <c r="E1304">
        <v>3733.6816399999998</v>
      </c>
      <c r="F1304">
        <v>3875.24658</v>
      </c>
      <c r="G1304">
        <f>_xlfn.MAXIFS(Crypto[Close],Crypto[Name],Crypto[[#This Row],[Name]],Crypto[Date],"&lt;="&amp;Crypto[[#This Row],[Date]])</f>
        <v>3875.24658</v>
      </c>
      <c r="H1304" s="3">
        <f>(Crypto[[#This Row],[Close]]/Crypto[[#This Row],[Peak Close]])-1</f>
        <v>0</v>
      </c>
      <c r="I1304">
        <v>3741.3960000000002</v>
      </c>
      <c r="J1304" s="1">
        <v>45864</v>
      </c>
      <c r="K1304" s="3">
        <v>3.5775571471183397E-2</v>
      </c>
      <c r="L1304">
        <v>28897450394</v>
      </c>
      <c r="M1304" s="2" t="s">
        <v>18</v>
      </c>
    </row>
    <row r="1305" spans="1:13" x14ac:dyDescent="0.3">
      <c r="A1305" s="1">
        <v>45866</v>
      </c>
      <c r="B1305" s="2" t="s">
        <v>17</v>
      </c>
      <c r="C1305">
        <v>3875.2558600000002</v>
      </c>
      <c r="D1305">
        <v>3940.6520999999998</v>
      </c>
      <c r="E1305">
        <v>3756.5158700000002</v>
      </c>
      <c r="F1305">
        <v>3787.42578</v>
      </c>
      <c r="G1305">
        <f>_xlfn.MAXIFS(Crypto[Close],Crypto[Name],Crypto[[#This Row],[Name]],Crypto[Date],"&lt;="&amp;Crypto[[#This Row],[Date]])</f>
        <v>3875.24658</v>
      </c>
      <c r="H1305" s="3">
        <f>(Crypto[[#This Row],[Close]]/Crypto[[#This Row],[Peak Close]])-1</f>
        <v>-2.2661990195214865E-2</v>
      </c>
      <c r="I1305">
        <v>3875.24658</v>
      </c>
      <c r="J1305" s="1">
        <v>45865</v>
      </c>
      <c r="K1305" s="3">
        <v>-2.26619901952149E-2</v>
      </c>
      <c r="L1305">
        <v>35831336149</v>
      </c>
      <c r="M1305" s="2" t="s">
        <v>18</v>
      </c>
    </row>
    <row r="1306" spans="1:13" x14ac:dyDescent="0.3">
      <c r="A1306" s="1">
        <v>45867</v>
      </c>
      <c r="B1306" s="2" t="s">
        <v>17</v>
      </c>
      <c r="C1306">
        <v>3788.3195799999999</v>
      </c>
      <c r="D1306">
        <v>3883.9978000000001</v>
      </c>
      <c r="E1306">
        <v>3716.8833</v>
      </c>
      <c r="F1306">
        <v>3793.4548300000001</v>
      </c>
      <c r="G1306">
        <f>_xlfn.MAXIFS(Crypto[Close],Crypto[Name],Crypto[[#This Row],[Name]],Crypto[Date],"&lt;="&amp;Crypto[[#This Row],[Date]])</f>
        <v>3875.24658</v>
      </c>
      <c r="H1306" s="3">
        <f>(Crypto[[#This Row],[Close]]/Crypto[[#This Row],[Peak Close]])-1</f>
        <v>-2.1106205324358918E-2</v>
      </c>
      <c r="I1306">
        <v>3787.42578</v>
      </c>
      <c r="J1306" s="1">
        <v>45866</v>
      </c>
      <c r="K1306" s="3">
        <v>1.59185957698162E-3</v>
      </c>
      <c r="L1306">
        <v>35540435995</v>
      </c>
      <c r="M1306" s="2" t="s">
        <v>18</v>
      </c>
    </row>
    <row r="1307" spans="1:13" x14ac:dyDescent="0.3">
      <c r="A1307" s="1">
        <v>45868</v>
      </c>
      <c r="B1307" s="2" t="s">
        <v>17</v>
      </c>
      <c r="C1307">
        <v>3793.5825199999999</v>
      </c>
      <c r="D1307">
        <v>3832.8840300000002</v>
      </c>
      <c r="E1307">
        <v>3683.14453</v>
      </c>
      <c r="F1307">
        <v>3808.2016600000002</v>
      </c>
      <c r="G1307">
        <f>_xlfn.MAXIFS(Crypto[Close],Crypto[Name],Crypto[[#This Row],[Name]],Crypto[Date],"&lt;="&amp;Crypto[[#This Row],[Date]])</f>
        <v>3875.24658</v>
      </c>
      <c r="H1307" s="3">
        <f>(Crypto[[#This Row],[Close]]/Crypto[[#This Row],[Peak Close]])-1</f>
        <v>-1.730081392652949E-2</v>
      </c>
      <c r="I1307">
        <v>3793.4548300000001</v>
      </c>
      <c r="J1307" s="1">
        <v>45867</v>
      </c>
      <c r="K1307" s="3">
        <v>3.8874405155366102E-3</v>
      </c>
      <c r="L1307">
        <v>34392494235</v>
      </c>
      <c r="M1307" s="2" t="s">
        <v>18</v>
      </c>
    </row>
    <row r="1308" spans="1:13" x14ac:dyDescent="0.3">
      <c r="A1308" s="1">
        <v>45869</v>
      </c>
      <c r="B1308" s="2" t="s">
        <v>17</v>
      </c>
      <c r="C1308">
        <v>3808.2460900000001</v>
      </c>
      <c r="D1308">
        <v>3877.4702200000002</v>
      </c>
      <c r="E1308">
        <v>3685.0041500000002</v>
      </c>
      <c r="F1308">
        <v>3696.7077599999998</v>
      </c>
      <c r="G1308">
        <f>_xlfn.MAXIFS(Crypto[Close],Crypto[Name],Crypto[[#This Row],[Name]],Crypto[Date],"&lt;="&amp;Crypto[[#This Row],[Date]])</f>
        <v>3875.24658</v>
      </c>
      <c r="H1308" s="3">
        <f>(Crypto[[#This Row],[Close]]/Crypto[[#This Row],[Peak Close]])-1</f>
        <v>-4.6071602494001884E-2</v>
      </c>
      <c r="I1308">
        <v>3808.2016600000002</v>
      </c>
      <c r="J1308" s="1">
        <v>45868</v>
      </c>
      <c r="K1308" s="3">
        <v>-2.9277309857587801E-2</v>
      </c>
      <c r="L1308">
        <v>32839839444</v>
      </c>
      <c r="M1308" s="2" t="s">
        <v>18</v>
      </c>
    </row>
    <row r="1309" spans="1:13" x14ac:dyDescent="0.3">
      <c r="A1309" s="1">
        <v>45870</v>
      </c>
      <c r="B1309" s="2" t="s">
        <v>17</v>
      </c>
      <c r="C1309">
        <v>3696.1442900000002</v>
      </c>
      <c r="D1309">
        <v>3722.5856899999999</v>
      </c>
      <c r="E1309">
        <v>3432.37988</v>
      </c>
      <c r="F1309">
        <v>3488.3659699999998</v>
      </c>
      <c r="G1309">
        <f>_xlfn.MAXIFS(Crypto[Close],Crypto[Name],Crypto[[#This Row],[Name]],Crypto[Date],"&lt;="&amp;Crypto[[#This Row],[Date]])</f>
        <v>3875.24658</v>
      </c>
      <c r="H1309" s="3">
        <f>(Crypto[[#This Row],[Close]]/Crypto[[#This Row],[Peak Close]])-1</f>
        <v>-9.9833804640116597E-2</v>
      </c>
      <c r="I1309">
        <v>3696.7077599999998</v>
      </c>
      <c r="J1309" s="1">
        <v>45869</v>
      </c>
      <c r="K1309" s="3">
        <v>-5.6358739593740603E-2</v>
      </c>
      <c r="L1309">
        <v>46261558200</v>
      </c>
      <c r="M1309" s="2" t="s">
        <v>18</v>
      </c>
    </row>
    <row r="1310" spans="1:13" x14ac:dyDescent="0.3">
      <c r="A1310" s="1">
        <v>45871</v>
      </c>
      <c r="B1310" s="2" t="s">
        <v>17</v>
      </c>
      <c r="C1310">
        <v>3487.9567900000002</v>
      </c>
      <c r="D1310">
        <v>3535.5588400000001</v>
      </c>
      <c r="E1310">
        <v>3370.9431199999999</v>
      </c>
      <c r="F1310">
        <v>3392.7412100000001</v>
      </c>
      <c r="G1310">
        <f>_xlfn.MAXIFS(Crypto[Close],Crypto[Name],Crypto[[#This Row],[Name]],Crypto[Date],"&lt;="&amp;Crypto[[#This Row],[Date]])</f>
        <v>3875.24658</v>
      </c>
      <c r="H1310" s="3">
        <f>(Crypto[[#This Row],[Close]]/Crypto[[#This Row],[Peak Close]])-1</f>
        <v>-0.12450959185157184</v>
      </c>
      <c r="I1310">
        <v>3488.3659699999998</v>
      </c>
      <c r="J1310" s="1">
        <v>45870</v>
      </c>
      <c r="K1310" s="3">
        <v>-2.7412479316211099E-2</v>
      </c>
      <c r="L1310">
        <v>30165065282</v>
      </c>
      <c r="M1310" s="2" t="s">
        <v>18</v>
      </c>
    </row>
    <row r="1311" spans="1:13" x14ac:dyDescent="0.3">
      <c r="A1311" s="1">
        <v>45872</v>
      </c>
      <c r="B1311" s="2" t="s">
        <v>17</v>
      </c>
      <c r="C1311">
        <v>3392.7443899999998</v>
      </c>
      <c r="D1311">
        <v>3520.8312999999998</v>
      </c>
      <c r="E1311">
        <v>3357.9389700000002</v>
      </c>
      <c r="F1311">
        <v>3497.3791500000002</v>
      </c>
      <c r="G1311">
        <f>_xlfn.MAXIFS(Crypto[Close],Crypto[Name],Crypto[[#This Row],[Name]],Crypto[Date],"&lt;="&amp;Crypto[[#This Row],[Date]])</f>
        <v>3875.24658</v>
      </c>
      <c r="H1311" s="3">
        <f>(Crypto[[#This Row],[Close]]/Crypto[[#This Row],[Peak Close]])-1</f>
        <v>-9.7507970705698832E-2</v>
      </c>
      <c r="I1311">
        <v>3392.7412100000001</v>
      </c>
      <c r="J1311" s="1">
        <v>45871</v>
      </c>
      <c r="K1311" s="3">
        <v>3.0841709851486199E-2</v>
      </c>
      <c r="L1311">
        <v>19363593865</v>
      </c>
      <c r="M1311" s="2" t="s">
        <v>18</v>
      </c>
    </row>
    <row r="1312" spans="1:13" x14ac:dyDescent="0.3">
      <c r="A1312" s="1">
        <v>45873</v>
      </c>
      <c r="B1312" s="2" t="s">
        <v>17</v>
      </c>
      <c r="C1312">
        <v>3497.6130400000002</v>
      </c>
      <c r="D1312">
        <v>3734.9775399999999</v>
      </c>
      <c r="E1312">
        <v>3491.5549299999998</v>
      </c>
      <c r="F1312">
        <v>3718.9860800000001</v>
      </c>
      <c r="G1312">
        <f>_xlfn.MAXIFS(Crypto[Close],Crypto[Name],Crypto[[#This Row],[Name]],Crypto[Date],"&lt;="&amp;Crypto[[#This Row],[Date]])</f>
        <v>3875.24658</v>
      </c>
      <c r="H1312" s="3">
        <f>(Crypto[[#This Row],[Close]]/Crypto[[#This Row],[Peak Close]])-1</f>
        <v>-4.0322724444543545E-2</v>
      </c>
      <c r="I1312">
        <v>3497.3791500000002</v>
      </c>
      <c r="J1312" s="1">
        <v>45872</v>
      </c>
      <c r="K1312" s="3">
        <v>6.3363713368051605E-2</v>
      </c>
      <c r="L1312">
        <v>30905749658</v>
      </c>
      <c r="M1312" s="2" t="s">
        <v>18</v>
      </c>
    </row>
    <row r="1313" spans="1:13" x14ac:dyDescent="0.3">
      <c r="A1313" s="1">
        <v>45874</v>
      </c>
      <c r="B1313" s="2" t="s">
        <v>17</v>
      </c>
      <c r="C1313">
        <v>3719.8178699999999</v>
      </c>
      <c r="D1313">
        <v>3720.6564899999998</v>
      </c>
      <c r="E1313">
        <v>3547.6210900000001</v>
      </c>
      <c r="F1313">
        <v>3611.89941</v>
      </c>
      <c r="G1313">
        <f>_xlfn.MAXIFS(Crypto[Close],Crypto[Name],Crypto[[#This Row],[Name]],Crypto[Date],"&lt;="&amp;Crypto[[#This Row],[Date]])</f>
        <v>3875.24658</v>
      </c>
      <c r="H1313" s="3">
        <f>(Crypto[[#This Row],[Close]]/Crypto[[#This Row],[Peak Close]])-1</f>
        <v>-6.7956235703587109E-2</v>
      </c>
      <c r="I1313">
        <v>3718.9860800000001</v>
      </c>
      <c r="J1313" s="1">
        <v>45873</v>
      </c>
      <c r="K1313" s="3">
        <v>-2.8794587475304601E-2</v>
      </c>
      <c r="L1313">
        <v>32778742296</v>
      </c>
      <c r="M1313" s="2" t="s">
        <v>18</v>
      </c>
    </row>
    <row r="1314" spans="1:13" x14ac:dyDescent="0.3">
      <c r="A1314" s="1">
        <v>45875</v>
      </c>
      <c r="B1314" s="2" t="s">
        <v>17</v>
      </c>
      <c r="C1314">
        <v>3612.0388200000002</v>
      </c>
      <c r="D1314">
        <v>3698.1247600000002</v>
      </c>
      <c r="E1314">
        <v>3567.0959499999999</v>
      </c>
      <c r="F1314">
        <v>3683.92065</v>
      </c>
      <c r="G1314">
        <f>_xlfn.MAXIFS(Crypto[Close],Crypto[Name],Crypto[[#This Row],[Name]],Crypto[Date],"&lt;="&amp;Crypto[[#This Row],[Date]])</f>
        <v>3875.24658</v>
      </c>
      <c r="H1314" s="3">
        <f>(Crypto[[#This Row],[Close]]/Crypto[[#This Row],[Peak Close]])-1</f>
        <v>-4.9371291877896462E-2</v>
      </c>
      <c r="I1314">
        <v>3611.89941</v>
      </c>
      <c r="J1314" s="1">
        <v>45874</v>
      </c>
      <c r="K1314" s="3">
        <v>1.9939990521496798E-2</v>
      </c>
      <c r="L1314">
        <v>26924415763</v>
      </c>
      <c r="M1314" s="2" t="s">
        <v>18</v>
      </c>
    </row>
    <row r="1315" spans="1:13" x14ac:dyDescent="0.3">
      <c r="A1315" s="1">
        <v>45876</v>
      </c>
      <c r="B1315" s="2" t="s">
        <v>17</v>
      </c>
      <c r="C1315">
        <v>3684.0620100000001</v>
      </c>
      <c r="D1315">
        <v>3926.20435</v>
      </c>
      <c r="E1315">
        <v>3650.3659699999998</v>
      </c>
      <c r="F1315">
        <v>3914.32593</v>
      </c>
      <c r="G1315">
        <f>_xlfn.MAXIFS(Crypto[Close],Crypto[Name],Crypto[[#This Row],[Name]],Crypto[Date],"&lt;="&amp;Crypto[[#This Row],[Date]])</f>
        <v>3914.32593</v>
      </c>
      <c r="H1315" s="3">
        <f>(Crypto[[#This Row],[Close]]/Crypto[[#This Row],[Peak Close]])-1</f>
        <v>0</v>
      </c>
      <c r="I1315">
        <v>3683.92065</v>
      </c>
      <c r="J1315" s="1">
        <v>45875</v>
      </c>
      <c r="K1315" s="3">
        <v>6.2543496967015305E-2</v>
      </c>
      <c r="L1315">
        <v>38627826066</v>
      </c>
      <c r="M1315" s="2" t="s">
        <v>18</v>
      </c>
    </row>
    <row r="1316" spans="1:13" x14ac:dyDescent="0.3">
      <c r="A1316" s="1">
        <v>45877</v>
      </c>
      <c r="B1316" s="2" t="s">
        <v>17</v>
      </c>
      <c r="C1316">
        <v>3914.1106</v>
      </c>
      <c r="D1316">
        <v>4068.8476599999999</v>
      </c>
      <c r="E1316">
        <v>3882.4431199999999</v>
      </c>
      <c r="F1316">
        <v>4009.84888</v>
      </c>
      <c r="G1316">
        <f>_xlfn.MAXIFS(Crypto[Close],Crypto[Name],Crypto[[#This Row],[Name]],Crypto[Date],"&lt;="&amp;Crypto[[#This Row],[Date]])</f>
        <v>4009.84888</v>
      </c>
      <c r="H1316" s="3">
        <f>(Crypto[[#This Row],[Close]]/Crypto[[#This Row],[Peak Close]])-1</f>
        <v>0</v>
      </c>
      <c r="I1316">
        <v>3914.32593</v>
      </c>
      <c r="J1316" s="1">
        <v>45876</v>
      </c>
      <c r="K1316" s="3">
        <v>2.4403422634762601E-2</v>
      </c>
      <c r="L1316">
        <v>45460293892</v>
      </c>
      <c r="M1316" s="2" t="s">
        <v>18</v>
      </c>
    </row>
    <row r="1317" spans="1:13" x14ac:dyDescent="0.3">
      <c r="A1317" s="1">
        <v>45878</v>
      </c>
      <c r="B1317" s="2" t="s">
        <v>17</v>
      </c>
      <c r="C1317">
        <v>4009.1506399999998</v>
      </c>
      <c r="D1317">
        <v>4323.7612300000001</v>
      </c>
      <c r="E1317">
        <v>4007.7092299999999</v>
      </c>
      <c r="F1317">
        <v>4263.5991199999999</v>
      </c>
      <c r="G1317">
        <f>_xlfn.MAXIFS(Crypto[Close],Crypto[Name],Crypto[[#This Row],[Name]],Crypto[Date],"&lt;="&amp;Crypto[[#This Row],[Date]])</f>
        <v>4263.5991199999999</v>
      </c>
      <c r="H1317" s="3">
        <f>(Crypto[[#This Row],[Close]]/Crypto[[#This Row],[Peak Close]])-1</f>
        <v>0</v>
      </c>
      <c r="I1317">
        <v>4009.84888</v>
      </c>
      <c r="J1317" s="1">
        <v>45877</v>
      </c>
      <c r="K1317" s="3">
        <v>6.3281746418333798E-2</v>
      </c>
      <c r="L1317">
        <v>45279715746</v>
      </c>
      <c r="M1317" s="2" t="s">
        <v>18</v>
      </c>
    </row>
    <row r="1318" spans="1:13" x14ac:dyDescent="0.3">
      <c r="A1318" s="1">
        <v>45879</v>
      </c>
      <c r="B1318" s="2" t="s">
        <v>17</v>
      </c>
      <c r="C1318">
        <v>4263.5527300000003</v>
      </c>
      <c r="D1318">
        <v>4332.2104499999996</v>
      </c>
      <c r="E1318">
        <v>4163.9404299999997</v>
      </c>
      <c r="F1318">
        <v>4254.2177700000002</v>
      </c>
      <c r="G1318">
        <f>_xlfn.MAXIFS(Crypto[Close],Crypto[Name],Crypto[[#This Row],[Name]],Crypto[Date],"&lt;="&amp;Crypto[[#This Row],[Date]])</f>
        <v>4263.5991199999999</v>
      </c>
      <c r="H1318" s="3">
        <f>(Crypto[[#This Row],[Close]]/Crypto[[#This Row],[Peak Close]])-1</f>
        <v>-2.2003358514623983E-3</v>
      </c>
      <c r="I1318">
        <v>4263.5991199999999</v>
      </c>
      <c r="J1318" s="1">
        <v>45878</v>
      </c>
      <c r="K1318" s="3">
        <v>-2.20033585146243E-3</v>
      </c>
      <c r="L1318">
        <v>36173931367</v>
      </c>
      <c r="M1318" s="2" t="s">
        <v>18</v>
      </c>
    </row>
    <row r="1319" spans="1:13" x14ac:dyDescent="0.3">
      <c r="A1319" s="1">
        <v>45880</v>
      </c>
      <c r="B1319" s="2" t="s">
        <v>17</v>
      </c>
      <c r="C1319">
        <v>4254.2314500000002</v>
      </c>
      <c r="D1319">
        <v>4362.0927700000002</v>
      </c>
      <c r="E1319">
        <v>4168.875</v>
      </c>
      <c r="F1319">
        <v>4226.9668000000001</v>
      </c>
      <c r="G1319">
        <f>_xlfn.MAXIFS(Crypto[Close],Crypto[Name],Crypto[[#This Row],[Name]],Crypto[Date],"&lt;="&amp;Crypto[[#This Row],[Date]])</f>
        <v>4263.5991199999999</v>
      </c>
      <c r="H1319" s="3">
        <f>(Crypto[[#This Row],[Close]]/Crypto[[#This Row],[Peak Close]])-1</f>
        <v>-8.5918771838005004E-3</v>
      </c>
      <c r="I1319">
        <v>4254.2177700000002</v>
      </c>
      <c r="J1319" s="1">
        <v>45879</v>
      </c>
      <c r="K1319" s="3">
        <v>-6.4056358826219796E-3</v>
      </c>
      <c r="L1319">
        <v>49989853803</v>
      </c>
      <c r="M1319" s="2" t="s">
        <v>18</v>
      </c>
    </row>
    <row r="1320" spans="1:13" x14ac:dyDescent="0.3">
      <c r="A1320" s="1">
        <v>45881</v>
      </c>
      <c r="B1320" s="2" t="s">
        <v>17</v>
      </c>
      <c r="C1320">
        <v>4227.2070299999996</v>
      </c>
      <c r="D1320">
        <v>4634.0551800000003</v>
      </c>
      <c r="E1320">
        <v>4222.3623100000004</v>
      </c>
      <c r="F1320">
        <v>4590.9248100000004</v>
      </c>
      <c r="G1320">
        <f>_xlfn.MAXIFS(Crypto[Close],Crypto[Name],Crypto[[#This Row],[Name]],Crypto[Date],"&lt;="&amp;Crypto[[#This Row],[Date]])</f>
        <v>4590.9248100000004</v>
      </c>
      <c r="H1320" s="3">
        <f>(Crypto[[#This Row],[Close]]/Crypto[[#This Row],[Peak Close]])-1</f>
        <v>0</v>
      </c>
      <c r="I1320">
        <v>4226.9668000000001</v>
      </c>
      <c r="J1320" s="1">
        <v>45880</v>
      </c>
      <c r="K1320" s="3">
        <v>8.6103825088004099E-2</v>
      </c>
      <c r="L1320">
        <v>57237189036</v>
      </c>
      <c r="M1320" s="2" t="s">
        <v>18</v>
      </c>
    </row>
    <row r="1321" spans="1:13" x14ac:dyDescent="0.3">
      <c r="A1321" s="1">
        <v>45882</v>
      </c>
      <c r="B1321" s="2" t="s">
        <v>17</v>
      </c>
      <c r="C1321">
        <v>4590.6577200000002</v>
      </c>
      <c r="D1321">
        <v>4784.6689500000002</v>
      </c>
      <c r="E1321">
        <v>4566.2387699999999</v>
      </c>
      <c r="F1321">
        <v>4756.2758800000001</v>
      </c>
      <c r="G1321">
        <f>_xlfn.MAXIFS(Crypto[Close],Crypto[Name],Crypto[[#This Row],[Name]],Crypto[Date],"&lt;="&amp;Crypto[[#This Row],[Date]])</f>
        <v>4756.2758800000001</v>
      </c>
      <c r="H1321" s="3">
        <f>(Crypto[[#This Row],[Close]]/Crypto[[#This Row],[Peak Close]])-1</f>
        <v>0</v>
      </c>
      <c r="I1321">
        <v>4590.9248100000004</v>
      </c>
      <c r="J1321" s="1">
        <v>45881</v>
      </c>
      <c r="K1321" s="3">
        <v>3.6016941431894101E-2</v>
      </c>
      <c r="L1321">
        <v>62550014642</v>
      </c>
      <c r="M1321" s="2" t="s">
        <v>18</v>
      </c>
    </row>
    <row r="1322" spans="1:13" x14ac:dyDescent="0.3">
      <c r="A1322" s="1">
        <v>45883</v>
      </c>
      <c r="B1322" s="2" t="s">
        <v>17</v>
      </c>
      <c r="C1322">
        <v>4756.0434599999999</v>
      </c>
      <c r="D1322">
        <v>4788.5517600000003</v>
      </c>
      <c r="E1322">
        <v>4461.2817400000004</v>
      </c>
      <c r="F1322">
        <v>4548.1665000000003</v>
      </c>
      <c r="G1322">
        <f>_xlfn.MAXIFS(Crypto[Close],Crypto[Name],Crypto[[#This Row],[Name]],Crypto[Date],"&lt;="&amp;Crypto[[#This Row],[Date]])</f>
        <v>4756.2758800000001</v>
      </c>
      <c r="H1322" s="3">
        <f>(Crypto[[#This Row],[Close]]/Crypto[[#This Row],[Peak Close]])-1</f>
        <v>-4.3754690697209941E-2</v>
      </c>
      <c r="I1322">
        <v>4756.2758800000001</v>
      </c>
      <c r="J1322" s="1">
        <v>45882</v>
      </c>
      <c r="K1322" s="3">
        <v>-4.37546906972099E-2</v>
      </c>
      <c r="L1322">
        <v>75681632806</v>
      </c>
      <c r="M1322" s="2" t="s">
        <v>18</v>
      </c>
    </row>
    <row r="1323" spans="1:13" x14ac:dyDescent="0.3">
      <c r="A1323" s="1">
        <v>45884</v>
      </c>
      <c r="B1323" s="2" t="s">
        <v>17</v>
      </c>
      <c r="C1323">
        <v>4549.0756799999999</v>
      </c>
      <c r="D1323">
        <v>4667.7299800000001</v>
      </c>
      <c r="E1323">
        <v>4375.5454099999997</v>
      </c>
      <c r="F1323">
        <v>4439.9887699999999</v>
      </c>
      <c r="G1323">
        <f>_xlfn.MAXIFS(Crypto[Close],Crypto[Name],Crypto[[#This Row],[Name]],Crypto[Date],"&lt;="&amp;Crypto[[#This Row],[Date]])</f>
        <v>4756.2758800000001</v>
      </c>
      <c r="H1323" s="3">
        <f>(Crypto[[#This Row],[Close]]/Crypto[[#This Row],[Peak Close]])-1</f>
        <v>-6.649889913450524E-2</v>
      </c>
      <c r="I1323">
        <v>4548.1665000000003</v>
      </c>
      <c r="J1323" s="1">
        <v>45883</v>
      </c>
      <c r="K1323" s="3">
        <v>-2.3784909809260599E-2</v>
      </c>
      <c r="L1323">
        <v>55445715824</v>
      </c>
      <c r="M1323" s="2" t="s">
        <v>18</v>
      </c>
    </row>
    <row r="1324" spans="1:13" x14ac:dyDescent="0.3">
      <c r="A1324" s="1">
        <v>45885</v>
      </c>
      <c r="B1324" s="2" t="s">
        <v>17</v>
      </c>
      <c r="C1324">
        <v>4439.9980500000001</v>
      </c>
      <c r="D1324">
        <v>4493.14941</v>
      </c>
      <c r="E1324">
        <v>4379.1645500000004</v>
      </c>
      <c r="F1324">
        <v>4426.1801800000003</v>
      </c>
      <c r="G1324">
        <f>_xlfn.MAXIFS(Crypto[Close],Crypto[Name],Crypto[[#This Row],[Name]],Crypto[Date],"&lt;="&amp;Crypto[[#This Row],[Date]])</f>
        <v>4756.2758800000001</v>
      </c>
      <c r="H1324" s="3">
        <f>(Crypto[[#This Row],[Close]]/Crypto[[#This Row],[Peak Close]])-1</f>
        <v>-6.9402134848409958E-2</v>
      </c>
      <c r="I1324">
        <v>4439.9887699999999</v>
      </c>
      <c r="J1324" s="1">
        <v>45884</v>
      </c>
      <c r="K1324" s="3">
        <v>-3.1100506589794002E-3</v>
      </c>
      <c r="L1324">
        <v>26816931514</v>
      </c>
      <c r="M1324" s="2" t="s">
        <v>18</v>
      </c>
    </row>
    <row r="1325" spans="1:13" x14ac:dyDescent="0.3">
      <c r="A1325" s="1">
        <v>45886</v>
      </c>
      <c r="B1325" s="2" t="s">
        <v>17</v>
      </c>
      <c r="C1325">
        <v>4426.2597699999997</v>
      </c>
      <c r="D1325">
        <v>4575.8764700000002</v>
      </c>
      <c r="E1325">
        <v>4400.7133800000001</v>
      </c>
      <c r="F1325">
        <v>4473.2714800000003</v>
      </c>
      <c r="G1325">
        <f>_xlfn.MAXIFS(Crypto[Close],Crypto[Name],Crypto[[#This Row],[Name]],Crypto[Date],"&lt;="&amp;Crypto[[#This Row],[Date]])</f>
        <v>4756.2758800000001</v>
      </c>
      <c r="H1325" s="3">
        <f>(Crypto[[#This Row],[Close]]/Crypto[[#This Row],[Peak Close]])-1</f>
        <v>-5.950125836687159E-2</v>
      </c>
      <c r="I1325">
        <v>4426.1801800000003</v>
      </c>
      <c r="J1325" s="1">
        <v>45885</v>
      </c>
      <c r="K1325" s="3">
        <v>1.06392641250316E-2</v>
      </c>
      <c r="L1325">
        <v>31348101438</v>
      </c>
      <c r="M1325" s="2" t="s">
        <v>18</v>
      </c>
    </row>
    <row r="1326" spans="1:13" x14ac:dyDescent="0.3">
      <c r="A1326" s="1">
        <v>45887</v>
      </c>
      <c r="B1326" s="2" t="s">
        <v>17</v>
      </c>
      <c r="C1326">
        <v>4473.3305700000001</v>
      </c>
      <c r="D1326">
        <v>4484.0097699999997</v>
      </c>
      <c r="E1326">
        <v>4229.3798800000004</v>
      </c>
      <c r="F1326">
        <v>4312.5048800000004</v>
      </c>
      <c r="G1326">
        <f>_xlfn.MAXIFS(Crypto[Close],Crypto[Name],Crypto[[#This Row],[Name]],Crypto[Date],"&lt;="&amp;Crypto[[#This Row],[Date]])</f>
        <v>4756.2758800000001</v>
      </c>
      <c r="H1326" s="3">
        <f>(Crypto[[#This Row],[Close]]/Crypto[[#This Row],[Peak Close]])-1</f>
        <v>-9.3302199282855658E-2</v>
      </c>
      <c r="I1326">
        <v>4473.2714800000003</v>
      </c>
      <c r="J1326" s="1">
        <v>45886</v>
      </c>
      <c r="K1326" s="3">
        <v>-3.5939379203517502E-2</v>
      </c>
      <c r="L1326">
        <v>53518423360</v>
      </c>
      <c r="M1326" s="2" t="s">
        <v>18</v>
      </c>
    </row>
    <row r="1327" spans="1:13" x14ac:dyDescent="0.3">
      <c r="A1327" s="1">
        <v>45888</v>
      </c>
      <c r="B1327" s="2" t="s">
        <v>17</v>
      </c>
      <c r="C1327">
        <v>4312.5302700000002</v>
      </c>
      <c r="D1327">
        <v>4355.0752000000002</v>
      </c>
      <c r="E1327">
        <v>4070.5354000000002</v>
      </c>
      <c r="F1327">
        <v>4073.4641099999999</v>
      </c>
      <c r="G1327">
        <f>_xlfn.MAXIFS(Crypto[Close],Crypto[Name],Crypto[[#This Row],[Name]],Crypto[Date],"&lt;="&amp;Crypto[[#This Row],[Date]])</f>
        <v>4756.2758800000001</v>
      </c>
      <c r="H1327" s="3">
        <f>(Crypto[[#This Row],[Close]]/Crypto[[#This Row],[Peak Close]])-1</f>
        <v>-0.14356016918009395</v>
      </c>
      <c r="I1327">
        <v>4312.5048800000004</v>
      </c>
      <c r="J1327" s="1">
        <v>45887</v>
      </c>
      <c r="K1327" s="3">
        <v>-5.5429681044210297E-2</v>
      </c>
      <c r="L1327">
        <v>50440367102</v>
      </c>
      <c r="M1327" s="2" t="s">
        <v>18</v>
      </c>
    </row>
    <row r="1328" spans="1:13" x14ac:dyDescent="0.3">
      <c r="A1328" s="1">
        <v>45889</v>
      </c>
      <c r="B1328" s="2" t="s">
        <v>17</v>
      </c>
      <c r="C1328">
        <v>4073.1682099999998</v>
      </c>
      <c r="D1328">
        <v>4376.7895500000004</v>
      </c>
      <c r="E1328">
        <v>4064.9650900000001</v>
      </c>
      <c r="F1328">
        <v>4334.5004900000004</v>
      </c>
      <c r="G1328">
        <f>_xlfn.MAXIFS(Crypto[Close],Crypto[Name],Crypto[[#This Row],[Name]],Crypto[Date],"&lt;="&amp;Crypto[[#This Row],[Date]])</f>
        <v>4756.2758800000001</v>
      </c>
      <c r="H1328" s="3">
        <f>(Crypto[[#This Row],[Close]]/Crypto[[#This Row],[Peak Close]])-1</f>
        <v>-8.8677654669602535E-2</v>
      </c>
      <c r="I1328">
        <v>4073.4641099999999</v>
      </c>
      <c r="J1328" s="1">
        <v>45888</v>
      </c>
      <c r="K1328" s="3">
        <v>6.4082160282001505E-2</v>
      </c>
      <c r="L1328">
        <v>49577862965</v>
      </c>
      <c r="M1328" s="2" t="s">
        <v>18</v>
      </c>
    </row>
    <row r="1329" spans="1:13" x14ac:dyDescent="0.3">
      <c r="A1329" s="1">
        <v>45890</v>
      </c>
      <c r="B1329" s="2" t="s">
        <v>17</v>
      </c>
      <c r="C1329">
        <v>4334.5673800000004</v>
      </c>
      <c r="D1329">
        <v>4338.8261700000003</v>
      </c>
      <c r="E1329">
        <v>4205.7768599999999</v>
      </c>
      <c r="F1329">
        <v>4223.2099600000001</v>
      </c>
      <c r="G1329">
        <f>_xlfn.MAXIFS(Crypto[Close],Crypto[Name],Crypto[[#This Row],[Name]],Crypto[Date],"&lt;="&amp;Crypto[[#This Row],[Date]])</f>
        <v>4756.2758800000001</v>
      </c>
      <c r="H1329" s="3">
        <f>(Crypto[[#This Row],[Close]]/Crypto[[#This Row],[Peak Close]])-1</f>
        <v>-0.11207632472319917</v>
      </c>
      <c r="I1329">
        <v>4334.5004900000004</v>
      </c>
      <c r="J1329" s="1">
        <v>45889</v>
      </c>
      <c r="K1329" s="3">
        <v>-2.5675514458183901E-2</v>
      </c>
      <c r="L1329">
        <v>33618359942</v>
      </c>
      <c r="M1329" s="2" t="s">
        <v>18</v>
      </c>
    </row>
    <row r="1330" spans="1:13" x14ac:dyDescent="0.3">
      <c r="A1330" s="1">
        <v>45891</v>
      </c>
      <c r="B1330" s="2" t="s">
        <v>17</v>
      </c>
      <c r="C1330">
        <v>4223.7309599999999</v>
      </c>
      <c r="D1330">
        <v>4884.2280300000002</v>
      </c>
      <c r="E1330">
        <v>4209.47217</v>
      </c>
      <c r="F1330">
        <v>4831.3486300000004</v>
      </c>
      <c r="G1330">
        <f>_xlfn.MAXIFS(Crypto[Close],Crypto[Name],Crypto[[#This Row],[Name]],Crypto[Date],"&lt;="&amp;Crypto[[#This Row],[Date]])</f>
        <v>4831.3486300000004</v>
      </c>
      <c r="H1330" s="3">
        <f>(Crypto[[#This Row],[Close]]/Crypto[[#This Row],[Peak Close]])-1</f>
        <v>0</v>
      </c>
      <c r="I1330">
        <v>4223.2099600000001</v>
      </c>
      <c r="J1330" s="1">
        <v>45890</v>
      </c>
      <c r="K1330" s="3">
        <v>0.14399915603533001</v>
      </c>
      <c r="L1330">
        <v>75965521535</v>
      </c>
      <c r="M1330" s="2" t="s">
        <v>18</v>
      </c>
    </row>
    <row r="1331" spans="1:13" x14ac:dyDescent="0.3">
      <c r="A1331" s="1">
        <v>45892</v>
      </c>
      <c r="B1331" s="2" t="s">
        <v>17</v>
      </c>
      <c r="C1331">
        <v>4831.0883800000001</v>
      </c>
      <c r="D1331">
        <v>4831.6108400000003</v>
      </c>
      <c r="E1331">
        <v>4669.7250999999997</v>
      </c>
      <c r="F1331">
        <v>4776.09033</v>
      </c>
      <c r="G1331">
        <f>_xlfn.MAXIFS(Crypto[Close],Crypto[Name],Crypto[[#This Row],[Name]],Crypto[Date],"&lt;="&amp;Crypto[[#This Row],[Date]])</f>
        <v>4831.3486300000004</v>
      </c>
      <c r="H1331" s="3">
        <f>(Crypto[[#This Row],[Close]]/Crypto[[#This Row],[Peak Close]])-1</f>
        <v>-1.1437448263798888E-2</v>
      </c>
      <c r="I1331">
        <v>4831.3486300000004</v>
      </c>
      <c r="J1331" s="1">
        <v>45891</v>
      </c>
      <c r="K1331" s="3">
        <v>-1.14374482637988E-2</v>
      </c>
      <c r="L1331">
        <v>36503623278</v>
      </c>
      <c r="M1331" s="2" t="s">
        <v>18</v>
      </c>
    </row>
    <row r="1332" spans="1:13" x14ac:dyDescent="0.3">
      <c r="A1332" s="1">
        <v>45893</v>
      </c>
      <c r="B1332" s="2" t="s">
        <v>17</v>
      </c>
      <c r="C1332">
        <v>4776.7045900000003</v>
      </c>
      <c r="D1332">
        <v>4953.7329099999997</v>
      </c>
      <c r="E1332">
        <v>4714.4726600000004</v>
      </c>
      <c r="F1332">
        <v>4779.6474600000001</v>
      </c>
      <c r="G1332">
        <f>_xlfn.MAXIFS(Crypto[Close],Crypto[Name],Crypto[[#This Row],[Name]],Crypto[Date],"&lt;="&amp;Crypto[[#This Row],[Date]])</f>
        <v>4831.3486300000004</v>
      </c>
      <c r="H1332" s="3">
        <f>(Crypto[[#This Row],[Close]]/Crypto[[#This Row],[Peak Close]])-1</f>
        <v>-1.0701188003483075E-2</v>
      </c>
      <c r="I1332">
        <v>4776.09033</v>
      </c>
      <c r="J1332" s="1">
        <v>45892</v>
      </c>
      <c r="K1332" s="3">
        <v>7.4477862733390604E-4</v>
      </c>
      <c r="L1332">
        <v>52405003873</v>
      </c>
      <c r="M1332" s="2" t="s">
        <v>18</v>
      </c>
    </row>
    <row r="1333" spans="1:13" x14ac:dyDescent="0.3">
      <c r="A1333" s="1">
        <v>45894</v>
      </c>
      <c r="B1333" s="2" t="s">
        <v>17</v>
      </c>
      <c r="C1333">
        <v>4779.7695299999996</v>
      </c>
      <c r="D1333">
        <v>4796.3500999999997</v>
      </c>
      <c r="E1333">
        <v>4343.9472699999997</v>
      </c>
      <c r="F1333">
        <v>4372.9877900000001</v>
      </c>
      <c r="G1333">
        <f>_xlfn.MAXIFS(Crypto[Close],Crypto[Name],Crypto[[#This Row],[Name]],Crypto[Date],"&lt;="&amp;Crypto[[#This Row],[Date]])</f>
        <v>4831.3486300000004</v>
      </c>
      <c r="H1333" s="3">
        <f>(Crypto[[#This Row],[Close]]/Crypto[[#This Row],[Peak Close]])-1</f>
        <v>-9.4872234463444283E-2</v>
      </c>
      <c r="I1333">
        <v>4779.6474600000001</v>
      </c>
      <c r="J1333" s="1">
        <v>45893</v>
      </c>
      <c r="K1333" s="3">
        <v>-8.5081519798951899E-2</v>
      </c>
      <c r="L1333">
        <v>63936163545</v>
      </c>
      <c r="M1333" s="2" t="s">
        <v>18</v>
      </c>
    </row>
    <row r="1334" spans="1:13" x14ac:dyDescent="0.3">
      <c r="A1334" s="1">
        <v>45895</v>
      </c>
      <c r="B1334" s="2" t="s">
        <v>17</v>
      </c>
      <c r="C1334">
        <v>4372.8803699999999</v>
      </c>
      <c r="D1334">
        <v>4632.0732399999997</v>
      </c>
      <c r="E1334">
        <v>4316.3007799999996</v>
      </c>
      <c r="F1334">
        <v>4600.4267600000003</v>
      </c>
      <c r="G1334">
        <f>_xlfn.MAXIFS(Crypto[Close],Crypto[Name],Crypto[[#This Row],[Name]],Crypto[Date],"&lt;="&amp;Crypto[[#This Row],[Date]])</f>
        <v>4831.3486300000004</v>
      </c>
      <c r="H1334" s="3">
        <f>(Crypto[[#This Row],[Close]]/Crypto[[#This Row],[Peak Close]])-1</f>
        <v>-4.7796565241867039E-2</v>
      </c>
      <c r="I1334">
        <v>4372.9877900000001</v>
      </c>
      <c r="J1334" s="1">
        <v>45894</v>
      </c>
      <c r="K1334" s="3">
        <v>5.2009971425051697E-2</v>
      </c>
      <c r="L1334">
        <v>53829747706</v>
      </c>
      <c r="M1334" s="2" t="s">
        <v>18</v>
      </c>
    </row>
    <row r="1335" spans="1:13" x14ac:dyDescent="0.3">
      <c r="A1335" s="1">
        <v>45896</v>
      </c>
      <c r="B1335" s="2" t="s">
        <v>17</v>
      </c>
      <c r="C1335">
        <v>4600.5102500000003</v>
      </c>
      <c r="D1335">
        <v>4659.9873100000004</v>
      </c>
      <c r="E1335">
        <v>4489.2978499999999</v>
      </c>
      <c r="F1335">
        <v>4503.3930700000001</v>
      </c>
      <c r="G1335">
        <f>_xlfn.MAXIFS(Crypto[Close],Crypto[Name],Crypto[[#This Row],[Name]],Crypto[Date],"&lt;="&amp;Crypto[[#This Row],[Date]])</f>
        <v>4831.3486300000004</v>
      </c>
      <c r="H1335" s="3">
        <f>(Crypto[[#This Row],[Close]]/Crypto[[#This Row],[Peak Close]])-1</f>
        <v>-6.7880748237371669E-2</v>
      </c>
      <c r="I1335">
        <v>4600.4267600000003</v>
      </c>
      <c r="J1335" s="1">
        <v>45895</v>
      </c>
      <c r="K1335" s="3">
        <v>-2.10923236173855E-2</v>
      </c>
      <c r="L1335">
        <v>43509902322</v>
      </c>
      <c r="M1335" s="2" t="s">
        <v>18</v>
      </c>
    </row>
    <row r="1336" spans="1:13" x14ac:dyDescent="0.3">
      <c r="A1336" s="1">
        <v>45897</v>
      </c>
      <c r="B1336" s="2" t="s">
        <v>17</v>
      </c>
      <c r="C1336">
        <v>4503.6313499999997</v>
      </c>
      <c r="D1336">
        <v>4629.03125</v>
      </c>
      <c r="E1336">
        <v>4435.1093799999999</v>
      </c>
      <c r="F1336">
        <v>4507.1777300000003</v>
      </c>
      <c r="G1336">
        <f>_xlfn.MAXIFS(Crypto[Close],Crypto[Name],Crypto[[#This Row],[Name]],Crypto[Date],"&lt;="&amp;Crypto[[#This Row],[Date]])</f>
        <v>4831.3486300000004</v>
      </c>
      <c r="H1336" s="3">
        <f>(Crypto[[#This Row],[Close]]/Crypto[[#This Row],[Peak Close]])-1</f>
        <v>-6.7097393466304278E-2</v>
      </c>
      <c r="I1336">
        <v>4503.3930700000001</v>
      </c>
      <c r="J1336" s="1">
        <v>45896</v>
      </c>
      <c r="K1336" s="3">
        <v>8.4040187946557801E-4</v>
      </c>
      <c r="L1336">
        <v>36045274078</v>
      </c>
      <c r="M1336" s="2" t="s">
        <v>18</v>
      </c>
    </row>
    <row r="1337" spans="1:13" x14ac:dyDescent="0.3">
      <c r="A1337" s="1">
        <v>45898</v>
      </c>
      <c r="B1337" s="2" t="s">
        <v>17</v>
      </c>
      <c r="C1337">
        <v>4507.6313499999997</v>
      </c>
      <c r="D1337">
        <v>4513.8593799999999</v>
      </c>
      <c r="E1337">
        <v>4272.4594699999998</v>
      </c>
      <c r="F1337">
        <v>4360.15283</v>
      </c>
      <c r="G1337">
        <f>_xlfn.MAXIFS(Crypto[Close],Crypto[Name],Crypto[[#This Row],[Name]],Crypto[Date],"&lt;="&amp;Crypto[[#This Row],[Date]])</f>
        <v>4831.3486300000004</v>
      </c>
      <c r="H1337" s="3">
        <f>(Crypto[[#This Row],[Close]]/Crypto[[#This Row],[Peak Close]])-1</f>
        <v>-9.7528834303973744E-2</v>
      </c>
      <c r="I1337">
        <v>4507.1777300000003</v>
      </c>
      <c r="J1337" s="1">
        <v>45897</v>
      </c>
      <c r="K1337" s="3">
        <v>-3.2620169162932103E-2</v>
      </c>
      <c r="L1337">
        <v>46899991962</v>
      </c>
      <c r="M1337" s="2" t="s">
        <v>18</v>
      </c>
    </row>
    <row r="1338" spans="1:13" x14ac:dyDescent="0.3">
      <c r="A1338" s="1">
        <v>45899</v>
      </c>
      <c r="B1338" s="2" t="s">
        <v>17</v>
      </c>
      <c r="C1338">
        <v>4360.0888699999996</v>
      </c>
      <c r="D1338">
        <v>4413.2749000000003</v>
      </c>
      <c r="E1338">
        <v>4264.1953100000001</v>
      </c>
      <c r="F1338">
        <v>4374.1533200000003</v>
      </c>
      <c r="G1338">
        <f>_xlfn.MAXIFS(Crypto[Close],Crypto[Name],Crypto[[#This Row],[Name]],Crypto[Date],"&lt;="&amp;Crypto[[#This Row],[Date]])</f>
        <v>4831.3486300000004</v>
      </c>
      <c r="H1338" s="3">
        <f>(Crypto[[#This Row],[Close]]/Crypto[[#This Row],[Peak Close]])-1</f>
        <v>-9.4630991264234243E-2</v>
      </c>
      <c r="I1338">
        <v>4360.15283</v>
      </c>
      <c r="J1338" s="1">
        <v>45898</v>
      </c>
      <c r="K1338" s="3">
        <v>3.2110090049298498E-3</v>
      </c>
      <c r="L1338">
        <v>25883112278</v>
      </c>
      <c r="M1338" s="2" t="s">
        <v>18</v>
      </c>
    </row>
    <row r="1339" spans="1:13" x14ac:dyDescent="0.3">
      <c r="A1339" s="1">
        <v>45900</v>
      </c>
      <c r="B1339" s="2" t="s">
        <v>17</v>
      </c>
      <c r="C1339">
        <v>4374.8935600000004</v>
      </c>
      <c r="D1339">
        <v>4497.1767600000003</v>
      </c>
      <c r="E1339">
        <v>4373.5966799999997</v>
      </c>
      <c r="F1339">
        <v>4390.0190400000001</v>
      </c>
      <c r="G1339">
        <f>_xlfn.MAXIFS(Crypto[Close],Crypto[Name],Crypto[[#This Row],[Name]],Crypto[Date],"&lt;="&amp;Crypto[[#This Row],[Date]])</f>
        <v>4831.3486300000004</v>
      </c>
      <c r="H1339" s="3">
        <f>(Crypto[[#This Row],[Close]]/Crypto[[#This Row],[Peak Close]])-1</f>
        <v>-9.1347080038808981E-2</v>
      </c>
      <c r="I1339">
        <v>4374.1533200000003</v>
      </c>
      <c r="J1339" s="1">
        <v>45899</v>
      </c>
      <c r="K1339" s="3">
        <v>3.6271522370870599E-3</v>
      </c>
      <c r="L1339">
        <v>26683044984</v>
      </c>
      <c r="M1339" s="2" t="s">
        <v>18</v>
      </c>
    </row>
    <row r="1340" spans="1:13" x14ac:dyDescent="0.3">
      <c r="A1340" s="1">
        <v>45901</v>
      </c>
      <c r="B1340" s="2" t="s">
        <v>17</v>
      </c>
      <c r="C1340">
        <v>4389.6259799999998</v>
      </c>
      <c r="D1340">
        <v>4490.3466799999997</v>
      </c>
      <c r="E1340">
        <v>4221.2475599999998</v>
      </c>
      <c r="F1340">
        <v>4314.4702200000002</v>
      </c>
      <c r="G1340">
        <f>_xlfn.MAXIFS(Crypto[Close],Crypto[Name],Crypto[[#This Row],[Name]],Crypto[Date],"&lt;="&amp;Crypto[[#This Row],[Date]])</f>
        <v>4831.3486300000004</v>
      </c>
      <c r="H1340" s="3">
        <f>(Crypto[[#This Row],[Close]]/Crypto[[#This Row],[Peak Close]])-1</f>
        <v>-0.1069842914648037</v>
      </c>
      <c r="I1340">
        <v>4390.0190400000001</v>
      </c>
      <c r="J1340" s="1">
        <v>45900</v>
      </c>
      <c r="K1340" s="3">
        <v>-1.7209223766828999E-2</v>
      </c>
      <c r="L1340">
        <v>37530746508</v>
      </c>
      <c r="M1340" s="2" t="s">
        <v>18</v>
      </c>
    </row>
    <row r="1341" spans="1:13" x14ac:dyDescent="0.3">
      <c r="A1341" s="1">
        <v>45902</v>
      </c>
      <c r="B1341" s="2" t="s">
        <v>17</v>
      </c>
      <c r="C1341">
        <v>4314.3911099999996</v>
      </c>
      <c r="D1341">
        <v>4414.93408</v>
      </c>
      <c r="E1341">
        <v>4260.4594699999998</v>
      </c>
      <c r="F1341">
        <v>4325.3657199999998</v>
      </c>
      <c r="G1341">
        <f>_xlfn.MAXIFS(Crypto[Close],Crypto[Name],Crypto[[#This Row],[Name]],Crypto[Date],"&lt;="&amp;Crypto[[#This Row],[Date]])</f>
        <v>4831.3486300000004</v>
      </c>
      <c r="H1341" s="3">
        <f>(Crypto[[#This Row],[Close]]/Crypto[[#This Row],[Peak Close]])-1</f>
        <v>-0.10472912404998613</v>
      </c>
      <c r="I1341">
        <v>4314.4702200000002</v>
      </c>
      <c r="J1341" s="1">
        <v>45901</v>
      </c>
      <c r="K1341" s="3">
        <v>2.5253390206502902E-3</v>
      </c>
      <c r="L1341">
        <v>39884692334</v>
      </c>
      <c r="M1341" s="2" t="s">
        <v>18</v>
      </c>
    </row>
    <row r="1342" spans="1:13" x14ac:dyDescent="0.3">
      <c r="A1342" s="1">
        <v>45903</v>
      </c>
      <c r="B1342" s="2" t="s">
        <v>17</v>
      </c>
      <c r="C1342">
        <v>4324.6962899999999</v>
      </c>
      <c r="D1342">
        <v>4489.1987300000001</v>
      </c>
      <c r="E1342">
        <v>4286.2060600000004</v>
      </c>
      <c r="F1342">
        <v>4450.3891599999997</v>
      </c>
      <c r="G1342">
        <f>_xlfn.MAXIFS(Crypto[Close],Crypto[Name],Crypto[[#This Row],[Name]],Crypto[Date],"&lt;="&amp;Crypto[[#This Row],[Date]])</f>
        <v>4831.3486300000004</v>
      </c>
      <c r="H1342" s="3">
        <f>(Crypto[[#This Row],[Close]]/Crypto[[#This Row],[Peak Close]])-1</f>
        <v>-7.885157937774423E-2</v>
      </c>
      <c r="I1342">
        <v>4325.3657199999998</v>
      </c>
      <c r="J1342" s="1">
        <v>45902</v>
      </c>
      <c r="K1342" s="3">
        <v>2.8904709588348999E-2</v>
      </c>
      <c r="L1342">
        <v>35260873497</v>
      </c>
      <c r="M1342" s="2" t="s">
        <v>18</v>
      </c>
    </row>
    <row r="1343" spans="1:13" x14ac:dyDescent="0.3">
      <c r="A1343" s="1">
        <v>45904</v>
      </c>
      <c r="B1343" s="2" t="s">
        <v>17</v>
      </c>
      <c r="C1343">
        <v>4450.2158200000003</v>
      </c>
      <c r="D1343">
        <v>4483.4511700000003</v>
      </c>
      <c r="E1343">
        <v>4268.5888699999996</v>
      </c>
      <c r="F1343">
        <v>4298.7441399999998</v>
      </c>
      <c r="G1343">
        <f>_xlfn.MAXIFS(Crypto[Close],Crypto[Name],Crypto[[#This Row],[Name]],Crypto[Date],"&lt;="&amp;Crypto[[#This Row],[Date]])</f>
        <v>4831.3486300000004</v>
      </c>
      <c r="H1343" s="3">
        <f>(Crypto[[#This Row],[Close]]/Crypto[[#This Row],[Peak Close]])-1</f>
        <v>-0.11023929978739722</v>
      </c>
      <c r="I1343">
        <v>4450.3891599999997</v>
      </c>
      <c r="J1343" s="1">
        <v>45903</v>
      </c>
      <c r="K1343" s="3">
        <v>-3.4074552707206399E-2</v>
      </c>
      <c r="L1343">
        <v>34919798552</v>
      </c>
      <c r="M1343" s="2" t="s">
        <v>18</v>
      </c>
    </row>
    <row r="1344" spans="1:13" x14ac:dyDescent="0.3">
      <c r="A1344" s="1">
        <v>45905</v>
      </c>
      <c r="B1344" s="2" t="s">
        <v>17</v>
      </c>
      <c r="C1344">
        <v>4298.83691</v>
      </c>
      <c r="D1344">
        <v>4484.3613299999997</v>
      </c>
      <c r="E1344">
        <v>4258.0498100000004</v>
      </c>
      <c r="F1344">
        <v>4306.9887699999999</v>
      </c>
      <c r="G1344">
        <f>_xlfn.MAXIFS(Crypto[Close],Crypto[Name],Crypto[[#This Row],[Name]],Crypto[Date],"&lt;="&amp;Crypto[[#This Row],[Date]])</f>
        <v>4831.3486300000004</v>
      </c>
      <c r="H1344" s="3">
        <f>(Crypto[[#This Row],[Close]]/Crypto[[#This Row],[Peak Close]])-1</f>
        <v>-0.10853281353864963</v>
      </c>
      <c r="I1344">
        <v>4298.7441399999998</v>
      </c>
      <c r="J1344" s="1">
        <v>45904</v>
      </c>
      <c r="K1344" s="3">
        <v>1.91791596138126E-3</v>
      </c>
      <c r="L1344">
        <v>44163736676</v>
      </c>
      <c r="M1344" s="2" t="s">
        <v>18</v>
      </c>
    </row>
    <row r="1345" spans="1:13" x14ac:dyDescent="0.3">
      <c r="A1345" s="1">
        <v>45906</v>
      </c>
      <c r="B1345" s="2" t="s">
        <v>17</v>
      </c>
      <c r="C1345">
        <v>4306.9731499999998</v>
      </c>
      <c r="D1345">
        <v>4327.4399400000002</v>
      </c>
      <c r="E1345">
        <v>4244.7548800000004</v>
      </c>
      <c r="F1345">
        <v>4274.2421899999999</v>
      </c>
      <c r="G1345">
        <f>_xlfn.MAXIFS(Crypto[Close],Crypto[Name],Crypto[[#This Row],[Name]],Crypto[Date],"&lt;="&amp;Crypto[[#This Row],[Date]])</f>
        <v>4831.3486300000004</v>
      </c>
      <c r="H1345" s="3">
        <f>(Crypto[[#This Row],[Close]]/Crypto[[#This Row],[Peak Close]])-1</f>
        <v>-0.11531075123427814</v>
      </c>
      <c r="I1345">
        <v>4306.9887699999999</v>
      </c>
      <c r="J1345" s="1">
        <v>45905</v>
      </c>
      <c r="K1345" s="3">
        <v>-7.6031263949638802E-3</v>
      </c>
      <c r="L1345">
        <v>18108246446</v>
      </c>
      <c r="M1345" s="2" t="s">
        <v>18</v>
      </c>
    </row>
    <row r="1346" spans="1:13" x14ac:dyDescent="0.3">
      <c r="A1346" s="1">
        <v>45907</v>
      </c>
      <c r="B1346" s="2" t="s">
        <v>17</v>
      </c>
      <c r="C1346">
        <v>4274.1669899999997</v>
      </c>
      <c r="D1346">
        <v>4334.27441</v>
      </c>
      <c r="E1346">
        <v>4271.5341799999997</v>
      </c>
      <c r="F1346">
        <v>4305.3476600000004</v>
      </c>
      <c r="G1346">
        <f>_xlfn.MAXIFS(Crypto[Close],Crypto[Name],Crypto[[#This Row],[Name]],Crypto[Date],"&lt;="&amp;Crypto[[#This Row],[Date]])</f>
        <v>4831.3486300000004</v>
      </c>
      <c r="H1346" s="3">
        <f>(Crypto[[#This Row],[Close]]/Crypto[[#This Row],[Peak Close]])-1</f>
        <v>-0.10887249302064961</v>
      </c>
      <c r="I1346">
        <v>4274.2421899999999</v>
      </c>
      <c r="J1346" s="1">
        <v>45906</v>
      </c>
      <c r="K1346" s="3">
        <v>7.2774233694044401E-3</v>
      </c>
      <c r="L1346">
        <v>17426783536</v>
      </c>
      <c r="M1346" s="2" t="s">
        <v>18</v>
      </c>
    </row>
    <row r="1347" spans="1:13" x14ac:dyDescent="0.3">
      <c r="A1347" s="1">
        <v>45908</v>
      </c>
      <c r="B1347" s="2" t="s">
        <v>17</v>
      </c>
      <c r="C1347">
        <v>4305.3813499999997</v>
      </c>
      <c r="D1347">
        <v>4381.2749000000003</v>
      </c>
      <c r="E1347">
        <v>4279.97217</v>
      </c>
      <c r="F1347">
        <v>4308.0722699999997</v>
      </c>
      <c r="G1347">
        <f>_xlfn.MAXIFS(Crypto[Close],Crypto[Name],Crypto[[#This Row],[Name]],Crypto[Date],"&lt;="&amp;Crypto[[#This Row],[Date]])</f>
        <v>4831.3486300000004</v>
      </c>
      <c r="H1347" s="3">
        <f>(Crypto[[#This Row],[Close]]/Crypto[[#This Row],[Peak Close]])-1</f>
        <v>-0.10830854903551035</v>
      </c>
      <c r="I1347">
        <v>4305.3476600000004</v>
      </c>
      <c r="J1347" s="1">
        <v>45907</v>
      </c>
      <c r="K1347" s="3">
        <v>6.3284320226053505E-4</v>
      </c>
      <c r="L1347">
        <v>32277142378</v>
      </c>
      <c r="M1347" s="2" t="s">
        <v>18</v>
      </c>
    </row>
    <row r="1348" spans="1:13" x14ac:dyDescent="0.3">
      <c r="A1348" s="1">
        <v>45909</v>
      </c>
      <c r="B1348" s="2" t="s">
        <v>17</v>
      </c>
      <c r="C1348">
        <v>4308.2831999999999</v>
      </c>
      <c r="D1348">
        <v>4381.2265600000001</v>
      </c>
      <c r="E1348">
        <v>4277.8530300000002</v>
      </c>
      <c r="F1348">
        <v>4309.0415000000003</v>
      </c>
      <c r="G1348">
        <f>_xlfn.MAXIFS(Crypto[Close],Crypto[Name],Crypto[[#This Row],[Name]],Crypto[Date],"&lt;="&amp;Crypto[[#This Row],[Date]])</f>
        <v>4831.3486300000004</v>
      </c>
      <c r="H1348" s="3">
        <f>(Crypto[[#This Row],[Close]]/Crypto[[#This Row],[Peak Close]])-1</f>
        <v>-0.10810793631342641</v>
      </c>
      <c r="I1348">
        <v>4308.0722699999997</v>
      </c>
      <c r="J1348" s="1">
        <v>45908</v>
      </c>
      <c r="K1348" s="3">
        <v>2.2497997694932099E-4</v>
      </c>
      <c r="L1348">
        <v>30703320925</v>
      </c>
      <c r="M1348" s="2" t="s">
        <v>18</v>
      </c>
    </row>
    <row r="1349" spans="1:13" x14ac:dyDescent="0.3">
      <c r="A1349" s="1">
        <v>45910</v>
      </c>
      <c r="B1349" s="2" t="s">
        <v>17</v>
      </c>
      <c r="C1349">
        <v>4309.0918000000001</v>
      </c>
      <c r="D1349">
        <v>4450.4179700000004</v>
      </c>
      <c r="E1349">
        <v>4286.0625</v>
      </c>
      <c r="F1349">
        <v>4349.1459999999997</v>
      </c>
      <c r="G1349">
        <f>_xlfn.MAXIFS(Crypto[Close],Crypto[Name],Crypto[[#This Row],[Name]],Crypto[Date],"&lt;="&amp;Crypto[[#This Row],[Date]])</f>
        <v>4831.3486300000004</v>
      </c>
      <c r="H1349" s="3">
        <f>(Crypto[[#This Row],[Close]]/Crypto[[#This Row],[Peak Close]])-1</f>
        <v>-9.9807044974107084E-2</v>
      </c>
      <c r="I1349">
        <v>4309.0415000000003</v>
      </c>
      <c r="J1349" s="1">
        <v>45909</v>
      </c>
      <c r="K1349" s="3">
        <v>9.3070581938000507E-3</v>
      </c>
      <c r="L1349">
        <v>39521365146</v>
      </c>
      <c r="M1349" s="2" t="s">
        <v>18</v>
      </c>
    </row>
    <row r="1350" spans="1:13" x14ac:dyDescent="0.3">
      <c r="A1350" s="1">
        <v>45911</v>
      </c>
      <c r="B1350" s="2" t="s">
        <v>17</v>
      </c>
      <c r="C1350">
        <v>4349.2002000000002</v>
      </c>
      <c r="D1350">
        <v>4471.6987300000001</v>
      </c>
      <c r="E1350">
        <v>4339.7168000000001</v>
      </c>
      <c r="F1350">
        <v>4461.2334000000001</v>
      </c>
      <c r="G1350">
        <f>_xlfn.MAXIFS(Crypto[Close],Crypto[Name],Crypto[[#This Row],[Name]],Crypto[Date],"&lt;="&amp;Crypto[[#This Row],[Date]])</f>
        <v>4831.3486300000004</v>
      </c>
      <c r="H1350" s="3">
        <f>(Crypto[[#This Row],[Close]]/Crypto[[#This Row],[Peak Close]])-1</f>
        <v>-7.6607021836882061E-2</v>
      </c>
      <c r="I1350">
        <v>4349.1459999999997</v>
      </c>
      <c r="J1350" s="1">
        <v>45910</v>
      </c>
      <c r="K1350" s="3">
        <v>2.5772278051829099E-2</v>
      </c>
      <c r="L1350">
        <v>35959212991</v>
      </c>
      <c r="M1350" s="2" t="s">
        <v>18</v>
      </c>
    </row>
    <row r="1351" spans="1:13" x14ac:dyDescent="0.3">
      <c r="A1351" s="1">
        <v>45912</v>
      </c>
      <c r="B1351" s="2" t="s">
        <v>17</v>
      </c>
      <c r="C1351">
        <v>4461.4794899999997</v>
      </c>
      <c r="D1351">
        <v>4734.2739300000003</v>
      </c>
      <c r="E1351">
        <v>4453.28467</v>
      </c>
      <c r="F1351">
        <v>4715.2460899999996</v>
      </c>
      <c r="G1351">
        <f>_xlfn.MAXIFS(Crypto[Close],Crypto[Name],Crypto[[#This Row],[Name]],Crypto[Date],"&lt;="&amp;Crypto[[#This Row],[Date]])</f>
        <v>4831.3486300000004</v>
      </c>
      <c r="H1351" s="3">
        <f>(Crypto[[#This Row],[Close]]/Crypto[[#This Row],[Peak Close]])-1</f>
        <v>-2.403108301459933E-2</v>
      </c>
      <c r="I1351">
        <v>4461.2334000000001</v>
      </c>
      <c r="J1351" s="1">
        <v>45911</v>
      </c>
      <c r="K1351" s="3">
        <v>5.6937771962345597E-2</v>
      </c>
      <c r="L1351">
        <v>43839753626</v>
      </c>
      <c r="M1351" s="2" t="s">
        <v>18</v>
      </c>
    </row>
    <row r="1352" spans="1:13" x14ac:dyDescent="0.3">
      <c r="A1352" s="1">
        <v>45913</v>
      </c>
      <c r="B1352" s="2" t="s">
        <v>17</v>
      </c>
      <c r="C1352">
        <v>4714.7036099999996</v>
      </c>
      <c r="D1352">
        <v>4763.3613299999997</v>
      </c>
      <c r="E1352">
        <v>4609.1254900000004</v>
      </c>
      <c r="F1352">
        <v>4668.1796899999999</v>
      </c>
      <c r="G1352">
        <f>_xlfn.MAXIFS(Crypto[Close],Crypto[Name],Crypto[[#This Row],[Name]],Crypto[Date],"&lt;="&amp;Crypto[[#This Row],[Date]])</f>
        <v>4831.3486300000004</v>
      </c>
      <c r="H1352" s="3">
        <f>(Crypto[[#This Row],[Close]]/Crypto[[#This Row],[Peak Close]])-1</f>
        <v>-3.3772959166476157E-2</v>
      </c>
      <c r="I1352">
        <v>4715.2460899999996</v>
      </c>
      <c r="J1352" s="1">
        <v>45912</v>
      </c>
      <c r="K1352" s="3">
        <v>-9.9817483757246896E-3</v>
      </c>
      <c r="L1352">
        <v>34843845977</v>
      </c>
      <c r="M1352" s="2" t="s">
        <v>18</v>
      </c>
    </row>
    <row r="1353" spans="1:13" x14ac:dyDescent="0.3">
      <c r="A1353" s="1">
        <v>45914</v>
      </c>
      <c r="B1353" s="2" t="s">
        <v>17</v>
      </c>
      <c r="C1353">
        <v>4668.1713900000004</v>
      </c>
      <c r="D1353">
        <v>4690.6420900000003</v>
      </c>
      <c r="E1353">
        <v>4581.84717</v>
      </c>
      <c r="F1353">
        <v>4609.5976600000004</v>
      </c>
      <c r="G1353">
        <f>_xlfn.MAXIFS(Crypto[Close],Crypto[Name],Crypto[[#This Row],[Name]],Crypto[Date],"&lt;="&amp;Crypto[[#This Row],[Date]])</f>
        <v>4831.3486300000004</v>
      </c>
      <c r="H1353" s="3">
        <f>(Crypto[[#This Row],[Close]]/Crypto[[#This Row],[Peak Close]])-1</f>
        <v>-4.589835819817456E-2</v>
      </c>
      <c r="I1353">
        <v>4668.1796899999999</v>
      </c>
      <c r="J1353" s="1">
        <v>45913</v>
      </c>
      <c r="K1353" s="3">
        <v>-1.2549223442596199E-2</v>
      </c>
      <c r="L1353">
        <v>28394160275</v>
      </c>
      <c r="M1353" s="2" t="s">
        <v>18</v>
      </c>
    </row>
    <row r="1354" spans="1:13" x14ac:dyDescent="0.3">
      <c r="A1354" s="1">
        <v>45915</v>
      </c>
      <c r="B1354" s="2" t="s">
        <v>17</v>
      </c>
      <c r="C1354">
        <v>4609.7231499999998</v>
      </c>
      <c r="D1354">
        <v>4670.5302700000002</v>
      </c>
      <c r="E1354">
        <v>4469.8613299999997</v>
      </c>
      <c r="F1354">
        <v>4526.8203100000001</v>
      </c>
      <c r="G1354">
        <f>_xlfn.MAXIFS(Crypto[Close],Crypto[Name],Crypto[[#This Row],[Name]],Crypto[Date],"&lt;="&amp;Crypto[[#This Row],[Date]])</f>
        <v>4831.3486300000004</v>
      </c>
      <c r="H1354" s="3">
        <f>(Crypto[[#This Row],[Close]]/Crypto[[#This Row],[Peak Close]])-1</f>
        <v>-6.3031741925856477E-2</v>
      </c>
      <c r="I1354">
        <v>4609.5976600000004</v>
      </c>
      <c r="J1354" s="1">
        <v>45914</v>
      </c>
      <c r="K1354" s="3">
        <v>-1.7957608473794701E-2</v>
      </c>
      <c r="L1354">
        <v>40224062009</v>
      </c>
      <c r="M1354" s="2" t="s">
        <v>18</v>
      </c>
    </row>
    <row r="1355" spans="1:13" x14ac:dyDescent="0.3">
      <c r="A1355" s="1">
        <v>45916</v>
      </c>
      <c r="B1355" s="2" t="s">
        <v>17</v>
      </c>
      <c r="C1355">
        <v>4526.0781299999999</v>
      </c>
      <c r="D1355">
        <v>4537.5996100000002</v>
      </c>
      <c r="E1355">
        <v>4428.3300799999997</v>
      </c>
      <c r="F1355">
        <v>4503.5644499999999</v>
      </c>
      <c r="G1355">
        <f>_xlfn.MAXIFS(Crypto[Close],Crypto[Name],Crypto[[#This Row],[Name]],Crypto[Date],"&lt;="&amp;Crypto[[#This Row],[Date]])</f>
        <v>4831.3486300000004</v>
      </c>
      <c r="H1355" s="3">
        <f>(Crypto[[#This Row],[Close]]/Crypto[[#This Row],[Peak Close]])-1</f>
        <v>-6.7845275740326838E-2</v>
      </c>
      <c r="I1355">
        <v>4526.8203100000001</v>
      </c>
      <c r="J1355" s="1">
        <v>45915</v>
      </c>
      <c r="K1355" s="3">
        <v>-5.1373499294033601E-3</v>
      </c>
      <c r="L1355">
        <v>32761501436</v>
      </c>
      <c r="M1355" s="2" t="s">
        <v>18</v>
      </c>
    </row>
    <row r="1356" spans="1:13" x14ac:dyDescent="0.3">
      <c r="A1356" s="1">
        <v>45917</v>
      </c>
      <c r="B1356" s="2" t="s">
        <v>17</v>
      </c>
      <c r="C1356">
        <v>4503.6357399999997</v>
      </c>
      <c r="D1356">
        <v>4617.2348599999996</v>
      </c>
      <c r="E1356">
        <v>4429.6445299999996</v>
      </c>
      <c r="F1356">
        <v>4592.7334000000001</v>
      </c>
      <c r="G1356">
        <f>_xlfn.MAXIFS(Crypto[Close],Crypto[Name],Crypto[[#This Row],[Name]],Crypto[Date],"&lt;="&amp;Crypto[[#This Row],[Date]])</f>
        <v>4831.3486300000004</v>
      </c>
      <c r="H1356" s="3">
        <f>(Crypto[[#This Row],[Close]]/Crypto[[#This Row],[Peak Close]])-1</f>
        <v>-4.9388948774744201E-2</v>
      </c>
      <c r="I1356">
        <v>4503.5644499999999</v>
      </c>
      <c r="J1356" s="1">
        <v>45916</v>
      </c>
      <c r="K1356" s="3">
        <v>1.9799638928227201E-2</v>
      </c>
      <c r="L1356">
        <v>44120899417</v>
      </c>
      <c r="M1356" s="2" t="s">
        <v>18</v>
      </c>
    </row>
    <row r="1357" spans="1:13" x14ac:dyDescent="0.3">
      <c r="A1357" s="1">
        <v>45918</v>
      </c>
      <c r="B1357" s="2" t="s">
        <v>17</v>
      </c>
      <c r="C1357">
        <v>4592.4428699999999</v>
      </c>
      <c r="D1357">
        <v>4643.9726600000004</v>
      </c>
      <c r="E1357">
        <v>4556.2700199999999</v>
      </c>
      <c r="F1357">
        <v>4589.9189500000002</v>
      </c>
      <c r="G1357">
        <f>_xlfn.MAXIFS(Crypto[Close],Crypto[Name],Crypto[[#This Row],[Name]],Crypto[Date],"&lt;="&amp;Crypto[[#This Row],[Date]])</f>
        <v>4831.3486300000004</v>
      </c>
      <c r="H1357" s="3">
        <f>(Crypto[[#This Row],[Close]]/Crypto[[#This Row],[Peak Close]])-1</f>
        <v>-4.9971487981814389E-2</v>
      </c>
      <c r="I1357">
        <v>4592.7334000000001</v>
      </c>
      <c r="J1357" s="1">
        <v>45917</v>
      </c>
      <c r="K1357" s="3">
        <v>-6.1280500191886796E-4</v>
      </c>
      <c r="L1357">
        <v>33497259158</v>
      </c>
      <c r="M1357" s="2" t="s">
        <v>18</v>
      </c>
    </row>
    <row r="1358" spans="1:13" x14ac:dyDescent="0.3">
      <c r="A1358" s="1">
        <v>45919</v>
      </c>
      <c r="B1358" s="2" t="s">
        <v>17</v>
      </c>
      <c r="C1358">
        <v>4589.5058600000002</v>
      </c>
      <c r="D1358">
        <v>4620.7929700000004</v>
      </c>
      <c r="E1358">
        <v>4443.2646500000001</v>
      </c>
      <c r="F1358">
        <v>4470.9169899999997</v>
      </c>
      <c r="G1358">
        <f>_xlfn.MAXIFS(Crypto[Close],Crypto[Name],Crypto[[#This Row],[Name]],Crypto[Date],"&lt;="&amp;Crypto[[#This Row],[Date]])</f>
        <v>4831.3486300000004</v>
      </c>
      <c r="H1358" s="3">
        <f>(Crypto[[#This Row],[Close]]/Crypto[[#This Row],[Peak Close]])-1</f>
        <v>-7.4602697425294462E-2</v>
      </c>
      <c r="I1358">
        <v>4589.9189500000002</v>
      </c>
      <c r="J1358" s="1">
        <v>45918</v>
      </c>
      <c r="K1358" s="3">
        <v>-2.5926810755558201E-2</v>
      </c>
      <c r="L1358">
        <v>30352619653</v>
      </c>
      <c r="M1358" s="2" t="s">
        <v>18</v>
      </c>
    </row>
    <row r="1359" spans="1:13" x14ac:dyDescent="0.3">
      <c r="A1359" s="1">
        <v>45920</v>
      </c>
      <c r="B1359" s="2" t="s">
        <v>17</v>
      </c>
      <c r="C1359">
        <v>4470.9785199999997</v>
      </c>
      <c r="D1359">
        <v>4509.8120099999996</v>
      </c>
      <c r="E1359">
        <v>4459.1591799999997</v>
      </c>
      <c r="F1359">
        <v>4482.2656299999999</v>
      </c>
      <c r="G1359">
        <f>_xlfn.MAXIFS(Crypto[Close],Crypto[Name],Crypto[[#This Row],[Name]],Crypto[Date],"&lt;="&amp;Crypto[[#This Row],[Date]])</f>
        <v>4831.3486300000004</v>
      </c>
      <c r="H1359" s="3">
        <f>(Crypto[[#This Row],[Close]]/Crypto[[#This Row],[Peak Close]])-1</f>
        <v>-7.2253738393538436E-2</v>
      </c>
      <c r="I1359">
        <v>4470.9169899999997</v>
      </c>
      <c r="J1359" s="1">
        <v>45919</v>
      </c>
      <c r="K1359" s="3">
        <v>2.5383249175467601E-3</v>
      </c>
      <c r="L1359">
        <v>18056494322</v>
      </c>
      <c r="M1359" s="2" t="s">
        <v>18</v>
      </c>
    </row>
    <row r="1360" spans="1:13" x14ac:dyDescent="0.3">
      <c r="A1360" s="1">
        <v>45921</v>
      </c>
      <c r="B1360" s="2" t="s">
        <v>17</v>
      </c>
      <c r="C1360">
        <v>4482.5839800000003</v>
      </c>
      <c r="D1360">
        <v>4499.3891599999997</v>
      </c>
      <c r="E1360">
        <v>4447.1191399999998</v>
      </c>
      <c r="F1360">
        <v>4451.3290999999999</v>
      </c>
      <c r="G1360">
        <f>_xlfn.MAXIFS(Crypto[Close],Crypto[Name],Crypto[[#This Row],[Name]],Crypto[Date],"&lt;="&amp;Crypto[[#This Row],[Date]])</f>
        <v>4831.3486300000004</v>
      </c>
      <c r="H1360" s="3">
        <f>(Crypto[[#This Row],[Close]]/Crypto[[#This Row],[Peak Close]])-1</f>
        <v>-7.8657029145089985E-2</v>
      </c>
      <c r="I1360">
        <v>4482.2656299999999</v>
      </c>
      <c r="J1360" s="1">
        <v>45920</v>
      </c>
      <c r="K1360" s="3">
        <v>-6.9019849678119E-3</v>
      </c>
      <c r="L1360">
        <v>19330306133</v>
      </c>
      <c r="M1360" s="2" t="s">
        <v>18</v>
      </c>
    </row>
    <row r="1361" spans="1:13" x14ac:dyDescent="0.3">
      <c r="A1361" s="1">
        <v>45922</v>
      </c>
      <c r="B1361" s="2" t="s">
        <v>17</v>
      </c>
      <c r="C1361">
        <v>4451.5805700000001</v>
      </c>
      <c r="D1361">
        <v>4457.0825199999999</v>
      </c>
      <c r="E1361">
        <v>4092.3967299999999</v>
      </c>
      <c r="F1361">
        <v>4202.8774400000002</v>
      </c>
      <c r="G1361">
        <f>_xlfn.MAXIFS(Crypto[Close],Crypto[Name],Crypto[[#This Row],[Name]],Crypto[Date],"&lt;="&amp;Crypto[[#This Row],[Date]])</f>
        <v>4831.3486300000004</v>
      </c>
      <c r="H1361" s="3">
        <f>(Crypto[[#This Row],[Close]]/Crypto[[#This Row],[Peak Close]])-1</f>
        <v>-0.13008193739063711</v>
      </c>
      <c r="I1361">
        <v>4451.3290999999999</v>
      </c>
      <c r="J1361" s="1">
        <v>45921</v>
      </c>
      <c r="K1361" s="3">
        <v>-5.5815163161043201E-2</v>
      </c>
      <c r="L1361">
        <v>58221334533</v>
      </c>
      <c r="M1361" s="2" t="s">
        <v>18</v>
      </c>
    </row>
    <row r="1362" spans="1:13" x14ac:dyDescent="0.3">
      <c r="A1362" s="1">
        <v>45923</v>
      </c>
      <c r="B1362" s="2" t="s">
        <v>17</v>
      </c>
      <c r="C1362">
        <v>4203.0214800000003</v>
      </c>
      <c r="D1362">
        <v>4227.7314500000002</v>
      </c>
      <c r="E1362">
        <v>4120.8154299999997</v>
      </c>
      <c r="F1362">
        <v>4165.5039100000004</v>
      </c>
      <c r="G1362">
        <f>_xlfn.MAXIFS(Crypto[Close],Crypto[Name],Crypto[[#This Row],[Name]],Crypto[Date],"&lt;="&amp;Crypto[[#This Row],[Date]])</f>
        <v>4831.3486300000004</v>
      </c>
      <c r="H1362" s="3">
        <f>(Crypto[[#This Row],[Close]]/Crypto[[#This Row],[Peak Close]])-1</f>
        <v>-0.13781756834219605</v>
      </c>
      <c r="I1362">
        <v>4202.8774400000002</v>
      </c>
      <c r="J1362" s="1">
        <v>45922</v>
      </c>
      <c r="K1362" s="3">
        <v>-8.8923673206135305E-3</v>
      </c>
      <c r="L1362">
        <v>32460075911</v>
      </c>
      <c r="M1362" s="2" t="s">
        <v>18</v>
      </c>
    </row>
    <row r="1363" spans="1:13" x14ac:dyDescent="0.3">
      <c r="A1363" s="1">
        <v>45924</v>
      </c>
      <c r="B1363" s="2" t="s">
        <v>17</v>
      </c>
      <c r="C1363">
        <v>4165.4125999999997</v>
      </c>
      <c r="D1363">
        <v>4206.9018599999999</v>
      </c>
      <c r="E1363">
        <v>4081.3476599999999</v>
      </c>
      <c r="F1363">
        <v>4153.4692400000004</v>
      </c>
      <c r="G1363">
        <f>_xlfn.MAXIFS(Crypto[Close],Crypto[Name],Crypto[[#This Row],[Name]],Crypto[Date],"&lt;="&amp;Crypto[[#This Row],[Date]])</f>
        <v>4831.3486300000004</v>
      </c>
      <c r="H1363" s="3">
        <f>(Crypto[[#This Row],[Close]]/Crypto[[#This Row],[Peak Close]])-1</f>
        <v>-0.14030852292271856</v>
      </c>
      <c r="I1363">
        <v>4165.5039100000004</v>
      </c>
      <c r="J1363" s="1">
        <v>45923</v>
      </c>
      <c r="K1363" s="3">
        <v>-2.8891270444156201E-3</v>
      </c>
      <c r="L1363">
        <v>33538388785</v>
      </c>
      <c r="M1363" s="2" t="s">
        <v>18</v>
      </c>
    </row>
    <row r="1364" spans="1:13" x14ac:dyDescent="0.3">
      <c r="A1364" s="1">
        <v>45925</v>
      </c>
      <c r="B1364" s="2" t="s">
        <v>17</v>
      </c>
      <c r="C1364">
        <v>4153.5209999999997</v>
      </c>
      <c r="D1364">
        <v>4162.0625</v>
      </c>
      <c r="E1364">
        <v>3829.0107400000002</v>
      </c>
      <c r="F1364">
        <v>3868.3339799999999</v>
      </c>
      <c r="G1364">
        <f>_xlfn.MAXIFS(Crypto[Close],Crypto[Name],Crypto[[#This Row],[Name]],Crypto[Date],"&lt;="&amp;Crypto[[#This Row],[Date]])</f>
        <v>4831.3486300000004</v>
      </c>
      <c r="H1364" s="3">
        <f>(Crypto[[#This Row],[Close]]/Crypto[[#This Row],[Peak Close]])-1</f>
        <v>-0.19932625934303572</v>
      </c>
      <c r="I1364">
        <v>4153.4692400000004</v>
      </c>
      <c r="J1364" s="1">
        <v>45924</v>
      </c>
      <c r="K1364" s="3">
        <v>-6.8649902894188902E-2</v>
      </c>
      <c r="L1364">
        <v>68963092031</v>
      </c>
      <c r="M1364" s="2" t="s">
        <v>18</v>
      </c>
    </row>
    <row r="1365" spans="1:13" x14ac:dyDescent="0.3">
      <c r="A1365" s="1">
        <v>45926</v>
      </c>
      <c r="B1365" s="2" t="s">
        <v>17</v>
      </c>
      <c r="C1365">
        <v>3868.69092</v>
      </c>
      <c r="D1365">
        <v>4069.1687000000002</v>
      </c>
      <c r="E1365">
        <v>3868.4335900000001</v>
      </c>
      <c r="F1365">
        <v>4035.8879400000001</v>
      </c>
      <c r="G1365">
        <f>_xlfn.MAXIFS(Crypto[Close],Crypto[Name],Crypto[[#This Row],[Name]],Crypto[Date],"&lt;="&amp;Crypto[[#This Row],[Date]])</f>
        <v>4831.3486300000004</v>
      </c>
      <c r="H1365" s="3">
        <f>(Crypto[[#This Row],[Close]]/Crypto[[#This Row],[Peak Close]])-1</f>
        <v>-0.16464568196561713</v>
      </c>
      <c r="I1365">
        <v>3868.3339799999999</v>
      </c>
      <c r="J1365" s="1">
        <v>45925</v>
      </c>
      <c r="K1365" s="3">
        <v>4.3314243513172597E-2</v>
      </c>
      <c r="L1365">
        <v>47873508328</v>
      </c>
      <c r="M1365" s="2" t="s">
        <v>18</v>
      </c>
    </row>
    <row r="1366" spans="1:13" x14ac:dyDescent="0.3">
      <c r="A1366" s="1">
        <v>45927</v>
      </c>
      <c r="B1366" s="2" t="s">
        <v>17</v>
      </c>
      <c r="C1366">
        <v>4035.91455</v>
      </c>
      <c r="D1366">
        <v>4038.4516600000002</v>
      </c>
      <c r="E1366">
        <v>3975.7580600000001</v>
      </c>
      <c r="F1366">
        <v>4018.6581999999999</v>
      </c>
      <c r="G1366">
        <f>_xlfn.MAXIFS(Crypto[Close],Crypto[Name],Crypto[[#This Row],[Name]],Crypto[Date],"&lt;="&amp;Crypto[[#This Row],[Date]])</f>
        <v>4831.3486300000004</v>
      </c>
      <c r="H1366" s="3">
        <f>(Crypto[[#This Row],[Close]]/Crypto[[#This Row],[Peak Close]])-1</f>
        <v>-0.16821192015696051</v>
      </c>
      <c r="I1366">
        <v>4035.8879400000001</v>
      </c>
      <c r="J1366" s="1">
        <v>45926</v>
      </c>
      <c r="K1366" s="3">
        <v>-4.2691324080718204E-3</v>
      </c>
      <c r="L1366">
        <v>20382555776</v>
      </c>
      <c r="M1366" s="2" t="s">
        <v>18</v>
      </c>
    </row>
    <row r="1367" spans="1:13" x14ac:dyDescent="0.3">
      <c r="A1367" s="1">
        <v>45928</v>
      </c>
      <c r="B1367" s="2" t="s">
        <v>17</v>
      </c>
      <c r="C1367">
        <v>4018.65967</v>
      </c>
      <c r="D1367">
        <v>4143.0039100000004</v>
      </c>
      <c r="E1367">
        <v>3969.79297</v>
      </c>
      <c r="F1367">
        <v>4141.4765600000001</v>
      </c>
      <c r="G1367">
        <f>_xlfn.MAXIFS(Crypto[Close],Crypto[Name],Crypto[[#This Row],[Name]],Crypto[Date],"&lt;="&amp;Crypto[[#This Row],[Date]])</f>
        <v>4831.3486300000004</v>
      </c>
      <c r="H1367" s="3">
        <f>(Crypto[[#This Row],[Close]]/Crypto[[#This Row],[Peak Close]])-1</f>
        <v>-0.1427907863482003</v>
      </c>
      <c r="I1367">
        <v>4018.6581999999999</v>
      </c>
      <c r="J1367" s="1">
        <v>45927</v>
      </c>
      <c r="K1367" s="3">
        <v>3.0562031874221199E-2</v>
      </c>
      <c r="L1367">
        <v>24631307054</v>
      </c>
      <c r="M1367" s="2" t="s">
        <v>18</v>
      </c>
    </row>
    <row r="1368" spans="1:13" x14ac:dyDescent="0.3">
      <c r="A1368" s="1">
        <v>45929</v>
      </c>
      <c r="B1368" s="2" t="s">
        <v>17</v>
      </c>
      <c r="C1368">
        <v>4141.3564500000002</v>
      </c>
      <c r="D1368">
        <v>4234.7827200000002</v>
      </c>
      <c r="E1368">
        <v>4087.9272500000002</v>
      </c>
      <c r="F1368">
        <v>4217.3418000000001</v>
      </c>
      <c r="G1368">
        <f>_xlfn.MAXIFS(Crypto[Close],Crypto[Name],Crypto[[#This Row],[Name]],Crypto[Date],"&lt;="&amp;Crypto[[#This Row],[Date]])</f>
        <v>4831.3486300000004</v>
      </c>
      <c r="H1368" s="3">
        <f>(Crypto[[#This Row],[Close]]/Crypto[[#This Row],[Peak Close]])-1</f>
        <v>-0.12708808182199016</v>
      </c>
      <c r="I1368">
        <v>4141.4765600000001</v>
      </c>
      <c r="J1368" s="1">
        <v>45928</v>
      </c>
      <c r="K1368" s="3">
        <v>1.83184038110311E-2</v>
      </c>
      <c r="L1368">
        <v>38560429932</v>
      </c>
      <c r="M1368" s="2" t="s">
        <v>18</v>
      </c>
    </row>
    <row r="1369" spans="1:13" x14ac:dyDescent="0.3">
      <c r="A1369" s="1">
        <v>45930</v>
      </c>
      <c r="B1369" s="2" t="s">
        <v>17</v>
      </c>
      <c r="C1369">
        <v>4217.0551800000003</v>
      </c>
      <c r="D1369">
        <v>4238.6713900000004</v>
      </c>
      <c r="E1369">
        <v>4095.4436000000001</v>
      </c>
      <c r="F1369">
        <v>4145.9575199999999</v>
      </c>
      <c r="G1369">
        <f>_xlfn.MAXIFS(Crypto[Close],Crypto[Name],Crypto[[#This Row],[Name]],Crypto[Date],"&lt;="&amp;Crypto[[#This Row],[Date]])</f>
        <v>4831.3486300000004</v>
      </c>
      <c r="H1369" s="3">
        <f>(Crypto[[#This Row],[Close]]/Crypto[[#This Row],[Peak Close]])-1</f>
        <v>-0.14186331032790744</v>
      </c>
      <c r="I1369">
        <v>4217.3418000000001</v>
      </c>
      <c r="J1369" s="1">
        <v>45929</v>
      </c>
      <c r="K1369" s="3">
        <v>-1.6926368168688699E-2</v>
      </c>
      <c r="L1369">
        <v>37679153330</v>
      </c>
      <c r="M1369" s="2" t="s">
        <v>18</v>
      </c>
    </row>
    <row r="1370" spans="1:13" x14ac:dyDescent="0.3">
      <c r="A1370" s="1">
        <v>45931</v>
      </c>
      <c r="B1370" s="2" t="s">
        <v>17</v>
      </c>
      <c r="C1370">
        <v>4146.0336900000002</v>
      </c>
      <c r="D1370">
        <v>4351.1123100000004</v>
      </c>
      <c r="E1370">
        <v>4125.5419899999997</v>
      </c>
      <c r="F1370">
        <v>4351.1123100000004</v>
      </c>
      <c r="G1370">
        <f>_xlfn.MAXIFS(Crypto[Close],Crypto[Name],Crypto[[#This Row],[Name]],Crypto[Date],"&lt;="&amp;Crypto[[#This Row],[Date]])</f>
        <v>4831.3486300000004</v>
      </c>
      <c r="H1370" s="3">
        <f>(Crypto[[#This Row],[Close]]/Crypto[[#This Row],[Peak Close]])-1</f>
        <v>-9.9400055093933459E-2</v>
      </c>
      <c r="I1370">
        <v>4145.9575199999999</v>
      </c>
      <c r="J1370" s="1">
        <v>45930</v>
      </c>
      <c r="K1370" s="3">
        <v>4.9483090217480201E-2</v>
      </c>
      <c r="L1370">
        <v>46161664723</v>
      </c>
      <c r="M1370" s="2" t="s">
        <v>18</v>
      </c>
    </row>
    <row r="1371" spans="1:13" x14ac:dyDescent="0.3">
      <c r="A1371" s="1">
        <v>45932</v>
      </c>
      <c r="B1371" s="2" t="s">
        <v>17</v>
      </c>
      <c r="C1371">
        <v>4352.2407199999998</v>
      </c>
      <c r="D1371">
        <v>4517.6650399999999</v>
      </c>
      <c r="E1371">
        <v>4336.5263699999996</v>
      </c>
      <c r="F1371">
        <v>4487.9238299999997</v>
      </c>
      <c r="G1371">
        <f>_xlfn.MAXIFS(Crypto[Close],Crypto[Name],Crypto[[#This Row],[Name]],Crypto[Date],"&lt;="&amp;Crypto[[#This Row],[Date]])</f>
        <v>4831.3486300000004</v>
      </c>
      <c r="H1371" s="3">
        <f>(Crypto[[#This Row],[Close]]/Crypto[[#This Row],[Peak Close]])-1</f>
        <v>-7.108259542015305E-2</v>
      </c>
      <c r="I1371">
        <v>4351.1123100000004</v>
      </c>
      <c r="J1371" s="1">
        <v>45931</v>
      </c>
      <c r="K1371" s="3">
        <v>3.1442884084046802E-2</v>
      </c>
      <c r="L1371">
        <v>48074066058</v>
      </c>
      <c r="M1371" s="2" t="s">
        <v>18</v>
      </c>
    </row>
    <row r="1372" spans="1:13" x14ac:dyDescent="0.3">
      <c r="A1372" s="1">
        <v>45933</v>
      </c>
      <c r="B1372" s="2" t="s">
        <v>17</v>
      </c>
      <c r="C1372">
        <v>4486.9345700000003</v>
      </c>
      <c r="D1372">
        <v>4591.4438499999997</v>
      </c>
      <c r="E1372">
        <v>4431.4790000000003</v>
      </c>
      <c r="F1372">
        <v>4514.8706099999999</v>
      </c>
      <c r="G1372">
        <f>_xlfn.MAXIFS(Crypto[Close],Crypto[Name],Crypto[[#This Row],[Name]],Crypto[Date],"&lt;="&amp;Crypto[[#This Row],[Date]])</f>
        <v>4831.3486300000004</v>
      </c>
      <c r="H1372" s="3">
        <f>(Crypto[[#This Row],[Close]]/Crypto[[#This Row],[Peak Close]])-1</f>
        <v>-6.5505109284568541E-2</v>
      </c>
      <c r="I1372">
        <v>4487.9238299999997</v>
      </c>
      <c r="J1372" s="1">
        <v>45932</v>
      </c>
      <c r="K1372" s="3">
        <v>6.0042863962778597E-3</v>
      </c>
      <c r="L1372">
        <v>49603450230</v>
      </c>
      <c r="M1372" s="2" t="s">
        <v>18</v>
      </c>
    </row>
    <row r="1373" spans="1:13" x14ac:dyDescent="0.3">
      <c r="A1373" s="1">
        <v>45934</v>
      </c>
      <c r="B1373" s="2" t="s">
        <v>17</v>
      </c>
      <c r="C1373">
        <v>4514.9091799999997</v>
      </c>
      <c r="D1373">
        <v>4519.5268599999999</v>
      </c>
      <c r="E1373">
        <v>4444.0127000000002</v>
      </c>
      <c r="F1373">
        <v>4489.1972699999997</v>
      </c>
      <c r="G1373">
        <f>_xlfn.MAXIFS(Crypto[Close],Crypto[Name],Crypto[[#This Row],[Name]],Crypto[Date],"&lt;="&amp;Crypto[[#This Row],[Date]])</f>
        <v>4831.3486300000004</v>
      </c>
      <c r="H1373" s="3">
        <f>(Crypto[[#This Row],[Close]]/Crypto[[#This Row],[Peak Close]])-1</f>
        <v>-7.0819016842508575E-2</v>
      </c>
      <c r="I1373">
        <v>4514.8706099999999</v>
      </c>
      <c r="J1373" s="1">
        <v>45933</v>
      </c>
      <c r="K1373" s="3">
        <v>-5.6863955177666303E-3</v>
      </c>
      <c r="L1373">
        <v>21832270764</v>
      </c>
      <c r="M1373" s="2" t="s">
        <v>18</v>
      </c>
    </row>
    <row r="1374" spans="1:13" x14ac:dyDescent="0.3">
      <c r="A1374" s="1">
        <v>45935</v>
      </c>
      <c r="B1374" s="2" t="s">
        <v>17</v>
      </c>
      <c r="C1374">
        <v>4489.0532199999998</v>
      </c>
      <c r="D1374">
        <v>4616.5331999999999</v>
      </c>
      <c r="E1374">
        <v>4472.1386700000003</v>
      </c>
      <c r="F1374">
        <v>4515.4228499999999</v>
      </c>
      <c r="G1374">
        <f>_xlfn.MAXIFS(Crypto[Close],Crypto[Name],Crypto[[#This Row],[Name]],Crypto[Date],"&lt;="&amp;Crypto[[#This Row],[Date]])</f>
        <v>4831.3486300000004</v>
      </c>
      <c r="H1374" s="3">
        <f>(Crypto[[#This Row],[Close]]/Crypto[[#This Row],[Peak Close]])-1</f>
        <v>-6.5390805796600171E-2</v>
      </c>
      <c r="I1374">
        <v>4489.1972699999997</v>
      </c>
      <c r="J1374" s="1">
        <v>45934</v>
      </c>
      <c r="K1374" s="3">
        <v>5.8419308447989603E-3</v>
      </c>
      <c r="L1374">
        <v>44880806324</v>
      </c>
      <c r="M1374" s="2" t="s">
        <v>18</v>
      </c>
    </row>
    <row r="1375" spans="1:13" x14ac:dyDescent="0.3">
      <c r="A1375" s="1">
        <v>45936</v>
      </c>
      <c r="B1375" s="2" t="s">
        <v>17</v>
      </c>
      <c r="C1375">
        <v>4515.3007799999996</v>
      </c>
      <c r="D1375">
        <v>4736.2089800000003</v>
      </c>
      <c r="E1375">
        <v>4492.8701199999996</v>
      </c>
      <c r="F1375">
        <v>4687.7714800000003</v>
      </c>
      <c r="G1375">
        <f>_xlfn.MAXIFS(Crypto[Close],Crypto[Name],Crypto[[#This Row],[Name]],Crypto[Date],"&lt;="&amp;Crypto[[#This Row],[Date]])</f>
        <v>4831.3486300000004</v>
      </c>
      <c r="H1375" s="3">
        <f>(Crypto[[#This Row],[Close]]/Crypto[[#This Row],[Peak Close]])-1</f>
        <v>-2.9717820218658098E-2</v>
      </c>
      <c r="I1375">
        <v>4515.4228499999999</v>
      </c>
      <c r="J1375" s="1">
        <v>45935</v>
      </c>
      <c r="K1375" s="3">
        <v>3.81688793553411E-2</v>
      </c>
      <c r="L1375">
        <v>44992456374</v>
      </c>
      <c r="M1375" s="2" t="s">
        <v>18</v>
      </c>
    </row>
    <row r="1376" spans="1:13" x14ac:dyDescent="0.3">
      <c r="A1376" s="1">
        <v>45937</v>
      </c>
      <c r="B1376" s="2" t="s">
        <v>17</v>
      </c>
      <c r="C1376">
        <v>4687.7099600000001</v>
      </c>
      <c r="D1376">
        <v>4755.2202200000002</v>
      </c>
      <c r="E1376">
        <v>4443.5712899999999</v>
      </c>
      <c r="F1376">
        <v>4451.1518599999999</v>
      </c>
      <c r="G1376">
        <f>_xlfn.MAXIFS(Crypto[Close],Crypto[Name],Crypto[[#This Row],[Name]],Crypto[Date],"&lt;="&amp;Crypto[[#This Row],[Date]])</f>
        <v>4831.3486300000004</v>
      </c>
      <c r="H1376" s="3">
        <f>(Crypto[[#This Row],[Close]]/Crypto[[#This Row],[Peak Close]])-1</f>
        <v>-7.8693714553983773E-2</v>
      </c>
      <c r="I1376">
        <v>4687.7714800000003</v>
      </c>
      <c r="J1376" s="1">
        <v>45936</v>
      </c>
      <c r="K1376" s="3">
        <v>-5.0475928916227902E-2</v>
      </c>
      <c r="L1376">
        <v>54879425294</v>
      </c>
      <c r="M1376" s="2" t="s">
        <v>18</v>
      </c>
    </row>
    <row r="1377" spans="1:13" x14ac:dyDescent="0.3">
      <c r="A1377" s="1">
        <v>45938</v>
      </c>
      <c r="B1377" s="2" t="s">
        <v>17</v>
      </c>
      <c r="C1377">
        <v>4451.1079099999997</v>
      </c>
      <c r="D1377">
        <v>4556.2216799999997</v>
      </c>
      <c r="E1377">
        <v>4417.7680700000001</v>
      </c>
      <c r="F1377">
        <v>4527.6479499999996</v>
      </c>
      <c r="G1377">
        <f>_xlfn.MAXIFS(Crypto[Close],Crypto[Name],Crypto[[#This Row],[Name]],Crypto[Date],"&lt;="&amp;Crypto[[#This Row],[Date]])</f>
        <v>4831.3486300000004</v>
      </c>
      <c r="H1377" s="3">
        <f>(Crypto[[#This Row],[Close]]/Crypto[[#This Row],[Peak Close]])-1</f>
        <v>-6.2860435720615948E-2</v>
      </c>
      <c r="I1377">
        <v>4451.1518599999999</v>
      </c>
      <c r="J1377" s="1">
        <v>45937</v>
      </c>
      <c r="K1377" s="3">
        <v>1.7185684156819502E-2</v>
      </c>
      <c r="L1377">
        <v>40456628235</v>
      </c>
      <c r="M1377" s="2" t="s">
        <v>18</v>
      </c>
    </row>
    <row r="1378" spans="1:13" x14ac:dyDescent="0.3">
      <c r="A1378" s="1">
        <v>45939</v>
      </c>
      <c r="B1378" s="2" t="s">
        <v>17</v>
      </c>
      <c r="C1378">
        <v>4526.9609399999999</v>
      </c>
      <c r="D1378">
        <v>4531.7168000000001</v>
      </c>
      <c r="E1378">
        <v>4273.5595700000003</v>
      </c>
      <c r="F1378">
        <v>4369.1435600000004</v>
      </c>
      <c r="G1378">
        <f>_xlfn.MAXIFS(Crypto[Close],Crypto[Name],Crypto[[#This Row],[Name]],Crypto[Date],"&lt;="&amp;Crypto[[#This Row],[Date]])</f>
        <v>4831.3486300000004</v>
      </c>
      <c r="H1378" s="3">
        <f>(Crypto[[#This Row],[Close]]/Crypto[[#This Row],[Peak Close]])-1</f>
        <v>-9.5667919125099421E-2</v>
      </c>
      <c r="I1378">
        <v>4527.6479499999996</v>
      </c>
      <c r="J1378" s="1">
        <v>45938</v>
      </c>
      <c r="K1378" s="3">
        <v>-3.5008108349059999E-2</v>
      </c>
      <c r="L1378">
        <v>47903074596</v>
      </c>
      <c r="M1378" s="2" t="s">
        <v>18</v>
      </c>
    </row>
    <row r="1379" spans="1:13" x14ac:dyDescent="0.3">
      <c r="A1379" s="1">
        <v>45940</v>
      </c>
      <c r="B1379" s="2" t="s">
        <v>17</v>
      </c>
      <c r="C1379">
        <v>4369.0654299999997</v>
      </c>
      <c r="D1379">
        <v>4395.5708000000004</v>
      </c>
      <c r="E1379">
        <v>3460.2224099999999</v>
      </c>
      <c r="F1379">
        <v>3843.0087899999999</v>
      </c>
      <c r="G1379">
        <f>_xlfn.MAXIFS(Crypto[Close],Crypto[Name],Crypto[[#This Row],[Name]],Crypto[Date],"&lt;="&amp;Crypto[[#This Row],[Date]])</f>
        <v>4831.3486300000004</v>
      </c>
      <c r="H1379" s="3">
        <f>(Crypto[[#This Row],[Close]]/Crypto[[#This Row],[Peak Close]])-1</f>
        <v>-0.2045681062763629</v>
      </c>
      <c r="I1379">
        <v>4369.1435600000004</v>
      </c>
      <c r="J1379" s="1">
        <v>45939</v>
      </c>
      <c r="K1379" s="3">
        <v>-0.120420572767813</v>
      </c>
      <c r="L1379">
        <v>97736621123</v>
      </c>
      <c r="M1379" s="2" t="s">
        <v>18</v>
      </c>
    </row>
    <row r="1380" spans="1:13" x14ac:dyDescent="0.3">
      <c r="A1380" s="1">
        <v>45941</v>
      </c>
      <c r="B1380" s="2" t="s">
        <v>17</v>
      </c>
      <c r="C1380">
        <v>3840.96045</v>
      </c>
      <c r="D1380">
        <v>3882.2414600000002</v>
      </c>
      <c r="E1380">
        <v>3652.7900399999999</v>
      </c>
      <c r="F1380">
        <v>3750.61157</v>
      </c>
      <c r="G1380">
        <f>_xlfn.MAXIFS(Crypto[Close],Crypto[Name],Crypto[[#This Row],[Name]],Crypto[Date],"&lt;="&amp;Crypto[[#This Row],[Date]])</f>
        <v>4831.3486300000004</v>
      </c>
      <c r="H1380" s="3">
        <f>(Crypto[[#This Row],[Close]]/Crypto[[#This Row],[Peak Close]])-1</f>
        <v>-0.22369262555163616</v>
      </c>
      <c r="I1380">
        <v>3843.0087899999999</v>
      </c>
      <c r="J1380" s="1">
        <v>45940</v>
      </c>
      <c r="K1380" s="3">
        <v>-2.4042937460988699E-2</v>
      </c>
      <c r="L1380">
        <v>62475475938</v>
      </c>
      <c r="M1380" s="2" t="s">
        <v>18</v>
      </c>
    </row>
    <row r="1381" spans="1:13" x14ac:dyDescent="0.3">
      <c r="A1381" s="1">
        <v>45942</v>
      </c>
      <c r="B1381" s="2" t="s">
        <v>17</v>
      </c>
      <c r="C1381">
        <v>3750.94605</v>
      </c>
      <c r="D1381">
        <v>4195.3974600000001</v>
      </c>
      <c r="E1381">
        <v>3701.4782700000001</v>
      </c>
      <c r="F1381">
        <v>4164.4277300000003</v>
      </c>
      <c r="G1381">
        <f>_xlfn.MAXIFS(Crypto[Close],Crypto[Name],Crypto[[#This Row],[Name]],Crypto[Date],"&lt;="&amp;Crypto[[#This Row],[Date]])</f>
        <v>4831.3486300000004</v>
      </c>
      <c r="H1381" s="3">
        <f>(Crypto[[#This Row],[Close]]/Crypto[[#This Row],[Peak Close]])-1</f>
        <v>-0.13804031774043179</v>
      </c>
      <c r="I1381">
        <v>3750.61157</v>
      </c>
      <c r="J1381" s="1">
        <v>45941</v>
      </c>
      <c r="K1381" s="3">
        <v>0.11033298230880299</v>
      </c>
      <c r="L1381">
        <v>61216174681</v>
      </c>
      <c r="M1381" s="2" t="s">
        <v>18</v>
      </c>
    </row>
    <row r="1382" spans="1:13" x14ac:dyDescent="0.3">
      <c r="A1382" s="1">
        <v>45943</v>
      </c>
      <c r="B1382" s="2" t="s">
        <v>17</v>
      </c>
      <c r="C1382">
        <v>4164.0493200000001</v>
      </c>
      <c r="D1382">
        <v>4292.8456999999999</v>
      </c>
      <c r="E1382">
        <v>4061.2246100000002</v>
      </c>
      <c r="F1382">
        <v>4245.4677700000002</v>
      </c>
      <c r="G1382">
        <f>_xlfn.MAXIFS(Crypto[Close],Crypto[Name],Crypto[[#This Row],[Name]],Crypto[Date],"&lt;="&amp;Crypto[[#This Row],[Date]])</f>
        <v>4831.3486300000004</v>
      </c>
      <c r="H1382" s="3">
        <f>(Crypto[[#This Row],[Close]]/Crypto[[#This Row],[Peak Close]])-1</f>
        <v>-0.12126652511930192</v>
      </c>
      <c r="I1382">
        <v>4164.4277300000003</v>
      </c>
      <c r="J1382" s="1">
        <v>45942</v>
      </c>
      <c r="K1382" s="3">
        <v>1.9460066365469101E-2</v>
      </c>
      <c r="L1382">
        <v>50253782420</v>
      </c>
      <c r="M1382" s="2" t="s">
        <v>18</v>
      </c>
    </row>
    <row r="1383" spans="1:13" x14ac:dyDescent="0.3">
      <c r="A1383" s="1">
        <v>45944</v>
      </c>
      <c r="B1383" s="2" t="s">
        <v>17</v>
      </c>
      <c r="C1383">
        <v>4245.3725599999998</v>
      </c>
      <c r="D1383">
        <v>4265.1054700000004</v>
      </c>
      <c r="E1383">
        <v>3895.97363</v>
      </c>
      <c r="F1383">
        <v>4125.4121100000002</v>
      </c>
      <c r="G1383">
        <f>_xlfn.MAXIFS(Crypto[Close],Crypto[Name],Crypto[[#This Row],[Name]],Crypto[Date],"&lt;="&amp;Crypto[[#This Row],[Date]])</f>
        <v>4831.3486300000004</v>
      </c>
      <c r="H1383" s="3">
        <f>(Crypto[[#This Row],[Close]]/Crypto[[#This Row],[Peak Close]])-1</f>
        <v>-0.1461158310159042</v>
      </c>
      <c r="I1383">
        <v>4245.4677700000002</v>
      </c>
      <c r="J1383" s="1">
        <v>45943</v>
      </c>
      <c r="K1383" s="3">
        <v>-2.82785470304018E-2</v>
      </c>
      <c r="L1383">
        <v>67094148347</v>
      </c>
      <c r="M1383" s="2" t="s">
        <v>18</v>
      </c>
    </row>
    <row r="1384" spans="1:13" x14ac:dyDescent="0.3">
      <c r="A1384" s="1">
        <v>45945</v>
      </c>
      <c r="B1384" s="2" t="s">
        <v>17</v>
      </c>
      <c r="C1384">
        <v>4125.3613299999997</v>
      </c>
      <c r="D1384">
        <v>4213.8559599999999</v>
      </c>
      <c r="E1384">
        <v>3935.16138</v>
      </c>
      <c r="F1384">
        <v>3987.4594699999998</v>
      </c>
      <c r="G1384">
        <f>_xlfn.MAXIFS(Crypto[Close],Crypto[Name],Crypto[[#This Row],[Name]],Crypto[Date],"&lt;="&amp;Crypto[[#This Row],[Date]])</f>
        <v>4831.3486300000004</v>
      </c>
      <c r="H1384" s="3">
        <f>(Crypto[[#This Row],[Close]]/Crypto[[#This Row],[Peak Close]])-1</f>
        <v>-0.17466948146940098</v>
      </c>
      <c r="I1384">
        <v>4125.4121100000002</v>
      </c>
      <c r="J1384" s="1">
        <v>45944</v>
      </c>
      <c r="K1384" s="3">
        <v>-3.3439723431655001E-2</v>
      </c>
      <c r="L1384">
        <v>50462889453</v>
      </c>
      <c r="M1384" s="2" t="s">
        <v>18</v>
      </c>
    </row>
    <row r="1385" spans="1:13" x14ac:dyDescent="0.3">
      <c r="A1385" s="1">
        <v>45946</v>
      </c>
      <c r="B1385" s="2" t="s">
        <v>17</v>
      </c>
      <c r="C1385">
        <v>3987.1489299999998</v>
      </c>
      <c r="D1385">
        <v>4079.6481899999999</v>
      </c>
      <c r="E1385">
        <v>3829.6540500000001</v>
      </c>
      <c r="F1385">
        <v>3894.7543999999998</v>
      </c>
      <c r="G1385">
        <f>_xlfn.MAXIFS(Crypto[Close],Crypto[Name],Crypto[[#This Row],[Name]],Crypto[Date],"&lt;="&amp;Crypto[[#This Row],[Date]])</f>
        <v>4831.3486300000004</v>
      </c>
      <c r="H1385" s="3">
        <f>(Crypto[[#This Row],[Close]]/Crypto[[#This Row],[Peak Close]])-1</f>
        <v>-0.19385772001305579</v>
      </c>
      <c r="I1385">
        <v>3987.4594699999998</v>
      </c>
      <c r="J1385" s="1">
        <v>45945</v>
      </c>
      <c r="K1385" s="3">
        <v>-2.32491566867261E-2</v>
      </c>
      <c r="L1385">
        <v>49147390731</v>
      </c>
      <c r="M1385" s="2" t="s">
        <v>18</v>
      </c>
    </row>
    <row r="1386" spans="1:13" x14ac:dyDescent="0.3">
      <c r="A1386" s="1">
        <v>45947</v>
      </c>
      <c r="B1386" s="2" t="s">
        <v>17</v>
      </c>
      <c r="C1386">
        <v>3894.3776899999998</v>
      </c>
      <c r="D1386">
        <v>3950.5668999999998</v>
      </c>
      <c r="E1386">
        <v>3678.6203599999999</v>
      </c>
      <c r="F1386">
        <v>3832.5588400000001</v>
      </c>
      <c r="G1386">
        <f>_xlfn.MAXIFS(Crypto[Close],Crypto[Name],Crypto[[#This Row],[Name]],Crypto[Date],"&lt;="&amp;Crypto[[#This Row],[Date]])</f>
        <v>4831.3486300000004</v>
      </c>
      <c r="H1386" s="3">
        <f>(Crypto[[#This Row],[Close]]/Crypto[[#This Row],[Peak Close]])-1</f>
        <v>-0.20673105306416284</v>
      </c>
      <c r="I1386">
        <v>3894.7543999999998</v>
      </c>
      <c r="J1386" s="1">
        <v>45946</v>
      </c>
      <c r="K1386" s="3">
        <v>-1.5969058280029098E-2</v>
      </c>
      <c r="L1386">
        <v>57404271888</v>
      </c>
      <c r="M1386" s="2" t="s">
        <v>18</v>
      </c>
    </row>
    <row r="1387" spans="1:13" x14ac:dyDescent="0.3">
      <c r="A1387" s="1">
        <v>45948</v>
      </c>
      <c r="B1387" s="2" t="s">
        <v>17</v>
      </c>
      <c r="C1387">
        <v>3833.0095200000001</v>
      </c>
      <c r="D1387">
        <v>3927.2456099999999</v>
      </c>
      <c r="E1387">
        <v>3822.2663600000001</v>
      </c>
      <c r="F1387">
        <v>3890.3461900000002</v>
      </c>
      <c r="G1387">
        <f>_xlfn.MAXIFS(Crypto[Close],Crypto[Name],Crypto[[#This Row],[Name]],Crypto[Date],"&lt;="&amp;Crypto[[#This Row],[Date]])</f>
        <v>4831.3486300000004</v>
      </c>
      <c r="H1387" s="3">
        <f>(Crypto[[#This Row],[Close]]/Crypto[[#This Row],[Peak Close]])-1</f>
        <v>-0.19477013812600807</v>
      </c>
      <c r="I1387">
        <v>3832.5588400000001</v>
      </c>
      <c r="J1387" s="1">
        <v>45947</v>
      </c>
      <c r="K1387" s="3">
        <v>1.50780072563739E-2</v>
      </c>
      <c r="L1387">
        <v>23815676385</v>
      </c>
      <c r="M1387" s="2" t="s">
        <v>18</v>
      </c>
    </row>
    <row r="1388" spans="1:13" x14ac:dyDescent="0.3">
      <c r="A1388" s="1">
        <v>45949</v>
      </c>
      <c r="B1388" s="2" t="s">
        <v>17</v>
      </c>
      <c r="C1388">
        <v>3890.5835000000002</v>
      </c>
      <c r="D1388">
        <v>4029.35547</v>
      </c>
      <c r="E1388">
        <v>3843.77295</v>
      </c>
      <c r="F1388">
        <v>3984.64966</v>
      </c>
      <c r="G1388">
        <f>_xlfn.MAXIFS(Crypto[Close],Crypto[Name],Crypto[[#This Row],[Name]],Crypto[Date],"&lt;="&amp;Crypto[[#This Row],[Date]])</f>
        <v>4831.3486300000004</v>
      </c>
      <c r="H1388" s="3">
        <f>(Crypto[[#This Row],[Close]]/Crypto[[#This Row],[Peak Close]])-1</f>
        <v>-0.17525106028210602</v>
      </c>
      <c r="I1388">
        <v>3890.3461900000002</v>
      </c>
      <c r="J1388" s="1">
        <v>45948</v>
      </c>
      <c r="K1388" s="3">
        <v>2.4240380005872902E-2</v>
      </c>
      <c r="L1388">
        <v>32870655221</v>
      </c>
      <c r="M1388" s="2" t="s">
        <v>18</v>
      </c>
    </row>
    <row r="1389" spans="1:13" x14ac:dyDescent="0.3">
      <c r="A1389" s="1">
        <v>45950</v>
      </c>
      <c r="B1389" s="2" t="s">
        <v>17</v>
      </c>
      <c r="C1389">
        <v>3984.6962899999999</v>
      </c>
      <c r="D1389">
        <v>4084.15967</v>
      </c>
      <c r="E1389">
        <v>3911.7263200000002</v>
      </c>
      <c r="F1389">
        <v>3980.7602499999998</v>
      </c>
      <c r="G1389">
        <f>_xlfn.MAXIFS(Crypto[Close],Crypto[Name],Crypto[[#This Row],[Name]],Crypto[Date],"&lt;="&amp;Crypto[[#This Row],[Date]])</f>
        <v>4831.3486300000004</v>
      </c>
      <c r="H1389" s="3">
        <f>(Crypto[[#This Row],[Close]]/Crypto[[#This Row],[Peak Close]])-1</f>
        <v>-0.17605609636992814</v>
      </c>
      <c r="I1389">
        <v>3984.64966</v>
      </c>
      <c r="J1389" s="1">
        <v>45949</v>
      </c>
      <c r="K1389" s="3">
        <v>-9.7609836042655395E-4</v>
      </c>
      <c r="L1389">
        <v>40224612563</v>
      </c>
      <c r="M1389" s="2" t="s">
        <v>18</v>
      </c>
    </row>
    <row r="1390" spans="1:13" x14ac:dyDescent="0.3">
      <c r="A1390" s="1">
        <v>45951</v>
      </c>
      <c r="B1390" s="2" t="s">
        <v>17</v>
      </c>
      <c r="C1390">
        <v>3980.7404799999999</v>
      </c>
      <c r="D1390">
        <v>4109.5331999999999</v>
      </c>
      <c r="E1390">
        <v>3843.2277800000002</v>
      </c>
      <c r="F1390">
        <v>3876.7641600000002</v>
      </c>
      <c r="G1390">
        <f>_xlfn.MAXIFS(Crypto[Close],Crypto[Name],Crypto[[#This Row],[Name]],Crypto[Date],"&lt;="&amp;Crypto[[#This Row],[Date]])</f>
        <v>4831.3486300000004</v>
      </c>
      <c r="H1390" s="3">
        <f>(Crypto[[#This Row],[Close]]/Crypto[[#This Row],[Peak Close]])-1</f>
        <v>-0.19758136766876211</v>
      </c>
      <c r="I1390">
        <v>3980.7602499999998</v>
      </c>
      <c r="J1390" s="1">
        <v>45950</v>
      </c>
      <c r="K1390" s="3">
        <v>-2.6124680580800998E-2</v>
      </c>
      <c r="L1390">
        <v>49960290350</v>
      </c>
      <c r="M1390" s="2" t="s">
        <v>18</v>
      </c>
    </row>
    <row r="1391" spans="1:13" x14ac:dyDescent="0.3">
      <c r="A1391" s="1">
        <v>45952</v>
      </c>
      <c r="B1391" s="2" t="s">
        <v>17</v>
      </c>
      <c r="C1391">
        <v>3877.3630400000002</v>
      </c>
      <c r="D1391">
        <v>3890.6323200000002</v>
      </c>
      <c r="E1391">
        <v>3718.0771500000001</v>
      </c>
      <c r="F1391">
        <v>3808.1223100000002</v>
      </c>
      <c r="G1391">
        <f>_xlfn.MAXIFS(Crypto[Close],Crypto[Name],Crypto[[#This Row],[Name]],Crypto[Date],"&lt;="&amp;Crypto[[#This Row],[Date]])</f>
        <v>4831.3486300000004</v>
      </c>
      <c r="H1391" s="3">
        <f>(Crypto[[#This Row],[Close]]/Crypto[[#This Row],[Peak Close]])-1</f>
        <v>-0.21178896377842227</v>
      </c>
      <c r="I1391">
        <v>3876.7641600000002</v>
      </c>
      <c r="J1391" s="1">
        <v>45951</v>
      </c>
      <c r="K1391" s="3">
        <v>-1.7705964863232702E-2</v>
      </c>
      <c r="L1391">
        <v>46173305673</v>
      </c>
      <c r="M1391" s="2" t="s">
        <v>18</v>
      </c>
    </row>
    <row r="1392" spans="1:13" x14ac:dyDescent="0.3">
      <c r="A1392" s="1">
        <v>45953</v>
      </c>
      <c r="B1392" s="2" t="s">
        <v>17</v>
      </c>
      <c r="C1392">
        <v>3808.0849600000001</v>
      </c>
      <c r="D1392">
        <v>3930.9748500000001</v>
      </c>
      <c r="E1392">
        <v>3801.2414600000002</v>
      </c>
      <c r="F1392">
        <v>3856.02637</v>
      </c>
      <c r="G1392">
        <f>_xlfn.MAXIFS(Crypto[Close],Crypto[Name],Crypto[[#This Row],[Name]],Crypto[Date],"&lt;="&amp;Crypto[[#This Row],[Date]])</f>
        <v>4831.3486300000004</v>
      </c>
      <c r="H1392" s="3">
        <f>(Crypto[[#This Row],[Close]]/Crypto[[#This Row],[Peak Close]])-1</f>
        <v>-0.2018737074662319</v>
      </c>
      <c r="I1392">
        <v>3808.1223100000002</v>
      </c>
      <c r="J1392" s="1">
        <v>45952</v>
      </c>
      <c r="K1392" s="3">
        <v>1.25794436471238E-2</v>
      </c>
      <c r="L1392">
        <v>36361652714</v>
      </c>
      <c r="M1392" s="2" t="s">
        <v>18</v>
      </c>
    </row>
    <row r="1393" spans="1:13" x14ac:dyDescent="0.3">
      <c r="A1393" s="1">
        <v>45954</v>
      </c>
      <c r="B1393" s="2" t="s">
        <v>17</v>
      </c>
      <c r="C1393">
        <v>3856.0331999999999</v>
      </c>
      <c r="D1393">
        <v>4002.5617699999998</v>
      </c>
      <c r="E1393">
        <v>3849.7248500000001</v>
      </c>
      <c r="F1393">
        <v>3934.56738</v>
      </c>
      <c r="G1393">
        <f>_xlfn.MAXIFS(Crypto[Close],Crypto[Name],Crypto[[#This Row],[Name]],Crypto[Date],"&lt;="&amp;Crypto[[#This Row],[Date]])</f>
        <v>4831.3486300000004</v>
      </c>
      <c r="H1393" s="3">
        <f>(Crypto[[#This Row],[Close]]/Crypto[[#This Row],[Peak Close]])-1</f>
        <v>-0.18561716793350103</v>
      </c>
      <c r="I1393">
        <v>3856.02637</v>
      </c>
      <c r="J1393" s="1">
        <v>45953</v>
      </c>
      <c r="K1393" s="3">
        <v>2.0368379897775402E-2</v>
      </c>
      <c r="L1393">
        <v>34090708715</v>
      </c>
      <c r="M1393" s="2" t="s">
        <v>18</v>
      </c>
    </row>
    <row r="1394" spans="1:13" x14ac:dyDescent="0.3">
      <c r="A1394" s="1">
        <v>45955</v>
      </c>
      <c r="B1394" s="2" t="s">
        <v>17</v>
      </c>
      <c r="C1394">
        <v>3934.48999</v>
      </c>
      <c r="D1394">
        <v>3967.6455099999998</v>
      </c>
      <c r="E1394">
        <v>3914.6406299999999</v>
      </c>
      <c r="F1394">
        <v>3953.4709499999999</v>
      </c>
      <c r="G1394">
        <f>_xlfn.MAXIFS(Crypto[Close],Crypto[Name],Crypto[[#This Row],[Name]],Crypto[Date],"&lt;="&amp;Crypto[[#This Row],[Date]])</f>
        <v>4831.3486300000004</v>
      </c>
      <c r="H1394" s="3">
        <f>(Crypto[[#This Row],[Close]]/Crypto[[#This Row],[Peak Close]])-1</f>
        <v>-0.18170447782403165</v>
      </c>
      <c r="I1394">
        <v>3934.56738</v>
      </c>
      <c r="J1394" s="1">
        <v>45954</v>
      </c>
      <c r="K1394" s="3">
        <v>4.8044850104968697E-3</v>
      </c>
      <c r="L1394">
        <v>15245229017</v>
      </c>
      <c r="M1394" s="2" t="s">
        <v>18</v>
      </c>
    </row>
    <row r="1395" spans="1:13" x14ac:dyDescent="0.3">
      <c r="A1395" s="1">
        <v>45956</v>
      </c>
      <c r="B1395" s="2" t="s">
        <v>17</v>
      </c>
      <c r="C1395">
        <v>3953.4372600000002</v>
      </c>
      <c r="D1395">
        <v>4177.3105500000001</v>
      </c>
      <c r="E1395">
        <v>3923.19263</v>
      </c>
      <c r="F1395">
        <v>4157.9892600000003</v>
      </c>
      <c r="G1395">
        <f>_xlfn.MAXIFS(Crypto[Close],Crypto[Name],Crypto[[#This Row],[Name]],Crypto[Date],"&lt;="&amp;Crypto[[#This Row],[Date]])</f>
        <v>4831.3486300000004</v>
      </c>
      <c r="H1395" s="3">
        <f>(Crypto[[#This Row],[Close]]/Crypto[[#This Row],[Peak Close]])-1</f>
        <v>-0.1393729622033093</v>
      </c>
      <c r="I1395">
        <v>3953.4709499999999</v>
      </c>
      <c r="J1395" s="1">
        <v>45955</v>
      </c>
      <c r="K1395" s="3">
        <v>5.1731329908975401E-2</v>
      </c>
      <c r="L1395">
        <v>29120786315</v>
      </c>
      <c r="M1395" s="2" t="s">
        <v>18</v>
      </c>
    </row>
    <row r="1396" spans="1:13" x14ac:dyDescent="0.3">
      <c r="A1396" s="1">
        <v>45957</v>
      </c>
      <c r="B1396" s="2" t="s">
        <v>17</v>
      </c>
      <c r="C1396">
        <v>4158.0107399999997</v>
      </c>
      <c r="D1396">
        <v>4250.6699200000003</v>
      </c>
      <c r="E1396">
        <v>4099.5698199999997</v>
      </c>
      <c r="F1396">
        <v>4120.1220700000003</v>
      </c>
      <c r="G1396">
        <f>_xlfn.MAXIFS(Crypto[Close],Crypto[Name],Crypto[[#This Row],[Name]],Crypto[Date],"&lt;="&amp;Crypto[[#This Row],[Date]])</f>
        <v>4831.3486300000004</v>
      </c>
      <c r="H1396" s="3">
        <f>(Crypto[[#This Row],[Close]]/Crypto[[#This Row],[Peak Close]])-1</f>
        <v>-0.14721077166397745</v>
      </c>
      <c r="I1396">
        <v>4157.9892600000003</v>
      </c>
      <c r="J1396" s="1">
        <v>45956</v>
      </c>
      <c r="K1396" s="3">
        <v>-9.1070918254367791E-3</v>
      </c>
      <c r="L1396">
        <v>40271333201</v>
      </c>
      <c r="M1396" s="2" t="s">
        <v>18</v>
      </c>
    </row>
    <row r="1397" spans="1:13" x14ac:dyDescent="0.3">
      <c r="A1397" s="1">
        <v>45958</v>
      </c>
      <c r="B1397" s="2" t="s">
        <v>17</v>
      </c>
      <c r="C1397">
        <v>4120.2749000000003</v>
      </c>
      <c r="D1397">
        <v>4173.5053699999999</v>
      </c>
      <c r="E1397">
        <v>3940.8342299999999</v>
      </c>
      <c r="F1397">
        <v>3982.2624500000002</v>
      </c>
      <c r="G1397">
        <f>_xlfn.MAXIFS(Crypto[Close],Crypto[Name],Crypto[[#This Row],[Name]],Crypto[Date],"&lt;="&amp;Crypto[[#This Row],[Date]])</f>
        <v>4831.3486300000004</v>
      </c>
      <c r="H1397" s="3">
        <f>(Crypto[[#This Row],[Close]]/Crypto[[#This Row],[Peak Close]])-1</f>
        <v>-0.17574516869423273</v>
      </c>
      <c r="I1397">
        <v>4120.1220700000003</v>
      </c>
      <c r="J1397" s="1">
        <v>45957</v>
      </c>
      <c r="K1397" s="3">
        <v>-3.34600814388007E-2</v>
      </c>
      <c r="L1397">
        <v>39684155177</v>
      </c>
      <c r="M1397" s="2" t="s">
        <v>18</v>
      </c>
    </row>
    <row r="1398" spans="1:13" x14ac:dyDescent="0.3">
      <c r="A1398" s="1">
        <v>45959</v>
      </c>
      <c r="B1398" s="2" t="s">
        <v>17</v>
      </c>
      <c r="C1398">
        <v>3980.7590300000002</v>
      </c>
      <c r="D1398">
        <v>4036.3530300000002</v>
      </c>
      <c r="E1398">
        <v>3849.5388200000002</v>
      </c>
      <c r="F1398">
        <v>3903.3530300000002</v>
      </c>
      <c r="G1398">
        <f>_xlfn.MAXIFS(Crypto[Close],Crypto[Name],Crypto[[#This Row],[Name]],Crypto[Date],"&lt;="&amp;Crypto[[#This Row],[Date]])</f>
        <v>4831.3486300000004</v>
      </c>
      <c r="H1398" s="3">
        <f>(Crypto[[#This Row],[Close]]/Crypto[[#This Row],[Peak Close]])-1</f>
        <v>-0.19207796229766183</v>
      </c>
      <c r="I1398">
        <v>3982.2624500000002</v>
      </c>
      <c r="J1398" s="1">
        <v>45958</v>
      </c>
      <c r="K1398" s="3">
        <v>-1.9815223378860901E-2</v>
      </c>
      <c r="L1398">
        <v>35255876156</v>
      </c>
      <c r="M1398" s="2" t="s">
        <v>18</v>
      </c>
    </row>
    <row r="1399" spans="1:13" x14ac:dyDescent="0.3">
      <c r="A1399" s="1">
        <v>45960</v>
      </c>
      <c r="B1399" s="2" t="s">
        <v>17</v>
      </c>
      <c r="C1399">
        <v>3903.32251</v>
      </c>
      <c r="D1399">
        <v>3948.2226599999999</v>
      </c>
      <c r="E1399">
        <v>3681.90942</v>
      </c>
      <c r="F1399">
        <v>3804.3752399999998</v>
      </c>
      <c r="G1399">
        <f>_xlfn.MAXIFS(Crypto[Close],Crypto[Name],Crypto[[#This Row],[Name]],Crypto[Date],"&lt;="&amp;Crypto[[#This Row],[Date]])</f>
        <v>4831.3486300000004</v>
      </c>
      <c r="H1399" s="3">
        <f>(Crypto[[#This Row],[Close]]/Crypto[[#This Row],[Peak Close]])-1</f>
        <v>-0.21256453811324327</v>
      </c>
      <c r="I1399">
        <v>3903.3530300000002</v>
      </c>
      <c r="J1399" s="1">
        <v>45959</v>
      </c>
      <c r="K1399" s="3">
        <v>-2.5357119696652299E-2</v>
      </c>
      <c r="L1399">
        <v>39981939289</v>
      </c>
      <c r="M1399" s="2" t="s">
        <v>18</v>
      </c>
    </row>
    <row r="1400" spans="1:13" x14ac:dyDescent="0.3">
      <c r="A1400" s="1">
        <v>45961</v>
      </c>
      <c r="B1400" s="2" t="s">
        <v>17</v>
      </c>
      <c r="C1400">
        <v>3805.0827599999998</v>
      </c>
      <c r="D1400">
        <v>3900.58032</v>
      </c>
      <c r="E1400">
        <v>3797.6691900000001</v>
      </c>
      <c r="F1400">
        <v>3847.08032</v>
      </c>
      <c r="G1400">
        <f>_xlfn.MAXIFS(Crypto[Close],Crypto[Name],Crypto[[#This Row],[Name]],Crypto[Date],"&lt;="&amp;Crypto[[#This Row],[Date]])</f>
        <v>4831.3486300000004</v>
      </c>
      <c r="H1400" s="3">
        <f>(Crypto[[#This Row],[Close]]/Crypto[[#This Row],[Peak Close]])-1</f>
        <v>-0.2037253747097113</v>
      </c>
      <c r="I1400">
        <v>3804.3752399999998</v>
      </c>
      <c r="J1400" s="1">
        <v>45960</v>
      </c>
      <c r="K1400" s="3">
        <v>1.12252544257438E-2</v>
      </c>
      <c r="L1400">
        <v>37800100395</v>
      </c>
      <c r="M1400" s="2" t="s">
        <v>18</v>
      </c>
    </row>
    <row r="1401" spans="1:13" x14ac:dyDescent="0.3">
      <c r="A1401" s="1">
        <v>45962</v>
      </c>
      <c r="B1401" s="2" t="s">
        <v>17</v>
      </c>
      <c r="C1401">
        <v>3847.17139</v>
      </c>
      <c r="D1401">
        <v>3906.7802700000002</v>
      </c>
      <c r="E1401">
        <v>3832.6347700000001</v>
      </c>
      <c r="F1401">
        <v>3874.1879899999999</v>
      </c>
      <c r="G1401">
        <f>_xlfn.MAXIFS(Crypto[Close],Crypto[Name],Crypto[[#This Row],[Name]],Crypto[Date],"&lt;="&amp;Crypto[[#This Row],[Date]])</f>
        <v>4831.3486300000004</v>
      </c>
      <c r="H1401" s="3">
        <f>(Crypto[[#This Row],[Close]]/Crypto[[#This Row],[Peak Close]])-1</f>
        <v>-0.19811458731348075</v>
      </c>
      <c r="I1401">
        <v>3847.08032</v>
      </c>
      <c r="J1401" s="1">
        <v>45961</v>
      </c>
      <c r="K1401" s="3">
        <v>7.0462968654628599E-3</v>
      </c>
      <c r="L1401">
        <v>17490279524</v>
      </c>
      <c r="M1401" s="2" t="s">
        <v>18</v>
      </c>
    </row>
    <row r="1402" spans="1:13" x14ac:dyDescent="0.3">
      <c r="A1402" s="1">
        <v>45963</v>
      </c>
      <c r="B1402" s="2" t="s">
        <v>17</v>
      </c>
      <c r="C1402">
        <v>3873.8942900000002</v>
      </c>
      <c r="D1402">
        <v>3914.8754899999999</v>
      </c>
      <c r="E1402">
        <v>3839.9973100000002</v>
      </c>
      <c r="F1402">
        <v>3911.0632300000002</v>
      </c>
      <c r="G1402">
        <f>_xlfn.MAXIFS(Crypto[Close],Crypto[Name],Crypto[[#This Row],[Name]],Crypto[Date],"&lt;="&amp;Crypto[[#This Row],[Date]])</f>
        <v>4831.3486300000004</v>
      </c>
      <c r="H1402" s="3">
        <f>(Crypto[[#This Row],[Close]]/Crypto[[#This Row],[Peak Close]])-1</f>
        <v>-0.19048209319558052</v>
      </c>
      <c r="I1402">
        <v>3874.1879899999999</v>
      </c>
      <c r="J1402" s="1">
        <v>45962</v>
      </c>
      <c r="K1402" s="3">
        <v>9.5181855127273503E-3</v>
      </c>
      <c r="L1402">
        <v>20479611654</v>
      </c>
      <c r="M1402" s="2" t="s">
        <v>18</v>
      </c>
    </row>
    <row r="1403" spans="1:13" x14ac:dyDescent="0.3">
      <c r="A1403" s="1">
        <v>45964</v>
      </c>
      <c r="B1403" s="2" t="s">
        <v>17</v>
      </c>
      <c r="C1403">
        <v>3911.7478000000001</v>
      </c>
      <c r="D1403">
        <v>3912.6333</v>
      </c>
      <c r="E1403">
        <v>3560.2636699999998</v>
      </c>
      <c r="F1403">
        <v>3602.3081099999999</v>
      </c>
      <c r="G1403">
        <f>_xlfn.MAXIFS(Crypto[Close],Crypto[Name],Crypto[[#This Row],[Name]],Crypto[Date],"&lt;="&amp;Crypto[[#This Row],[Date]])</f>
        <v>4831.3486300000004</v>
      </c>
      <c r="H1403" s="3">
        <f>(Crypto[[#This Row],[Close]]/Crypto[[#This Row],[Peak Close]])-1</f>
        <v>-0.25438870471245634</v>
      </c>
      <c r="I1403">
        <v>3911.0632300000002</v>
      </c>
      <c r="J1403" s="1">
        <v>45963</v>
      </c>
      <c r="K1403" s="3">
        <v>-7.8944036913461094E-2</v>
      </c>
      <c r="L1403">
        <v>53091469560</v>
      </c>
      <c r="M1403" s="2" t="s">
        <v>18</v>
      </c>
    </row>
    <row r="1404" spans="1:13" x14ac:dyDescent="0.3">
      <c r="A1404" s="1">
        <v>45965</v>
      </c>
      <c r="B1404" s="2" t="s">
        <v>17</v>
      </c>
      <c r="C1404">
        <v>3602.0407700000001</v>
      </c>
      <c r="D1404">
        <v>3652.6872600000002</v>
      </c>
      <c r="E1404">
        <v>3063.08691</v>
      </c>
      <c r="F1404">
        <v>3292.5744599999998</v>
      </c>
      <c r="G1404">
        <f>_xlfn.MAXIFS(Crypto[Close],Crypto[Name],Crypto[[#This Row],[Name]],Crypto[Date],"&lt;="&amp;Crypto[[#This Row],[Date]])</f>
        <v>4831.3486300000004</v>
      </c>
      <c r="H1404" s="3">
        <f>(Crypto[[#This Row],[Close]]/Crypto[[#This Row],[Peak Close]])-1</f>
        <v>-0.31849785387977692</v>
      </c>
      <c r="I1404">
        <v>3602.3081099999999</v>
      </c>
      <c r="J1404" s="1">
        <v>45964</v>
      </c>
      <c r="K1404" s="3">
        <v>-8.5981998358269293E-2</v>
      </c>
      <c r="L1404">
        <v>76827517773</v>
      </c>
      <c r="M1404" s="2" t="s">
        <v>18</v>
      </c>
    </row>
    <row r="1405" spans="1:13" x14ac:dyDescent="0.3">
      <c r="A1405" s="1">
        <v>45966</v>
      </c>
      <c r="B1405" s="2" t="s">
        <v>17</v>
      </c>
      <c r="C1405">
        <v>3292.1481899999999</v>
      </c>
      <c r="D1405">
        <v>3479.8095699999999</v>
      </c>
      <c r="E1405">
        <v>3170.5139199999999</v>
      </c>
      <c r="F1405">
        <v>3425.1711399999999</v>
      </c>
      <c r="G1405">
        <f>_xlfn.MAXIFS(Crypto[Close],Crypto[Name],Crypto[[#This Row],[Name]],Crypto[Date],"&lt;="&amp;Crypto[[#This Row],[Date]])</f>
        <v>4831.3486300000004</v>
      </c>
      <c r="H1405" s="3">
        <f>(Crypto[[#This Row],[Close]]/Crypto[[#This Row],[Peak Close]])-1</f>
        <v>-0.29105278829774706</v>
      </c>
      <c r="I1405">
        <v>3292.5744599999998</v>
      </c>
      <c r="J1405" s="1">
        <v>45965</v>
      </c>
      <c r="K1405" s="3">
        <v>4.0271429427293802E-2</v>
      </c>
      <c r="L1405">
        <v>46955882330</v>
      </c>
      <c r="M1405" s="2" t="s">
        <v>18</v>
      </c>
    </row>
    <row r="1406" spans="1:13" x14ac:dyDescent="0.3">
      <c r="A1406" s="1">
        <v>45967</v>
      </c>
      <c r="B1406" s="2" t="s">
        <v>17</v>
      </c>
      <c r="C1406">
        <v>3425.3610800000001</v>
      </c>
      <c r="D1406">
        <v>3454.3359399999999</v>
      </c>
      <c r="E1406">
        <v>3245.2817399999999</v>
      </c>
      <c r="F1406">
        <v>3312.2578100000001</v>
      </c>
      <c r="G1406">
        <f>_xlfn.MAXIFS(Crypto[Close],Crypto[Name],Crypto[[#This Row],[Name]],Crypto[Date],"&lt;="&amp;Crypto[[#This Row],[Date]])</f>
        <v>4831.3486300000004</v>
      </c>
      <c r="H1406" s="3">
        <f>(Crypto[[#This Row],[Close]]/Crypto[[#This Row],[Peak Close]])-1</f>
        <v>-0.31442376370177205</v>
      </c>
      <c r="I1406">
        <v>3425.1711399999999</v>
      </c>
      <c r="J1406" s="1">
        <v>45966</v>
      </c>
      <c r="K1406" s="3">
        <v>-3.2965748391772298E-2</v>
      </c>
      <c r="L1406">
        <v>36731850433</v>
      </c>
      <c r="M1406" s="2" t="s">
        <v>18</v>
      </c>
    </row>
    <row r="1407" spans="1:13" x14ac:dyDescent="0.3">
      <c r="A1407" s="1">
        <v>45968</v>
      </c>
      <c r="B1407" s="2" t="s">
        <v>17</v>
      </c>
      <c r="C1407">
        <v>3312.0293000000001</v>
      </c>
      <c r="D1407">
        <v>3471.8049299999998</v>
      </c>
      <c r="E1407">
        <v>3195.8967299999999</v>
      </c>
      <c r="F1407">
        <v>3435.3010300000001</v>
      </c>
      <c r="G1407">
        <f>_xlfn.MAXIFS(Crypto[Close],Crypto[Name],Crypto[[#This Row],[Name]],Crypto[Date],"&lt;="&amp;Crypto[[#This Row],[Date]])</f>
        <v>4831.3486300000004</v>
      </c>
      <c r="H1407" s="3">
        <f>(Crypto[[#This Row],[Close]]/Crypto[[#This Row],[Peak Close]])-1</f>
        <v>-0.28895608802298334</v>
      </c>
      <c r="I1407">
        <v>3312.2578100000001</v>
      </c>
      <c r="J1407" s="1">
        <v>45967</v>
      </c>
      <c r="K1407" s="3">
        <v>3.7147839044570002E-2</v>
      </c>
      <c r="L1407">
        <v>42609994022</v>
      </c>
      <c r="M1407" s="2" t="s">
        <v>18</v>
      </c>
    </row>
    <row r="1408" spans="1:13" x14ac:dyDescent="0.3">
      <c r="A1408" s="1">
        <v>45969</v>
      </c>
      <c r="B1408" s="2" t="s">
        <v>17</v>
      </c>
      <c r="C1408">
        <v>3435.1474600000001</v>
      </c>
      <c r="D1408">
        <v>3482.2683099999999</v>
      </c>
      <c r="E1408">
        <v>3357.7131399999998</v>
      </c>
      <c r="F1408">
        <v>3400.3759799999998</v>
      </c>
      <c r="G1408">
        <f>_xlfn.MAXIFS(Crypto[Close],Crypto[Name],Crypto[[#This Row],[Name]],Crypto[Date],"&lt;="&amp;Crypto[[#This Row],[Date]])</f>
        <v>4831.3486300000004</v>
      </c>
      <c r="H1408" s="3">
        <f>(Crypto[[#This Row],[Close]]/Crypto[[#This Row],[Peak Close]])-1</f>
        <v>-0.29618492880320257</v>
      </c>
      <c r="I1408">
        <v>3435.3010300000001</v>
      </c>
      <c r="J1408" s="1">
        <v>45968</v>
      </c>
      <c r="K1408" s="3">
        <v>-1.01665180707614E-2</v>
      </c>
      <c r="L1408">
        <v>23613870398</v>
      </c>
      <c r="M1408" s="2" t="s">
        <v>18</v>
      </c>
    </row>
    <row r="1409" spans="1:13" x14ac:dyDescent="0.3">
      <c r="A1409" s="1">
        <v>45970</v>
      </c>
      <c r="B1409" s="2" t="s">
        <v>17</v>
      </c>
      <c r="C1409">
        <v>3400.09863</v>
      </c>
      <c r="D1409">
        <v>3616.4370100000001</v>
      </c>
      <c r="E1409">
        <v>3359.7175299999999</v>
      </c>
      <c r="F1409">
        <v>3582.6213400000001</v>
      </c>
      <c r="G1409">
        <f>_xlfn.MAXIFS(Crypto[Close],Crypto[Name],Crypto[[#This Row],[Name]],Crypto[Date],"&lt;="&amp;Crypto[[#This Row],[Date]])</f>
        <v>4831.3486300000004</v>
      </c>
      <c r="H1409" s="3">
        <f>(Crypto[[#This Row],[Close]]/Crypto[[#This Row],[Peak Close]])-1</f>
        <v>-0.2584635027673422</v>
      </c>
      <c r="I1409">
        <v>3400.3759799999998</v>
      </c>
      <c r="J1409" s="1">
        <v>45969</v>
      </c>
      <c r="K1409" s="3">
        <v>5.3595649737533002E-2</v>
      </c>
      <c r="L1409">
        <v>28821543888</v>
      </c>
      <c r="M1409" s="2" t="s">
        <v>18</v>
      </c>
    </row>
    <row r="1410" spans="1:13" x14ac:dyDescent="0.3">
      <c r="A1410" s="1">
        <v>45971</v>
      </c>
      <c r="B1410" s="2" t="s">
        <v>17</v>
      </c>
      <c r="C1410">
        <v>3583.4448200000002</v>
      </c>
      <c r="D1410">
        <v>3656.1489299999998</v>
      </c>
      <c r="E1410">
        <v>3508.9858399999998</v>
      </c>
      <c r="F1410">
        <v>3568.4599600000001</v>
      </c>
      <c r="G1410">
        <f>_xlfn.MAXIFS(Crypto[Close],Crypto[Name],Crypto[[#This Row],[Name]],Crypto[Date],"&lt;="&amp;Crypto[[#This Row],[Date]])</f>
        <v>4831.3486300000004</v>
      </c>
      <c r="H1410" s="3">
        <f>(Crypto[[#This Row],[Close]]/Crypto[[#This Row],[Peak Close]])-1</f>
        <v>-0.26139464706772775</v>
      </c>
      <c r="I1410">
        <v>3582.6213400000001</v>
      </c>
      <c r="J1410" s="1">
        <v>45970</v>
      </c>
      <c r="K1410" s="3">
        <v>-3.9527984277568104E-3</v>
      </c>
      <c r="L1410">
        <v>35638045619</v>
      </c>
      <c r="M1410" s="2" t="s">
        <v>18</v>
      </c>
    </row>
    <row r="1411" spans="1:13" x14ac:dyDescent="0.3">
      <c r="A1411" s="1">
        <v>45972</v>
      </c>
      <c r="B1411" s="2" t="s">
        <v>17</v>
      </c>
      <c r="C1411">
        <v>3568.4726599999999</v>
      </c>
      <c r="D1411">
        <v>3644.5283199999999</v>
      </c>
      <c r="E1411">
        <v>3404.8618200000001</v>
      </c>
      <c r="F1411">
        <v>3415.2822299999998</v>
      </c>
      <c r="G1411">
        <f>_xlfn.MAXIFS(Crypto[Close],Crypto[Name],Crypto[[#This Row],[Name]],Crypto[Date],"&lt;="&amp;Crypto[[#This Row],[Date]])</f>
        <v>4831.3486300000004</v>
      </c>
      <c r="H1411" s="3">
        <f>(Crypto[[#This Row],[Close]]/Crypto[[#This Row],[Peak Close]])-1</f>
        <v>-0.29309961015998975</v>
      </c>
      <c r="I1411">
        <v>3568.4599600000001</v>
      </c>
      <c r="J1411" s="1">
        <v>45971</v>
      </c>
      <c r="K1411" s="3">
        <v>-4.2925444510242002E-2</v>
      </c>
      <c r="L1411">
        <v>39734688531</v>
      </c>
      <c r="M1411" s="2" t="s">
        <v>18</v>
      </c>
    </row>
    <row r="1412" spans="1:13" x14ac:dyDescent="0.3">
      <c r="A1412" s="1">
        <v>45973</v>
      </c>
      <c r="B1412" s="2" t="s">
        <v>17</v>
      </c>
      <c r="C1412">
        <v>3415.7959000000001</v>
      </c>
      <c r="D1412">
        <v>3586.0139199999999</v>
      </c>
      <c r="E1412">
        <v>3373.7116700000001</v>
      </c>
      <c r="F1412">
        <v>3413.0942399999999</v>
      </c>
      <c r="G1412">
        <f>_xlfn.MAXIFS(Crypto[Close],Crypto[Name],Crypto[[#This Row],[Name]],Crypto[Date],"&lt;="&amp;Crypto[[#This Row],[Date]])</f>
        <v>4831.3486300000004</v>
      </c>
      <c r="H1412" s="3">
        <f>(Crypto[[#This Row],[Close]]/Crypto[[#This Row],[Peak Close]])-1</f>
        <v>-0.29355248370888121</v>
      </c>
      <c r="I1412">
        <v>3415.2822299999998</v>
      </c>
      <c r="J1412" s="1">
        <v>45972</v>
      </c>
      <c r="K1412" s="3">
        <v>-6.4064690782521402E-4</v>
      </c>
      <c r="L1412">
        <v>34898956623</v>
      </c>
      <c r="M1412" s="2" t="s">
        <v>18</v>
      </c>
    </row>
    <row r="1413" spans="1:13" x14ac:dyDescent="0.3">
      <c r="A1413" s="1">
        <v>45974</v>
      </c>
      <c r="B1413" s="2" t="s">
        <v>17</v>
      </c>
      <c r="C1413">
        <v>3412.99487</v>
      </c>
      <c r="D1413">
        <v>3561.8608399999998</v>
      </c>
      <c r="E1413">
        <v>3156.0307600000001</v>
      </c>
      <c r="F1413">
        <v>3232.7570799999999</v>
      </c>
      <c r="G1413">
        <f>_xlfn.MAXIFS(Crypto[Close],Crypto[Name],Crypto[[#This Row],[Name]],Crypto[Date],"&lt;="&amp;Crypto[[#This Row],[Date]])</f>
        <v>4831.3486300000004</v>
      </c>
      <c r="H1413" s="3">
        <f>(Crypto[[#This Row],[Close]]/Crypto[[#This Row],[Peak Close]])-1</f>
        <v>-0.33087894756210134</v>
      </c>
      <c r="I1413">
        <v>3413.0942399999999</v>
      </c>
      <c r="J1413" s="1">
        <v>45973</v>
      </c>
      <c r="K1413" s="3">
        <v>-5.2836853400215503E-2</v>
      </c>
      <c r="L1413">
        <v>50283416669</v>
      </c>
      <c r="M1413" s="2" t="s">
        <v>18</v>
      </c>
    </row>
    <row r="1414" spans="1:13" x14ac:dyDescent="0.3">
      <c r="A1414" s="1">
        <v>45975</v>
      </c>
      <c r="B1414" s="2" t="s">
        <v>17</v>
      </c>
      <c r="C1414">
        <v>3232.2951699999999</v>
      </c>
      <c r="D1414">
        <v>3252.6608900000001</v>
      </c>
      <c r="E1414">
        <v>3071.9706999999999</v>
      </c>
      <c r="F1414">
        <v>3103.7856499999998</v>
      </c>
      <c r="G1414">
        <f>_xlfn.MAXIFS(Crypto[Close],Crypto[Name],Crypto[[#This Row],[Name]],Crypto[Date],"&lt;="&amp;Crypto[[#This Row],[Date]])</f>
        <v>4831.3486300000004</v>
      </c>
      <c r="H1414" s="3">
        <f>(Crypto[[#This Row],[Close]]/Crypto[[#This Row],[Peak Close]])-1</f>
        <v>-0.35757365330102464</v>
      </c>
      <c r="I1414">
        <v>3232.7570799999999</v>
      </c>
      <c r="J1414" s="1">
        <v>45974</v>
      </c>
      <c r="K1414" s="3">
        <v>-3.9895181360178202E-2</v>
      </c>
      <c r="L1414">
        <v>47003809463</v>
      </c>
      <c r="M1414" s="2" t="s">
        <v>18</v>
      </c>
    </row>
    <row r="1415" spans="1:13" x14ac:dyDescent="0.3">
      <c r="A1415" s="1">
        <v>45976</v>
      </c>
      <c r="B1415" s="2" t="s">
        <v>17</v>
      </c>
      <c r="C1415">
        <v>3104.2302300000001</v>
      </c>
      <c r="D1415">
        <v>3227.6901899999998</v>
      </c>
      <c r="E1415">
        <v>3104.2302300000001</v>
      </c>
      <c r="F1415">
        <v>3166.6313500000001</v>
      </c>
      <c r="G1415">
        <f>_xlfn.MAXIFS(Crypto[Close],Crypto[Name],Crypto[[#This Row],[Name]],Crypto[Date],"&lt;="&amp;Crypto[[#This Row],[Date]])</f>
        <v>4831.3486300000004</v>
      </c>
      <c r="H1415" s="3">
        <f>(Crypto[[#This Row],[Close]]/Crypto[[#This Row],[Peak Close]])-1</f>
        <v>-0.34456575326877215</v>
      </c>
      <c r="I1415">
        <v>3103.7856499999998</v>
      </c>
      <c r="J1415" s="1">
        <v>45975</v>
      </c>
      <c r="K1415" s="3">
        <v>2.0248079953588401E-2</v>
      </c>
      <c r="L1415">
        <v>19932940649</v>
      </c>
      <c r="M1415" s="2" t="s">
        <v>18</v>
      </c>
    </row>
    <row r="1416" spans="1:13" x14ac:dyDescent="0.3">
      <c r="A1416" s="1">
        <v>45977</v>
      </c>
      <c r="B1416" s="2" t="s">
        <v>17</v>
      </c>
      <c r="C1416">
        <v>3166.7934599999999</v>
      </c>
      <c r="D1416">
        <v>3244.8376499999999</v>
      </c>
      <c r="E1416">
        <v>3007.0727499999998</v>
      </c>
      <c r="F1416">
        <v>3092.8474099999999</v>
      </c>
      <c r="G1416">
        <f>_xlfn.MAXIFS(Crypto[Close],Crypto[Name],Crypto[[#This Row],[Name]],Crypto[Date],"&lt;="&amp;Crypto[[#This Row],[Date]])</f>
        <v>4831.3486300000004</v>
      </c>
      <c r="H1416" s="3">
        <f>(Crypto[[#This Row],[Close]]/Crypto[[#This Row],[Peak Close]])-1</f>
        <v>-0.35983766710704135</v>
      </c>
      <c r="I1416">
        <v>3166.6313500000001</v>
      </c>
      <c r="J1416" s="1">
        <v>45976</v>
      </c>
      <c r="K1416" s="3">
        <v>-2.3300451440297999E-2</v>
      </c>
      <c r="L1416">
        <v>30987886524</v>
      </c>
      <c r="M1416" s="2" t="s">
        <v>18</v>
      </c>
    </row>
    <row r="1417" spans="1:13" x14ac:dyDescent="0.3">
      <c r="A1417" s="1">
        <v>45978</v>
      </c>
      <c r="B1417" s="2" t="s">
        <v>17</v>
      </c>
      <c r="C1417">
        <v>3092.9416500000002</v>
      </c>
      <c r="D1417">
        <v>3218.1303699999999</v>
      </c>
      <c r="E1417">
        <v>2957.3095699999999</v>
      </c>
      <c r="F1417">
        <v>3024.5388200000002</v>
      </c>
      <c r="G1417">
        <f>_xlfn.MAXIFS(Crypto[Close],Crypto[Name],Crypto[[#This Row],[Name]],Crypto[Date],"&lt;="&amp;Crypto[[#This Row],[Date]])</f>
        <v>4831.3486300000004</v>
      </c>
      <c r="H1417" s="3">
        <f>(Crypto[[#This Row],[Close]]/Crypto[[#This Row],[Peak Close]])-1</f>
        <v>-0.37397628454728182</v>
      </c>
      <c r="I1417">
        <v>3092.8474099999999</v>
      </c>
      <c r="J1417" s="1">
        <v>45977</v>
      </c>
      <c r="K1417" s="3">
        <v>-2.2085987746805699E-2</v>
      </c>
      <c r="L1417">
        <v>41026793235</v>
      </c>
      <c r="M1417" s="2" t="s">
        <v>18</v>
      </c>
    </row>
    <row r="1418" spans="1:13" x14ac:dyDescent="0.3">
      <c r="A1418" s="1">
        <v>45979</v>
      </c>
      <c r="B1418" s="2" t="s">
        <v>17</v>
      </c>
      <c r="C1418">
        <v>3024.4140600000001</v>
      </c>
      <c r="D1418">
        <v>3167.93262</v>
      </c>
      <c r="E1418">
        <v>2948.32935</v>
      </c>
      <c r="F1418">
        <v>3122.9789999999998</v>
      </c>
      <c r="G1418">
        <f>_xlfn.MAXIFS(Crypto[Close],Crypto[Name],Crypto[[#This Row],[Name]],Crypto[Date],"&lt;="&amp;Crypto[[#This Row],[Date]])</f>
        <v>4831.3486300000004</v>
      </c>
      <c r="H1418" s="3">
        <f>(Crypto[[#This Row],[Close]]/Crypto[[#This Row],[Peak Close]])-1</f>
        <v>-0.35360098407967722</v>
      </c>
      <c r="I1418">
        <v>3024.5388200000002</v>
      </c>
      <c r="J1418" s="1">
        <v>45978</v>
      </c>
      <c r="K1418" s="3">
        <v>3.2547170282310897E-2</v>
      </c>
      <c r="L1418">
        <v>41581494270</v>
      </c>
      <c r="M1418" s="2" t="s">
        <v>18</v>
      </c>
    </row>
    <row r="1419" spans="1:13" x14ac:dyDescent="0.3">
      <c r="A1419" s="1">
        <v>45980</v>
      </c>
      <c r="B1419" s="2" t="s">
        <v>17</v>
      </c>
      <c r="C1419">
        <v>3122.6460000000002</v>
      </c>
      <c r="D1419">
        <v>3122.6460000000002</v>
      </c>
      <c r="E1419">
        <v>2871.2280300000002</v>
      </c>
      <c r="F1419">
        <v>3023.0708</v>
      </c>
      <c r="G1419">
        <f>_xlfn.MAXIFS(Crypto[Close],Crypto[Name],Crypto[[#This Row],[Name]],Crypto[Date],"&lt;="&amp;Crypto[[#This Row],[Date]])</f>
        <v>4831.3486300000004</v>
      </c>
      <c r="H1419" s="3">
        <f>(Crypto[[#This Row],[Close]]/Crypto[[#This Row],[Peak Close]])-1</f>
        <v>-0.37428013759379652</v>
      </c>
      <c r="I1419">
        <v>3122.9789999999998</v>
      </c>
      <c r="J1419" s="1">
        <v>45979</v>
      </c>
      <c r="K1419" s="3">
        <v>-3.1991313422216401E-2</v>
      </c>
      <c r="L1419">
        <v>40229739844</v>
      </c>
      <c r="M1419" s="2" t="s">
        <v>18</v>
      </c>
    </row>
    <row r="1420" spans="1:13" x14ac:dyDescent="0.3">
      <c r="A1420" s="1">
        <v>45981</v>
      </c>
      <c r="B1420" s="2" t="s">
        <v>17</v>
      </c>
      <c r="C1420">
        <v>3022.8854999999999</v>
      </c>
      <c r="D1420">
        <v>3057.7885700000002</v>
      </c>
      <c r="E1420">
        <v>2790.5979000000002</v>
      </c>
      <c r="F1420">
        <v>2831.7775900000001</v>
      </c>
      <c r="G1420">
        <f>_xlfn.MAXIFS(Crypto[Close],Crypto[Name],Crypto[[#This Row],[Name]],Crypto[Date],"&lt;="&amp;Crypto[[#This Row],[Date]])</f>
        <v>4831.3486300000004</v>
      </c>
      <c r="H1420" s="3">
        <f>(Crypto[[#This Row],[Close]]/Crypto[[#This Row],[Peak Close]])-1</f>
        <v>-0.41387430159433558</v>
      </c>
      <c r="I1420">
        <v>3023.0708</v>
      </c>
      <c r="J1420" s="1">
        <v>45980</v>
      </c>
      <c r="K1420" s="3">
        <v>-6.3277780328532096E-2</v>
      </c>
      <c r="L1420">
        <v>43917885207</v>
      </c>
      <c r="M1420" s="2" t="s">
        <v>18</v>
      </c>
    </row>
    <row r="1421" spans="1:13" x14ac:dyDescent="0.3">
      <c r="A1421" s="1">
        <v>45982</v>
      </c>
      <c r="B1421" s="2" t="s">
        <v>17</v>
      </c>
      <c r="C1421">
        <v>2829.2646500000001</v>
      </c>
      <c r="D1421">
        <v>2880.6030300000002</v>
      </c>
      <c r="E1421">
        <v>2626.87158</v>
      </c>
      <c r="F1421">
        <v>2765.69922</v>
      </c>
      <c r="G1421">
        <f>_xlfn.MAXIFS(Crypto[Close],Crypto[Name],Crypto[[#This Row],[Name]],Crypto[Date],"&lt;="&amp;Crypto[[#This Row],[Date]])</f>
        <v>4831.3486300000004</v>
      </c>
      <c r="H1421" s="3">
        <f>(Crypto[[#This Row],[Close]]/Crypto[[#This Row],[Peak Close]])-1</f>
        <v>-0.42755130465507318</v>
      </c>
      <c r="I1421">
        <v>2831.7775900000001</v>
      </c>
      <c r="J1421" s="1">
        <v>45981</v>
      </c>
      <c r="K1421" s="3">
        <v>-2.33345903411857E-2</v>
      </c>
      <c r="L1421">
        <v>51476486049</v>
      </c>
      <c r="M1421" s="2" t="s">
        <v>18</v>
      </c>
    </row>
    <row r="1422" spans="1:13" x14ac:dyDescent="0.3">
      <c r="A1422" s="1">
        <v>45983</v>
      </c>
      <c r="B1422" s="2" t="s">
        <v>17</v>
      </c>
      <c r="C1422">
        <v>2766.09058</v>
      </c>
      <c r="D1422">
        <v>2795.4267599999998</v>
      </c>
      <c r="E1422">
        <v>2704.5021999999999</v>
      </c>
      <c r="F1422">
        <v>2767.6074199999998</v>
      </c>
      <c r="G1422">
        <f>_xlfn.MAXIFS(Crypto[Close],Crypto[Name],Crypto[[#This Row],[Name]],Crypto[Date],"&lt;="&amp;Crypto[[#This Row],[Date]])</f>
        <v>4831.3486300000004</v>
      </c>
      <c r="H1422" s="3">
        <f>(Crypto[[#This Row],[Close]]/Crypto[[#This Row],[Peak Close]])-1</f>
        <v>-0.42715634247243306</v>
      </c>
      <c r="I1422">
        <v>2765.69922</v>
      </c>
      <c r="J1422" s="1">
        <v>45982</v>
      </c>
      <c r="K1422" s="3">
        <v>6.8995210549318198E-4</v>
      </c>
      <c r="L1422">
        <v>15408928941</v>
      </c>
      <c r="M1422" s="2" t="s">
        <v>18</v>
      </c>
    </row>
    <row r="1423" spans="1:13" x14ac:dyDescent="0.3">
      <c r="A1423" s="1">
        <v>45984</v>
      </c>
      <c r="B1423" s="2" t="s">
        <v>17</v>
      </c>
      <c r="C1423">
        <v>2767.5949700000001</v>
      </c>
      <c r="D1423">
        <v>2856.4465300000002</v>
      </c>
      <c r="E1423">
        <v>2767.4729000000002</v>
      </c>
      <c r="F1423">
        <v>2801.6760300000001</v>
      </c>
      <c r="G1423">
        <f>_xlfn.MAXIFS(Crypto[Close],Crypto[Name],Crypto[[#This Row],[Name]],Crypto[Date],"&lt;="&amp;Crypto[[#This Row],[Date]])</f>
        <v>4831.3486300000004</v>
      </c>
      <c r="H1423" s="3">
        <f>(Crypto[[#This Row],[Close]]/Crypto[[#This Row],[Peak Close]])-1</f>
        <v>-0.42010476896592741</v>
      </c>
      <c r="I1423">
        <v>2767.6074199999998</v>
      </c>
      <c r="J1423" s="1">
        <v>45983</v>
      </c>
      <c r="K1423" s="3">
        <v>1.23097697143767E-2</v>
      </c>
      <c r="L1423">
        <v>20358404499</v>
      </c>
      <c r="M1423" s="2" t="s">
        <v>18</v>
      </c>
    </row>
    <row r="1424" spans="1:13" x14ac:dyDescent="0.3">
      <c r="A1424" s="1">
        <v>45985</v>
      </c>
      <c r="B1424" s="2" t="s">
        <v>17</v>
      </c>
      <c r="C1424">
        <v>2801.20435</v>
      </c>
      <c r="D1424">
        <v>2982.8220200000001</v>
      </c>
      <c r="E1424">
        <v>2763.3779300000001</v>
      </c>
      <c r="F1424">
        <v>2952.7133800000001</v>
      </c>
      <c r="G1424">
        <f>_xlfn.MAXIFS(Crypto[Close],Crypto[Name],Crypto[[#This Row],[Name]],Crypto[Date],"&lt;="&amp;Crypto[[#This Row],[Date]])</f>
        <v>4831.3486300000004</v>
      </c>
      <c r="H1424" s="3">
        <f>(Crypto[[#This Row],[Close]]/Crypto[[#This Row],[Peak Close]])-1</f>
        <v>-0.38884282503123768</v>
      </c>
      <c r="I1424">
        <v>2801.6760300000001</v>
      </c>
      <c r="J1424" s="1">
        <v>45984</v>
      </c>
      <c r="K1424" s="3">
        <v>5.3909641365636397E-2</v>
      </c>
      <c r="L1424">
        <v>32491657389</v>
      </c>
      <c r="M1424" s="2" t="s">
        <v>18</v>
      </c>
    </row>
    <row r="1425" spans="1:13" x14ac:dyDescent="0.3">
      <c r="A1425" s="1">
        <v>45986</v>
      </c>
      <c r="B1425" s="2" t="s">
        <v>17</v>
      </c>
      <c r="C1425">
        <v>2952.5844699999998</v>
      </c>
      <c r="D1425">
        <v>2978.70435</v>
      </c>
      <c r="E1425">
        <v>2857.8359399999999</v>
      </c>
      <c r="F1425">
        <v>2957.9362799999999</v>
      </c>
      <c r="G1425">
        <f>_xlfn.MAXIFS(Crypto[Close],Crypto[Name],Crypto[[#This Row],[Name]],Crypto[Date],"&lt;="&amp;Crypto[[#This Row],[Date]])</f>
        <v>4831.3486300000004</v>
      </c>
      <c r="H1425" s="3">
        <f>(Crypto[[#This Row],[Close]]/Crypto[[#This Row],[Peak Close]])-1</f>
        <v>-0.38776178112404203</v>
      </c>
      <c r="I1425">
        <v>2952.7133800000001</v>
      </c>
      <c r="J1425" s="1">
        <v>45985</v>
      </c>
      <c r="K1425" s="3">
        <v>1.76884760822933E-3</v>
      </c>
      <c r="L1425">
        <v>23336017779</v>
      </c>
      <c r="M1425" s="2" t="s">
        <v>18</v>
      </c>
    </row>
    <row r="1426" spans="1:13" x14ac:dyDescent="0.3">
      <c r="A1426" s="1">
        <v>45987</v>
      </c>
      <c r="B1426" s="2" t="s">
        <v>17</v>
      </c>
      <c r="C1426">
        <v>2958.3295899999998</v>
      </c>
      <c r="D1426">
        <v>3043.9270000000001</v>
      </c>
      <c r="E1426">
        <v>2889.8906299999999</v>
      </c>
      <c r="F1426">
        <v>3027.8120100000001</v>
      </c>
      <c r="G1426">
        <f>_xlfn.MAXIFS(Crypto[Close],Crypto[Name],Crypto[[#This Row],[Name]],Crypto[Date],"&lt;="&amp;Crypto[[#This Row],[Date]])</f>
        <v>4831.3486300000004</v>
      </c>
      <c r="H1426" s="3">
        <f>(Crypto[[#This Row],[Close]]/Crypto[[#This Row],[Peak Close]])-1</f>
        <v>-0.37329879462662585</v>
      </c>
      <c r="I1426">
        <v>2957.9362799999999</v>
      </c>
      <c r="J1426" s="1">
        <v>45986</v>
      </c>
      <c r="K1426" s="3">
        <v>2.3623135654565301E-2</v>
      </c>
      <c r="L1426">
        <v>21433162961</v>
      </c>
      <c r="M1426" s="2" t="s">
        <v>18</v>
      </c>
    </row>
    <row r="1427" spans="1:13" x14ac:dyDescent="0.3">
      <c r="A1427" s="1">
        <v>45988</v>
      </c>
      <c r="B1427" s="2" t="s">
        <v>17</v>
      </c>
      <c r="C1427">
        <v>3027.79907</v>
      </c>
      <c r="D1427">
        <v>3070.7319299999999</v>
      </c>
      <c r="E1427">
        <v>2987.1977499999998</v>
      </c>
      <c r="F1427">
        <v>3014.5422400000002</v>
      </c>
      <c r="G1427">
        <f>_xlfn.MAXIFS(Crypto[Close],Crypto[Name],Crypto[[#This Row],[Name]],Crypto[Date],"&lt;="&amp;Crypto[[#This Row],[Date]])</f>
        <v>4831.3486300000004</v>
      </c>
      <c r="H1427" s="3">
        <f>(Crypto[[#This Row],[Close]]/Crypto[[#This Row],[Peak Close]])-1</f>
        <v>-0.3760453921123883</v>
      </c>
      <c r="I1427">
        <v>3027.8120100000001</v>
      </c>
      <c r="J1427" s="1">
        <v>45987</v>
      </c>
      <c r="K1427" s="3">
        <v>-4.3826267800555702E-3</v>
      </c>
      <c r="L1427">
        <v>16972780500</v>
      </c>
      <c r="M1427" s="2" t="s">
        <v>18</v>
      </c>
    </row>
    <row r="1428" spans="1:13" x14ac:dyDescent="0.3">
      <c r="A1428" s="1">
        <v>45989</v>
      </c>
      <c r="B1428" s="2" t="s">
        <v>17</v>
      </c>
      <c r="C1428">
        <v>3014.5437000000002</v>
      </c>
      <c r="D1428">
        <v>3095.0331999999999</v>
      </c>
      <c r="E1428">
        <v>2995.76514</v>
      </c>
      <c r="F1428">
        <v>3032.3044399999999</v>
      </c>
      <c r="G1428">
        <f>_xlfn.MAXIFS(Crypto[Close],Crypto[Name],Crypto[[#This Row],[Name]],Crypto[Date],"&lt;="&amp;Crypto[[#This Row],[Date]])</f>
        <v>4831.3486300000004</v>
      </c>
      <c r="H1428" s="3">
        <f>(Crypto[[#This Row],[Close]]/Crypto[[#This Row],[Peak Close]])-1</f>
        <v>-0.37236894452802105</v>
      </c>
      <c r="I1428">
        <v>3014.5422400000002</v>
      </c>
      <c r="J1428" s="1">
        <v>45988</v>
      </c>
      <c r="K1428" s="3">
        <v>5.8921715424361297E-3</v>
      </c>
      <c r="L1428">
        <v>20659958964</v>
      </c>
      <c r="M1428" s="2" t="s">
        <v>18</v>
      </c>
    </row>
    <row r="1429" spans="1:13" x14ac:dyDescent="0.3">
      <c r="A1429" s="1">
        <v>45990</v>
      </c>
      <c r="B1429" s="2" t="s">
        <v>17</v>
      </c>
      <c r="C1429">
        <v>3032.2954100000002</v>
      </c>
      <c r="D1429">
        <v>3051.9628899999998</v>
      </c>
      <c r="E1429">
        <v>2966.8508299999999</v>
      </c>
      <c r="F1429">
        <v>2991.6853000000001</v>
      </c>
      <c r="G1429">
        <f>_xlfn.MAXIFS(Crypto[Close],Crypto[Name],Crypto[[#This Row],[Name]],Crypto[Date],"&lt;="&amp;Crypto[[#This Row],[Date]])</f>
        <v>4831.3486300000004</v>
      </c>
      <c r="H1429" s="3">
        <f>(Crypto[[#This Row],[Close]]/Crypto[[#This Row],[Peak Close]])-1</f>
        <v>-0.38077635684924693</v>
      </c>
      <c r="I1429">
        <v>3032.3044399999999</v>
      </c>
      <c r="J1429" s="1">
        <v>45989</v>
      </c>
      <c r="K1429" s="3">
        <v>-1.33954689589149E-2</v>
      </c>
      <c r="L1429">
        <v>12775481230</v>
      </c>
      <c r="M1429" s="2" t="s">
        <v>18</v>
      </c>
    </row>
    <row r="1430" spans="1:13" x14ac:dyDescent="0.3">
      <c r="A1430" s="1">
        <v>45991</v>
      </c>
      <c r="B1430" s="2" t="s">
        <v>17</v>
      </c>
      <c r="C1430">
        <v>2991.3752399999998</v>
      </c>
      <c r="D1430">
        <v>3051.5979000000002</v>
      </c>
      <c r="E1430">
        <v>2978.8261699999998</v>
      </c>
      <c r="F1430">
        <v>2992.1125499999998</v>
      </c>
      <c r="G1430">
        <f>_xlfn.MAXIFS(Crypto[Close],Crypto[Name],Crypto[[#This Row],[Name]],Crypto[Date],"&lt;="&amp;Crypto[[#This Row],[Date]])</f>
        <v>4831.3486300000004</v>
      </c>
      <c r="H1430" s="3">
        <f>(Crypto[[#This Row],[Close]]/Crypto[[#This Row],[Peak Close]])-1</f>
        <v>-0.38068792398448803</v>
      </c>
      <c r="I1430">
        <v>2991.6853000000001</v>
      </c>
      <c r="J1430" s="1">
        <v>45990</v>
      </c>
      <c r="K1430" s="3">
        <v>1.42812480978441E-4</v>
      </c>
      <c r="L1430">
        <v>11530446514</v>
      </c>
      <c r="M1430" s="2" t="s">
        <v>18</v>
      </c>
    </row>
    <row r="1431" spans="1:13" x14ac:dyDescent="0.3">
      <c r="A1431" s="1">
        <v>45992</v>
      </c>
      <c r="B1431" s="2" t="s">
        <v>17</v>
      </c>
      <c r="C1431">
        <v>2991.9231</v>
      </c>
      <c r="D1431">
        <v>2996.88184</v>
      </c>
      <c r="E1431">
        <v>2720.4365200000002</v>
      </c>
      <c r="F1431">
        <v>2800.1889700000002</v>
      </c>
      <c r="G1431">
        <f>_xlfn.MAXIFS(Crypto[Close],Crypto[Name],Crypto[[#This Row],[Name]],Crypto[Date],"&lt;="&amp;Crypto[[#This Row],[Date]])</f>
        <v>4831.3486300000004</v>
      </c>
      <c r="H1431" s="3">
        <f>(Crypto[[#This Row],[Close]]/Crypto[[#This Row],[Peak Close]])-1</f>
        <v>-0.42041256294104368</v>
      </c>
      <c r="I1431">
        <v>2992.1125499999998</v>
      </c>
      <c r="J1431" s="1">
        <v>45991</v>
      </c>
      <c r="K1431" s="3">
        <v>-6.4143168678597901E-2</v>
      </c>
      <c r="L1431">
        <v>36679598313</v>
      </c>
      <c r="M1431" s="2" t="s">
        <v>18</v>
      </c>
    </row>
    <row r="1432" spans="1:13" x14ac:dyDescent="0.3">
      <c r="A1432" s="1">
        <v>45993</v>
      </c>
      <c r="B1432" s="2" t="s">
        <v>17</v>
      </c>
      <c r="C1432">
        <v>2800.2231499999998</v>
      </c>
      <c r="D1432">
        <v>3032.7612300000001</v>
      </c>
      <c r="E1432">
        <v>2784.3906299999999</v>
      </c>
      <c r="F1432">
        <v>2997.9396999999999</v>
      </c>
      <c r="G1432">
        <f>_xlfn.MAXIFS(Crypto[Close],Crypto[Name],Crypto[[#This Row],[Name]],Crypto[Date],"&lt;="&amp;Crypto[[#This Row],[Date]])</f>
        <v>4831.3486300000004</v>
      </c>
      <c r="H1432" s="3">
        <f>(Crypto[[#This Row],[Close]]/Crypto[[#This Row],[Peak Close]])-1</f>
        <v>-0.37948181147921023</v>
      </c>
      <c r="I1432">
        <v>2800.1889700000002</v>
      </c>
      <c r="J1432" s="1">
        <v>45992</v>
      </c>
      <c r="K1432" s="3">
        <v>7.0620494587549099E-2</v>
      </c>
      <c r="L1432">
        <v>26593645111</v>
      </c>
      <c r="M1432" s="2" t="s">
        <v>18</v>
      </c>
    </row>
    <row r="1433" spans="1:13" x14ac:dyDescent="0.3">
      <c r="A1433" s="1">
        <v>45994</v>
      </c>
      <c r="B1433" s="2" t="s">
        <v>17</v>
      </c>
      <c r="C1433">
        <v>2997.8015099999998</v>
      </c>
      <c r="D1433">
        <v>3212.5598100000002</v>
      </c>
      <c r="E1433">
        <v>2988.1420899999998</v>
      </c>
      <c r="F1433">
        <v>3191.5717800000002</v>
      </c>
      <c r="G1433">
        <f>_xlfn.MAXIFS(Crypto[Close],Crypto[Name],Crypto[[#This Row],[Name]],Crypto[Date],"&lt;="&amp;Crypto[[#This Row],[Date]])</f>
        <v>4831.3486300000004</v>
      </c>
      <c r="H1433" s="3">
        <f>(Crypto[[#This Row],[Close]]/Crypto[[#This Row],[Peak Close]])-1</f>
        <v>-0.33940354455439081</v>
      </c>
      <c r="I1433">
        <v>2997.9396999999999</v>
      </c>
      <c r="J1433" s="1">
        <v>45993</v>
      </c>
      <c r="K1433" s="3">
        <v>6.4588383815725306E-2</v>
      </c>
      <c r="L1433">
        <v>29949301036</v>
      </c>
      <c r="M1433" s="2" t="s">
        <v>18</v>
      </c>
    </row>
    <row r="1434" spans="1:13" x14ac:dyDescent="0.3">
      <c r="A1434" s="1">
        <v>45995</v>
      </c>
      <c r="B1434" s="2" t="s">
        <v>17</v>
      </c>
      <c r="C1434">
        <v>3188.3435100000002</v>
      </c>
      <c r="D1434">
        <v>3238.5554200000001</v>
      </c>
      <c r="E1434">
        <v>3071.3100599999998</v>
      </c>
      <c r="F1434">
        <v>3134.3164099999999</v>
      </c>
      <c r="G1434">
        <f>_xlfn.MAXIFS(Crypto[Close],Crypto[Name],Crypto[[#This Row],[Name]],Crypto[Date],"&lt;="&amp;Crypto[[#This Row],[Date]])</f>
        <v>4831.3486300000004</v>
      </c>
      <c r="H1434" s="3">
        <f>(Crypto[[#This Row],[Close]]/Crypto[[#This Row],[Peak Close]])-1</f>
        <v>-0.3512543494506627</v>
      </c>
      <c r="I1434">
        <v>3191.5717800000002</v>
      </c>
      <c r="J1434" s="1">
        <v>45994</v>
      </c>
      <c r="K1434" s="3">
        <v>-1.79395526551498E-2</v>
      </c>
      <c r="L1434">
        <v>27434991113</v>
      </c>
      <c r="M1434" s="2" t="s">
        <v>18</v>
      </c>
    </row>
    <row r="1435" spans="1:13" x14ac:dyDescent="0.3">
      <c r="A1435" s="1">
        <v>45996</v>
      </c>
      <c r="B1435" s="2" t="s">
        <v>17</v>
      </c>
      <c r="C1435">
        <v>3134.3574199999998</v>
      </c>
      <c r="D1435">
        <v>3192.45703</v>
      </c>
      <c r="E1435">
        <v>2989.8315400000001</v>
      </c>
      <c r="F1435">
        <v>3024.4328599999999</v>
      </c>
      <c r="G1435">
        <f>_xlfn.MAXIFS(Crypto[Close],Crypto[Name],Crypto[[#This Row],[Name]],Crypto[Date],"&lt;="&amp;Crypto[[#This Row],[Date]])</f>
        <v>4831.3486300000004</v>
      </c>
      <c r="H1435" s="3">
        <f>(Crypto[[#This Row],[Close]]/Crypto[[#This Row],[Peak Close]])-1</f>
        <v>-0.37399821631170516</v>
      </c>
      <c r="I1435">
        <v>3134.3164099999999</v>
      </c>
      <c r="J1435" s="1">
        <v>45995</v>
      </c>
      <c r="K1435" s="3">
        <v>-3.5058218643598899E-2</v>
      </c>
      <c r="L1435">
        <v>28000268228</v>
      </c>
      <c r="M1435" s="2" t="s">
        <v>18</v>
      </c>
    </row>
    <row r="1436" spans="1:13" x14ac:dyDescent="0.3">
      <c r="A1436" s="1">
        <v>45997</v>
      </c>
      <c r="B1436" s="2" t="s">
        <v>17</v>
      </c>
      <c r="C1436">
        <v>3024.4875499999998</v>
      </c>
      <c r="D1436">
        <v>3067.66138</v>
      </c>
      <c r="E1436">
        <v>3013.9819299999999</v>
      </c>
      <c r="F1436">
        <v>3040.2077599999998</v>
      </c>
      <c r="G1436">
        <f>_xlfn.MAXIFS(Crypto[Close],Crypto[Name],Crypto[[#This Row],[Name]],Crypto[Date],"&lt;="&amp;Crypto[[#This Row],[Date]])</f>
        <v>4831.3486300000004</v>
      </c>
      <c r="H1436" s="3">
        <f>(Crypto[[#This Row],[Close]]/Crypto[[#This Row],[Peak Close]])-1</f>
        <v>-0.37073310315012409</v>
      </c>
      <c r="I1436">
        <v>3024.4328599999999</v>
      </c>
      <c r="J1436" s="1">
        <v>45996</v>
      </c>
      <c r="K1436" s="3">
        <v>5.2158208597164503E-3</v>
      </c>
      <c r="L1436">
        <v>10962819760</v>
      </c>
      <c r="M1436" s="2" t="s">
        <v>18</v>
      </c>
    </row>
    <row r="1437" spans="1:13" x14ac:dyDescent="0.3">
      <c r="A1437" s="1">
        <v>45998</v>
      </c>
      <c r="B1437" s="2" t="s">
        <v>17</v>
      </c>
      <c r="C1437">
        <v>3040.1792</v>
      </c>
      <c r="D1437">
        <v>3148.7734399999999</v>
      </c>
      <c r="E1437">
        <v>2930.6452599999998</v>
      </c>
      <c r="F1437">
        <v>3061.3017599999998</v>
      </c>
      <c r="G1437">
        <f>_xlfn.MAXIFS(Crypto[Close],Crypto[Name],Crypto[[#This Row],[Name]],Crypto[Date],"&lt;="&amp;Crypto[[#This Row],[Date]])</f>
        <v>4831.3486300000004</v>
      </c>
      <c r="H1437" s="3">
        <f>(Crypto[[#This Row],[Close]]/Crypto[[#This Row],[Peak Close]])-1</f>
        <v>-0.36636703445679519</v>
      </c>
      <c r="I1437">
        <v>3040.2077599999998</v>
      </c>
      <c r="J1437" s="1">
        <v>45997</v>
      </c>
      <c r="K1437" s="3">
        <v>6.9383416086011397E-3</v>
      </c>
      <c r="L1437">
        <v>20383496376</v>
      </c>
      <c r="M1437" s="2" t="s">
        <v>18</v>
      </c>
    </row>
    <row r="1438" spans="1:13" x14ac:dyDescent="0.3">
      <c r="A1438" s="1">
        <v>45999</v>
      </c>
      <c r="B1438" s="2" t="s">
        <v>17</v>
      </c>
      <c r="C1438">
        <v>3061.0136699999998</v>
      </c>
      <c r="D1438">
        <v>3177.8676799999998</v>
      </c>
      <c r="E1438">
        <v>3043.7038600000001</v>
      </c>
      <c r="F1438">
        <v>3125.1979999999999</v>
      </c>
      <c r="G1438">
        <f>_xlfn.MAXIFS(Crypto[Close],Crypto[Name],Crypto[[#This Row],[Name]],Crypto[Date],"&lt;="&amp;Crypto[[#This Row],[Date]])</f>
        <v>4831.3486300000004</v>
      </c>
      <c r="H1438" s="3">
        <f>(Crypto[[#This Row],[Close]]/Crypto[[#This Row],[Peak Close]])-1</f>
        <v>-0.3531416920331002</v>
      </c>
      <c r="I1438">
        <v>3061.3017599999998</v>
      </c>
      <c r="J1438" s="1">
        <v>45998</v>
      </c>
      <c r="K1438" s="3">
        <v>2.08722448844769E-2</v>
      </c>
      <c r="L1438">
        <v>25262165670</v>
      </c>
      <c r="M1438" s="2" t="s">
        <v>18</v>
      </c>
    </row>
    <row r="1439" spans="1:13" x14ac:dyDescent="0.3">
      <c r="A1439" s="1">
        <v>46000</v>
      </c>
      <c r="B1439" s="2" t="s">
        <v>17</v>
      </c>
      <c r="C1439">
        <v>3124.94263</v>
      </c>
      <c r="D1439">
        <v>3395.83862</v>
      </c>
      <c r="E1439">
        <v>3092.8764700000002</v>
      </c>
      <c r="F1439">
        <v>3321.11499</v>
      </c>
      <c r="G1439">
        <f>_xlfn.MAXIFS(Crypto[Close],Crypto[Name],Crypto[[#This Row],[Name]],Crypto[Date],"&lt;="&amp;Crypto[[#This Row],[Date]])</f>
        <v>4831.3486300000004</v>
      </c>
      <c r="H1439" s="3">
        <f>(Crypto[[#This Row],[Close]]/Crypto[[#This Row],[Peak Close]])-1</f>
        <v>-0.31259049090812563</v>
      </c>
      <c r="I1439">
        <v>3125.1979999999999</v>
      </c>
      <c r="J1439" s="1">
        <v>45999</v>
      </c>
      <c r="K1439" s="3">
        <v>6.2689464795510602E-2</v>
      </c>
      <c r="L1439">
        <v>32012553374</v>
      </c>
      <c r="M1439" s="2" t="s">
        <v>18</v>
      </c>
    </row>
    <row r="1440" spans="1:13" x14ac:dyDescent="0.3">
      <c r="A1440" s="1">
        <v>46001</v>
      </c>
      <c r="B1440" s="2" t="s">
        <v>17</v>
      </c>
      <c r="C1440">
        <v>3321.2040999999999</v>
      </c>
      <c r="D1440">
        <v>3446.6228000000001</v>
      </c>
      <c r="E1440">
        <v>3290.1469699999998</v>
      </c>
      <c r="F1440">
        <v>3325.39014</v>
      </c>
      <c r="G1440">
        <f>_xlfn.MAXIFS(Crypto[Close],Crypto[Name],Crypto[[#This Row],[Name]],Crypto[Date],"&lt;="&amp;Crypto[[#This Row],[Date]])</f>
        <v>4831.3486300000004</v>
      </c>
      <c r="H1440" s="3">
        <f>(Crypto[[#This Row],[Close]]/Crypto[[#This Row],[Peak Close]])-1</f>
        <v>-0.31170561375944428</v>
      </c>
      <c r="I1440">
        <v>3321.11499</v>
      </c>
      <c r="J1440" s="1">
        <v>46000</v>
      </c>
      <c r="K1440" s="3">
        <v>1.28726346810411E-3</v>
      </c>
      <c r="L1440">
        <v>30694387989</v>
      </c>
      <c r="M1440" s="2" t="s">
        <v>18</v>
      </c>
    </row>
    <row r="1441" spans="1:13" x14ac:dyDescent="0.3">
      <c r="A1441" s="1">
        <v>46002</v>
      </c>
      <c r="B1441" s="2" t="s">
        <v>17</v>
      </c>
      <c r="C1441">
        <v>3324.38672</v>
      </c>
      <c r="D1441">
        <v>3327.3444800000002</v>
      </c>
      <c r="E1441">
        <v>3149.03442</v>
      </c>
      <c r="F1441">
        <v>3237.0568899999998</v>
      </c>
      <c r="G1441">
        <f>_xlfn.MAXIFS(Crypto[Close],Crypto[Name],Crypto[[#This Row],[Name]],Crypto[Date],"&lt;="&amp;Crypto[[#This Row],[Date]])</f>
        <v>4831.3486300000004</v>
      </c>
      <c r="H1441" s="3">
        <f>(Crypto[[#This Row],[Close]]/Crypto[[#This Row],[Peak Close]])-1</f>
        <v>-0.32998896624854013</v>
      </c>
      <c r="I1441">
        <v>3325.39014</v>
      </c>
      <c r="J1441" s="1">
        <v>46001</v>
      </c>
      <c r="K1441" s="3">
        <v>-2.6563274166681701E-2</v>
      </c>
      <c r="L1441">
        <v>29066243707</v>
      </c>
      <c r="M1441" s="2" t="s">
        <v>18</v>
      </c>
    </row>
    <row r="1442" spans="1:13" x14ac:dyDescent="0.3">
      <c r="A1442" s="1">
        <v>46003</v>
      </c>
      <c r="B1442" s="2" t="s">
        <v>17</v>
      </c>
      <c r="C1442">
        <v>3237.0256399999998</v>
      </c>
      <c r="D1442">
        <v>3265.3725599999998</v>
      </c>
      <c r="E1442">
        <v>3050.2673300000001</v>
      </c>
      <c r="F1442">
        <v>3084.1726100000001</v>
      </c>
      <c r="G1442">
        <f>_xlfn.MAXIFS(Crypto[Close],Crypto[Name],Crypto[[#This Row],[Name]],Crypto[Date],"&lt;="&amp;Crypto[[#This Row],[Date]])</f>
        <v>4831.3486300000004</v>
      </c>
      <c r="H1442" s="3">
        <f>(Crypto[[#This Row],[Close]]/Crypto[[#This Row],[Peak Close]])-1</f>
        <v>-0.36163319060665677</v>
      </c>
      <c r="I1442">
        <v>3237.0568899999998</v>
      </c>
      <c r="J1442" s="1">
        <v>46002</v>
      </c>
      <c r="K1442" s="3">
        <v>-4.7229407821745097E-2</v>
      </c>
      <c r="L1442">
        <v>24391003174</v>
      </c>
      <c r="M1442" s="2" t="s">
        <v>18</v>
      </c>
    </row>
    <row r="1443" spans="1:13" x14ac:dyDescent="0.3">
      <c r="A1443" s="1">
        <v>46004</v>
      </c>
      <c r="B1443" s="2" t="s">
        <v>17</v>
      </c>
      <c r="C1443">
        <v>3084.1296400000001</v>
      </c>
      <c r="D1443">
        <v>3134.8493699999999</v>
      </c>
      <c r="E1443">
        <v>3080.07861</v>
      </c>
      <c r="F1443">
        <v>3116.6953100000001</v>
      </c>
      <c r="G1443">
        <f>_xlfn.MAXIFS(Crypto[Close],Crypto[Name],Crypto[[#This Row],[Name]],Crypto[Date],"&lt;="&amp;Crypto[[#This Row],[Date]])</f>
        <v>4831.3486300000004</v>
      </c>
      <c r="H1443" s="3">
        <f>(Crypto[[#This Row],[Close]]/Crypto[[#This Row],[Peak Close]])-1</f>
        <v>-0.3549015919391435</v>
      </c>
      <c r="I1443">
        <v>3084.1726100000001</v>
      </c>
      <c r="J1443" s="1">
        <v>46003</v>
      </c>
      <c r="K1443" s="3">
        <v>1.05450323676923E-2</v>
      </c>
      <c r="L1443">
        <v>9916869400</v>
      </c>
      <c r="M1443" s="2" t="s">
        <v>18</v>
      </c>
    </row>
    <row r="1444" spans="1:13" x14ac:dyDescent="0.3">
      <c r="A1444" s="1">
        <v>46005</v>
      </c>
      <c r="B1444" s="2" t="s">
        <v>17</v>
      </c>
      <c r="C1444">
        <v>3116.7438999999999</v>
      </c>
      <c r="D1444">
        <v>3128.6228000000001</v>
      </c>
      <c r="E1444">
        <v>3034.69263</v>
      </c>
      <c r="F1444">
        <v>3060.5947299999998</v>
      </c>
      <c r="G1444">
        <f>_xlfn.MAXIFS(Crypto[Close],Crypto[Name],Crypto[[#This Row],[Name]],Crypto[Date],"&lt;="&amp;Crypto[[#This Row],[Date]])</f>
        <v>4831.3486300000004</v>
      </c>
      <c r="H1444" s="3">
        <f>(Crypto[[#This Row],[Close]]/Crypto[[#This Row],[Peak Close]])-1</f>
        <v>-0.36651337661799011</v>
      </c>
      <c r="I1444">
        <v>3116.6953100000001</v>
      </c>
      <c r="J1444" s="1">
        <v>46004</v>
      </c>
      <c r="K1444" s="3">
        <v>-1.8000020669328799E-2</v>
      </c>
      <c r="L1444">
        <v>15619543350</v>
      </c>
      <c r="M1444" s="2" t="s">
        <v>18</v>
      </c>
    </row>
    <row r="1445" spans="1:13" x14ac:dyDescent="0.3">
      <c r="A1445" s="1">
        <v>46006</v>
      </c>
      <c r="B1445" s="2" t="s">
        <v>17</v>
      </c>
      <c r="C1445">
        <v>3060.4814500000002</v>
      </c>
      <c r="D1445">
        <v>3175.11816</v>
      </c>
      <c r="E1445">
        <v>2899.68579</v>
      </c>
      <c r="F1445">
        <v>2964.1831099999999</v>
      </c>
      <c r="G1445">
        <f>_xlfn.MAXIFS(Crypto[Close],Crypto[Name],Crypto[[#This Row],[Name]],Crypto[Date],"&lt;="&amp;Crypto[[#This Row],[Date]])</f>
        <v>4831.3486300000004</v>
      </c>
      <c r="H1445" s="3">
        <f>(Crypto[[#This Row],[Close]]/Crypto[[#This Row],[Peak Close]])-1</f>
        <v>-0.38646880260429484</v>
      </c>
      <c r="I1445">
        <v>3060.5947299999998</v>
      </c>
      <c r="J1445" s="1">
        <v>46005</v>
      </c>
      <c r="K1445" s="3">
        <v>-3.1500942955619601E-2</v>
      </c>
      <c r="L1445">
        <v>28765976892</v>
      </c>
      <c r="M1445" s="2" t="s">
        <v>18</v>
      </c>
    </row>
    <row r="1446" spans="1:13" x14ac:dyDescent="0.3">
      <c r="A1446" s="1">
        <v>46007</v>
      </c>
      <c r="B1446" s="2" t="s">
        <v>17</v>
      </c>
      <c r="C1446">
        <v>2964.3796400000001</v>
      </c>
      <c r="D1446">
        <v>2978.92139</v>
      </c>
      <c r="E1446">
        <v>2890.01172</v>
      </c>
      <c r="F1446">
        <v>2964.18091</v>
      </c>
      <c r="G1446">
        <f>_xlfn.MAXIFS(Crypto[Close],Crypto[Name],Crypto[[#This Row],[Name]],Crypto[Date],"&lt;="&amp;Crypto[[#This Row],[Date]])</f>
        <v>4831.3486300000004</v>
      </c>
      <c r="H1446" s="3">
        <f>(Crypto[[#This Row],[Close]]/Crypto[[#This Row],[Peak Close]])-1</f>
        <v>-0.38646925796369203</v>
      </c>
      <c r="I1446">
        <v>2964.1831099999999</v>
      </c>
      <c r="J1446" s="1">
        <v>46006</v>
      </c>
      <c r="K1446" s="3">
        <v>-7.4219436460607299E-7</v>
      </c>
      <c r="L1446">
        <v>22709189818</v>
      </c>
      <c r="M1446" s="2" t="s">
        <v>18</v>
      </c>
    </row>
    <row r="1447" spans="1:13" x14ac:dyDescent="0.3">
      <c r="A1447" s="1">
        <v>46008</v>
      </c>
      <c r="B1447" s="2" t="s">
        <v>17</v>
      </c>
      <c r="C1447">
        <v>2964.01953</v>
      </c>
      <c r="D1447">
        <v>3025.8154300000001</v>
      </c>
      <c r="E1447">
        <v>2791.3339799999999</v>
      </c>
      <c r="F1447">
        <v>2831.4035600000002</v>
      </c>
      <c r="G1447">
        <f>_xlfn.MAXIFS(Crypto[Close],Crypto[Name],Crypto[[#This Row],[Name]],Crypto[Date],"&lt;="&amp;Crypto[[#This Row],[Date]])</f>
        <v>4831.3486300000004</v>
      </c>
      <c r="H1447" s="3">
        <f>(Crypto[[#This Row],[Close]]/Crypto[[#This Row],[Peak Close]])-1</f>
        <v>-0.41395171890131222</v>
      </c>
      <c r="I1447">
        <v>2964.18091</v>
      </c>
      <c r="J1447" s="1">
        <v>46007</v>
      </c>
      <c r="K1447" s="3">
        <v>-4.4793942755673402E-2</v>
      </c>
      <c r="L1447">
        <v>26159825528</v>
      </c>
      <c r="M1447" s="2" t="s">
        <v>18</v>
      </c>
    </row>
    <row r="1448" spans="1:13" x14ac:dyDescent="0.3">
      <c r="A1448" s="1">
        <v>46009</v>
      </c>
      <c r="B1448" s="2" t="s">
        <v>17</v>
      </c>
      <c r="C1448">
        <v>2831.48828</v>
      </c>
      <c r="D1448">
        <v>2994.5527299999999</v>
      </c>
      <c r="E1448">
        <v>2777.1196300000001</v>
      </c>
      <c r="F1448">
        <v>2827.06909</v>
      </c>
      <c r="G1448">
        <f>_xlfn.MAXIFS(Crypto[Close],Crypto[Name],Crypto[[#This Row],[Name]],Crypto[Date],"&lt;="&amp;Crypto[[#This Row],[Date]])</f>
        <v>4831.3486300000004</v>
      </c>
      <c r="H1448" s="3">
        <f>(Crypto[[#This Row],[Close]]/Crypto[[#This Row],[Peak Close]])-1</f>
        <v>-0.41484887419519556</v>
      </c>
      <c r="I1448">
        <v>2831.4035600000002</v>
      </c>
      <c r="J1448" s="1">
        <v>46008</v>
      </c>
      <c r="K1448" s="3">
        <v>-1.5308556015237299E-3</v>
      </c>
      <c r="L1448">
        <v>29194181349</v>
      </c>
      <c r="M1448" s="2" t="s">
        <v>18</v>
      </c>
    </row>
    <row r="1449" spans="1:13" x14ac:dyDescent="0.3">
      <c r="A1449" s="1">
        <v>46010</v>
      </c>
      <c r="B1449" s="2" t="s">
        <v>17</v>
      </c>
      <c r="C1449">
        <v>2827.4104000000002</v>
      </c>
      <c r="D1449">
        <v>3014.61231</v>
      </c>
      <c r="E1449">
        <v>2811.3915999999999</v>
      </c>
      <c r="F1449">
        <v>2977.9706999999999</v>
      </c>
      <c r="G1449">
        <f>_xlfn.MAXIFS(Crypto[Close],Crypto[Name],Crypto[[#This Row],[Name]],Crypto[Date],"&lt;="&amp;Crypto[[#This Row],[Date]])</f>
        <v>4831.3486300000004</v>
      </c>
      <c r="H1449" s="3">
        <f>(Crypto[[#This Row],[Close]]/Crypto[[#This Row],[Peak Close]])-1</f>
        <v>-0.38361502593531538</v>
      </c>
      <c r="I1449">
        <v>2827.06909</v>
      </c>
      <c r="J1449" s="1">
        <v>46009</v>
      </c>
      <c r="K1449" s="3">
        <v>5.3377404370403898E-2</v>
      </c>
      <c r="L1449">
        <v>27870687989</v>
      </c>
      <c r="M1449" s="2" t="s">
        <v>18</v>
      </c>
    </row>
    <row r="1450" spans="1:13" x14ac:dyDescent="0.3">
      <c r="A1450" s="1">
        <v>46011</v>
      </c>
      <c r="B1450" s="2" t="s">
        <v>17</v>
      </c>
      <c r="C1450">
        <v>2977.8691399999998</v>
      </c>
      <c r="D1450">
        <v>2992.3100599999998</v>
      </c>
      <c r="E1450">
        <v>2967.83862</v>
      </c>
      <c r="F1450">
        <v>2977.5825199999999</v>
      </c>
      <c r="G1450">
        <f>_xlfn.MAXIFS(Crypto[Close],Crypto[Name],Crypto[[#This Row],[Name]],Crypto[Date],"&lt;="&amp;Crypto[[#This Row],[Date]])</f>
        <v>4831.3486300000004</v>
      </c>
      <c r="H1450" s="3">
        <f>(Crypto[[#This Row],[Close]]/Crypto[[#This Row],[Peak Close]])-1</f>
        <v>-0.38369537203114246</v>
      </c>
      <c r="I1450">
        <v>2977.9706999999999</v>
      </c>
      <c r="J1450" s="1">
        <v>46010</v>
      </c>
      <c r="K1450" s="3">
        <v>-1.3035051016449601E-4</v>
      </c>
      <c r="L1450">
        <v>7612418215</v>
      </c>
      <c r="M1450" s="2" t="s">
        <v>18</v>
      </c>
    </row>
    <row r="1451" spans="1:13" x14ac:dyDescent="0.3">
      <c r="A1451" s="1">
        <v>46012</v>
      </c>
      <c r="B1451" s="2" t="s">
        <v>17</v>
      </c>
      <c r="C1451">
        <v>2977.50855</v>
      </c>
      <c r="D1451">
        <v>3009.8071300000001</v>
      </c>
      <c r="E1451">
        <v>2945.3947800000001</v>
      </c>
      <c r="F1451">
        <v>3001.6137699999999</v>
      </c>
      <c r="G1451">
        <f>_xlfn.MAXIFS(Crypto[Close],Crypto[Name],Crypto[[#This Row],[Name]],Crypto[Date],"&lt;="&amp;Crypto[[#This Row],[Date]])</f>
        <v>4831.3486300000004</v>
      </c>
      <c r="H1451" s="3">
        <f>(Crypto[[#This Row],[Close]]/Crypto[[#This Row],[Peak Close]])-1</f>
        <v>-0.37872134679711578</v>
      </c>
      <c r="I1451">
        <v>2977.5825199999999</v>
      </c>
      <c r="J1451" s="1">
        <v>46011</v>
      </c>
      <c r="K1451" s="3">
        <v>8.0707251062180508E-3</v>
      </c>
      <c r="L1451">
        <v>11178096676</v>
      </c>
      <c r="M1451" s="2" t="s">
        <v>18</v>
      </c>
    </row>
    <row r="1452" spans="1:13" x14ac:dyDescent="0.3">
      <c r="A1452" s="1">
        <v>46013</v>
      </c>
      <c r="B1452" s="2" t="s">
        <v>17</v>
      </c>
      <c r="C1452">
        <v>3001.6127900000001</v>
      </c>
      <c r="D1452">
        <v>3073.35376</v>
      </c>
      <c r="E1452">
        <v>2965.1750499999998</v>
      </c>
      <c r="F1452">
        <v>3006.0737300000001</v>
      </c>
      <c r="G1452">
        <f>_xlfn.MAXIFS(Crypto[Close],Crypto[Name],Crypto[[#This Row],[Name]],Crypto[Date],"&lt;="&amp;Crypto[[#This Row],[Date]])</f>
        <v>4831.3486300000004</v>
      </c>
      <c r="H1452" s="3">
        <f>(Crypto[[#This Row],[Close]]/Crypto[[#This Row],[Peak Close]])-1</f>
        <v>-0.37779821738925101</v>
      </c>
      <c r="I1452">
        <v>3001.6137699999999</v>
      </c>
      <c r="J1452" s="1">
        <v>46012</v>
      </c>
      <c r="K1452" s="3">
        <v>1.48585405776578E-3</v>
      </c>
      <c r="L1452">
        <v>20342034264</v>
      </c>
      <c r="M1452" s="2" t="s">
        <v>18</v>
      </c>
    </row>
    <row r="1453" spans="1:13" x14ac:dyDescent="0.3">
      <c r="A1453" s="1">
        <v>46014</v>
      </c>
      <c r="B1453" s="2" t="s">
        <v>17</v>
      </c>
      <c r="C1453">
        <v>3006.0739800000001</v>
      </c>
      <c r="D1453">
        <v>3033.1962899999999</v>
      </c>
      <c r="E1453">
        <v>2902.3330099999998</v>
      </c>
      <c r="F1453">
        <v>2963.3740200000002</v>
      </c>
      <c r="G1453">
        <f>_xlfn.MAXIFS(Crypto[Close],Crypto[Name],Crypto[[#This Row],[Name]],Crypto[Date],"&lt;="&amp;Crypto[[#This Row],[Date]])</f>
        <v>4831.3486300000004</v>
      </c>
      <c r="H1453" s="3">
        <f>(Crypto[[#This Row],[Close]]/Crypto[[#This Row],[Peak Close]])-1</f>
        <v>-0.38663626930189054</v>
      </c>
      <c r="I1453">
        <v>3006.0737300000001</v>
      </c>
      <c r="J1453" s="1">
        <v>46013</v>
      </c>
      <c r="K1453" s="3">
        <v>-1.42044786107092E-2</v>
      </c>
      <c r="L1453">
        <v>21453213168</v>
      </c>
      <c r="M1453" s="2" t="s">
        <v>18</v>
      </c>
    </row>
    <row r="1454" spans="1:13" x14ac:dyDescent="0.3">
      <c r="A1454" s="1">
        <v>46015</v>
      </c>
      <c r="B1454" s="2" t="s">
        <v>17</v>
      </c>
      <c r="C1454">
        <v>2962.9226100000001</v>
      </c>
      <c r="D1454">
        <v>2975.1711399999999</v>
      </c>
      <c r="E1454">
        <v>2888.9880400000002</v>
      </c>
      <c r="F1454">
        <v>2945.59058</v>
      </c>
      <c r="G1454">
        <f>_xlfn.MAXIFS(Crypto[Close],Crypto[Name],Crypto[[#This Row],[Name]],Crypto[Date],"&lt;="&amp;Crypto[[#This Row],[Date]])</f>
        <v>4831.3486300000004</v>
      </c>
      <c r="H1454" s="3">
        <f>(Crypto[[#This Row],[Close]]/Crypto[[#This Row],[Peak Close]])-1</f>
        <v>-0.39031711317425677</v>
      </c>
      <c r="I1454">
        <v>2963.3740200000002</v>
      </c>
      <c r="J1454" s="1">
        <v>46014</v>
      </c>
      <c r="K1454" s="3">
        <v>-6.0010784598834204E-3</v>
      </c>
      <c r="L1454">
        <v>13984770325</v>
      </c>
      <c r="M1454" s="2" t="s">
        <v>18</v>
      </c>
    </row>
    <row r="1455" spans="1:13" x14ac:dyDescent="0.3">
      <c r="A1455" s="1">
        <v>46016</v>
      </c>
      <c r="B1455" s="2" t="s">
        <v>17</v>
      </c>
      <c r="C1455">
        <v>2945.4231</v>
      </c>
      <c r="D1455">
        <v>2968.7050800000002</v>
      </c>
      <c r="E1455">
        <v>2891.10889</v>
      </c>
      <c r="F1455">
        <v>2903.5795899999998</v>
      </c>
      <c r="G1455">
        <f>_xlfn.MAXIFS(Crypto[Close],Crypto[Name],Crypto[[#This Row],[Name]],Crypto[Date],"&lt;="&amp;Crypto[[#This Row],[Date]])</f>
        <v>4831.3486300000004</v>
      </c>
      <c r="H1455" s="3">
        <f>(Crypto[[#This Row],[Close]]/Crypto[[#This Row],[Peak Close]])-1</f>
        <v>-0.39901261275777578</v>
      </c>
      <c r="I1455">
        <v>2945.59058</v>
      </c>
      <c r="J1455" s="1">
        <v>46015</v>
      </c>
      <c r="K1455" s="3">
        <v>-1.4262331732470501E-2</v>
      </c>
      <c r="L1455">
        <v>11828871179</v>
      </c>
      <c r="M1455" s="2" t="s">
        <v>18</v>
      </c>
    </row>
    <row r="1456" spans="1:13" x14ac:dyDescent="0.3">
      <c r="A1456" s="1">
        <v>46017</v>
      </c>
      <c r="B1456" s="2" t="s">
        <v>17</v>
      </c>
      <c r="C1456">
        <v>2903.625</v>
      </c>
      <c r="D1456">
        <v>2991.2199700000001</v>
      </c>
      <c r="E1456">
        <v>2894.1538099999998</v>
      </c>
      <c r="F1456">
        <v>2925.7456099999999</v>
      </c>
      <c r="G1456">
        <f>_xlfn.MAXIFS(Crypto[Close],Crypto[Name],Crypto[[#This Row],[Name]],Crypto[Date],"&lt;="&amp;Crypto[[#This Row],[Date]])</f>
        <v>4831.3486300000004</v>
      </c>
      <c r="H1456" s="3">
        <f>(Crypto[[#This Row],[Close]]/Crypto[[#This Row],[Peak Close]])-1</f>
        <v>-0.39442465570943497</v>
      </c>
      <c r="I1456">
        <v>2903.5795899999998</v>
      </c>
      <c r="J1456" s="1">
        <v>46016</v>
      </c>
      <c r="K1456" s="3">
        <v>7.6340321706146602E-3</v>
      </c>
      <c r="L1456">
        <v>18562196049</v>
      </c>
      <c r="M1456" s="2" t="s">
        <v>18</v>
      </c>
    </row>
    <row r="1457" spans="1:13" x14ac:dyDescent="0.3">
      <c r="A1457" s="1">
        <v>46018</v>
      </c>
      <c r="B1457" s="2" t="s">
        <v>17</v>
      </c>
      <c r="C1457">
        <v>2925.74512</v>
      </c>
      <c r="D1457">
        <v>2957.3005400000002</v>
      </c>
      <c r="E1457">
        <v>2917.27124</v>
      </c>
      <c r="F1457">
        <v>2947.99829</v>
      </c>
      <c r="G1457">
        <f>_xlfn.MAXIFS(Crypto[Close],Crypto[Name],Crypto[[#This Row],[Name]],Crypto[Date],"&lt;="&amp;Crypto[[#This Row],[Date]])</f>
        <v>4831.3486300000004</v>
      </c>
      <c r="H1457" s="3">
        <f>(Crypto[[#This Row],[Close]]/Crypto[[#This Row],[Peak Close]])-1</f>
        <v>-0.38981876164047391</v>
      </c>
      <c r="I1457">
        <v>2925.7456099999999</v>
      </c>
      <c r="J1457" s="1">
        <v>46017</v>
      </c>
      <c r="K1457" s="3">
        <v>7.6058150523893499E-3</v>
      </c>
      <c r="L1457">
        <v>7378783299</v>
      </c>
      <c r="M1457" s="2" t="s">
        <v>18</v>
      </c>
    </row>
    <row r="1458" spans="1:13" x14ac:dyDescent="0.3">
      <c r="A1458" s="1">
        <v>46019</v>
      </c>
      <c r="B1458" s="2" t="s">
        <v>17</v>
      </c>
      <c r="C1458">
        <v>2947.8981899999999</v>
      </c>
      <c r="D1458">
        <v>2957.1386699999998</v>
      </c>
      <c r="E1458">
        <v>2925.7453599999999</v>
      </c>
      <c r="F1458">
        <v>2948.5681199999999</v>
      </c>
      <c r="G1458">
        <f>_xlfn.MAXIFS(Crypto[Close],Crypto[Name],Crypto[[#This Row],[Name]],Crypto[Date],"&lt;="&amp;Crypto[[#This Row],[Date]])</f>
        <v>4831.3486300000004</v>
      </c>
      <c r="H1458" s="3">
        <f>(Crypto[[#This Row],[Close]]/Crypto[[#This Row],[Peak Close]])-1</f>
        <v>-0.38970081734714312</v>
      </c>
      <c r="I1458">
        <v>2947.99829</v>
      </c>
      <c r="J1458" s="1">
        <v>46018</v>
      </c>
      <c r="K1458" s="3">
        <v>1.9329387060123101E-4</v>
      </c>
      <c r="L1458">
        <v>9227601389</v>
      </c>
      <c r="M1458" s="2" t="s">
        <v>18</v>
      </c>
    </row>
    <row r="1459" spans="1:13" x14ac:dyDescent="0.3">
      <c r="A1459" s="1">
        <v>46020</v>
      </c>
      <c r="B1459" s="2" t="s">
        <v>17</v>
      </c>
      <c r="C1459">
        <v>2948.55908</v>
      </c>
      <c r="D1459">
        <v>3051.9418999999998</v>
      </c>
      <c r="E1459">
        <v>2908.7480500000001</v>
      </c>
      <c r="F1459">
        <v>2934.5383299999999</v>
      </c>
      <c r="G1459">
        <f>_xlfn.MAXIFS(Crypto[Close],Crypto[Name],Crypto[[#This Row],[Name]],Crypto[Date],"&lt;="&amp;Crypto[[#This Row],[Date]])</f>
        <v>4831.3486300000004</v>
      </c>
      <c r="H1459" s="3">
        <f>(Crypto[[#This Row],[Close]]/Crypto[[#This Row],[Peak Close]])-1</f>
        <v>-0.39260472494612764</v>
      </c>
      <c r="I1459">
        <v>2948.5681199999999</v>
      </c>
      <c r="J1459" s="1">
        <v>46019</v>
      </c>
      <c r="K1459" s="3">
        <v>-4.7581705522882897E-3</v>
      </c>
      <c r="L1459">
        <v>25957694515</v>
      </c>
      <c r="M1459" s="2" t="s">
        <v>18</v>
      </c>
    </row>
    <row r="1460" spans="1:13" x14ac:dyDescent="0.3">
      <c r="A1460" s="1">
        <v>46021</v>
      </c>
      <c r="B1460" s="2" t="s">
        <v>17</v>
      </c>
      <c r="C1460">
        <v>2934.41626</v>
      </c>
      <c r="D1460">
        <v>3002.8046899999999</v>
      </c>
      <c r="E1460">
        <v>2916.3300800000002</v>
      </c>
      <c r="F1460">
        <v>2971.4167499999999</v>
      </c>
      <c r="G1460">
        <f>_xlfn.MAXIFS(Crypto[Close],Crypto[Name],Crypto[[#This Row],[Name]],Crypto[Date],"&lt;="&amp;Crypto[[#This Row],[Date]])</f>
        <v>4831.3486300000004</v>
      </c>
      <c r="H1460" s="3">
        <f>(Crypto[[#This Row],[Close]]/Crypto[[#This Row],[Peak Close]])-1</f>
        <v>-0.38497157262691684</v>
      </c>
      <c r="I1460">
        <v>2934.5383299999999</v>
      </c>
      <c r="J1460" s="1">
        <v>46020</v>
      </c>
      <c r="K1460" s="3">
        <v>1.2567026173415201E-2</v>
      </c>
      <c r="L1460">
        <v>18816704381</v>
      </c>
      <c r="M1460" s="2" t="s">
        <v>18</v>
      </c>
    </row>
    <row r="1461" spans="1:13" x14ac:dyDescent="0.3">
      <c r="A1461" s="1">
        <v>46022</v>
      </c>
      <c r="B1461" s="2" t="s">
        <v>17</v>
      </c>
      <c r="C1461">
        <v>2970.64185</v>
      </c>
      <c r="D1461">
        <v>3014.7507300000002</v>
      </c>
      <c r="E1461">
        <v>2960.2526899999998</v>
      </c>
      <c r="F1461">
        <v>2972.8252000000002</v>
      </c>
      <c r="G1461">
        <f>_xlfn.MAXIFS(Crypto[Close],Crypto[Name],Crypto[[#This Row],[Name]],Crypto[Date],"&lt;="&amp;Crypto[[#This Row],[Date]])</f>
        <v>4831.3486300000004</v>
      </c>
      <c r="H1461" s="3">
        <f>(Crypto[[#This Row],[Close]]/Crypto[[#This Row],[Peak Close]])-1</f>
        <v>-0.3846800494709901</v>
      </c>
      <c r="I1461">
        <v>2971.4167499999999</v>
      </c>
      <c r="J1461" s="1">
        <v>46021</v>
      </c>
      <c r="K1461" s="3">
        <v>4.7399948189709798E-4</v>
      </c>
      <c r="L1461">
        <v>16968096768</v>
      </c>
      <c r="M1461" s="2" t="s">
        <v>18</v>
      </c>
    </row>
    <row r="1462" spans="1:13" x14ac:dyDescent="0.3">
      <c r="A1462" s="1">
        <v>45658</v>
      </c>
      <c r="B1462" s="2" t="s">
        <v>13</v>
      </c>
      <c r="C1462">
        <v>189.26692</v>
      </c>
      <c r="D1462">
        <v>194.8185</v>
      </c>
      <c r="E1462">
        <v>187.87945999999999</v>
      </c>
      <c r="F1462">
        <v>193.87372999999999</v>
      </c>
      <c r="G1462">
        <f>_xlfn.MAXIFS(Crypto[Close],Crypto[Name],Crypto[[#This Row],[Name]],Crypto[Date],"&lt;="&amp;Crypto[[#This Row],[Date]])</f>
        <v>193.87372999999999</v>
      </c>
      <c r="H1462" s="3">
        <f>(Crypto[[#This Row],[Close]]/Crypto[[#This Row],[Peak Close]])-1</f>
        <v>0</v>
      </c>
      <c r="J1462" s="1">
        <v>45657</v>
      </c>
      <c r="L1462">
        <v>2324231668</v>
      </c>
      <c r="M1462" s="2" t="s">
        <v>14</v>
      </c>
    </row>
    <row r="1463" spans="1:13" x14ac:dyDescent="0.3">
      <c r="A1463" s="1">
        <v>45659</v>
      </c>
      <c r="B1463" s="2" t="s">
        <v>13</v>
      </c>
      <c r="C1463">
        <v>193.87213</v>
      </c>
      <c r="D1463">
        <v>209.06673000000001</v>
      </c>
      <c r="E1463">
        <v>193.25853000000001</v>
      </c>
      <c r="F1463">
        <v>207.76704000000001</v>
      </c>
      <c r="G1463">
        <f>_xlfn.MAXIFS(Crypto[Close],Crypto[Name],Crypto[[#This Row],[Name]],Crypto[Date],"&lt;="&amp;Crypto[[#This Row],[Date]])</f>
        <v>207.76704000000001</v>
      </c>
      <c r="H1463" s="3">
        <f>(Crypto[[#This Row],[Close]]/Crypto[[#This Row],[Peak Close]])-1</f>
        <v>0</v>
      </c>
      <c r="I1463">
        <v>193.87372999999999</v>
      </c>
      <c r="J1463" s="1">
        <v>45658</v>
      </c>
      <c r="K1463" s="3">
        <v>7.1661642864146793E-2</v>
      </c>
      <c r="L1463">
        <v>4230329837</v>
      </c>
      <c r="M1463" s="2" t="s">
        <v>14</v>
      </c>
    </row>
    <row r="1464" spans="1:13" x14ac:dyDescent="0.3">
      <c r="A1464" s="1">
        <v>45660</v>
      </c>
      <c r="B1464" s="2" t="s">
        <v>13</v>
      </c>
      <c r="C1464">
        <v>207.76760999999999</v>
      </c>
      <c r="D1464">
        <v>219.55951999999999</v>
      </c>
      <c r="E1464">
        <v>205.6524</v>
      </c>
      <c r="F1464">
        <v>217.74733000000001</v>
      </c>
      <c r="G1464">
        <f>_xlfn.MAXIFS(Crypto[Close],Crypto[Name],Crypto[[#This Row],[Name]],Crypto[Date],"&lt;="&amp;Crypto[[#This Row],[Date]])</f>
        <v>217.74733000000001</v>
      </c>
      <c r="H1464" s="3">
        <f>(Crypto[[#This Row],[Close]]/Crypto[[#This Row],[Peak Close]])-1</f>
        <v>0</v>
      </c>
      <c r="I1464">
        <v>207.76704000000001</v>
      </c>
      <c r="J1464" s="1">
        <v>45659</v>
      </c>
      <c r="K1464" s="3">
        <v>4.8035963740928299E-2</v>
      </c>
      <c r="L1464">
        <v>4064420852</v>
      </c>
      <c r="M1464" s="2" t="s">
        <v>14</v>
      </c>
    </row>
    <row r="1465" spans="1:13" x14ac:dyDescent="0.3">
      <c r="A1465" s="1">
        <v>45661</v>
      </c>
      <c r="B1465" s="2" t="s">
        <v>13</v>
      </c>
      <c r="C1465">
        <v>217.74805000000001</v>
      </c>
      <c r="D1465">
        <v>217.90504000000001</v>
      </c>
      <c r="E1465">
        <v>213.83144999999999</v>
      </c>
      <c r="F1465">
        <v>216.62291999999999</v>
      </c>
      <c r="G1465">
        <f>_xlfn.MAXIFS(Crypto[Close],Crypto[Name],Crypto[[#This Row],[Name]],Crypto[Date],"&lt;="&amp;Crypto[[#This Row],[Date]])</f>
        <v>217.74733000000001</v>
      </c>
      <c r="H1465" s="3">
        <f>(Crypto[[#This Row],[Close]]/Crypto[[#This Row],[Peak Close]])-1</f>
        <v>-5.163829104127271E-3</v>
      </c>
      <c r="I1465">
        <v>217.74733000000001</v>
      </c>
      <c r="J1465" s="1">
        <v>45660</v>
      </c>
      <c r="K1465" s="3">
        <v>-5.1638291041272997E-3</v>
      </c>
      <c r="L1465">
        <v>2432220391</v>
      </c>
      <c r="M1465" s="2" t="s">
        <v>14</v>
      </c>
    </row>
    <row r="1466" spans="1:13" x14ac:dyDescent="0.3">
      <c r="A1466" s="1">
        <v>45662</v>
      </c>
      <c r="B1466" s="2" t="s">
        <v>13</v>
      </c>
      <c r="C1466">
        <v>216.62276</v>
      </c>
      <c r="D1466">
        <v>218.8784</v>
      </c>
      <c r="E1466">
        <v>211.76523</v>
      </c>
      <c r="F1466">
        <v>213.39363</v>
      </c>
      <c r="G1466">
        <f>_xlfn.MAXIFS(Crypto[Close],Crypto[Name],Crypto[[#This Row],[Name]],Crypto[Date],"&lt;="&amp;Crypto[[#This Row],[Date]])</f>
        <v>217.74733000000001</v>
      </c>
      <c r="H1466" s="3">
        <f>(Crypto[[#This Row],[Close]]/Crypto[[#This Row],[Peak Close]])-1</f>
        <v>-1.9994275015909557E-2</v>
      </c>
      <c r="I1466">
        <v>216.62291999999999</v>
      </c>
      <c r="J1466" s="1">
        <v>45661</v>
      </c>
      <c r="K1466" s="3">
        <v>-1.49074253084576E-2</v>
      </c>
      <c r="L1466">
        <v>2403765299</v>
      </c>
      <c r="M1466" s="2" t="s">
        <v>14</v>
      </c>
    </row>
    <row r="1467" spans="1:13" x14ac:dyDescent="0.3">
      <c r="A1467" s="1">
        <v>45663</v>
      </c>
      <c r="B1467" s="2" t="s">
        <v>13</v>
      </c>
      <c r="C1467">
        <v>213.39483999999999</v>
      </c>
      <c r="D1467">
        <v>222.95296999999999</v>
      </c>
      <c r="E1467">
        <v>211.65314000000001</v>
      </c>
      <c r="F1467">
        <v>218.72313</v>
      </c>
      <c r="G1467">
        <f>_xlfn.MAXIFS(Crypto[Close],Crypto[Name],Crypto[[#This Row],[Name]],Crypto[Date],"&lt;="&amp;Crypto[[#This Row],[Date]])</f>
        <v>218.72313</v>
      </c>
      <c r="H1467" s="3">
        <f>(Crypto[[#This Row],[Close]]/Crypto[[#This Row],[Peak Close]])-1</f>
        <v>0</v>
      </c>
      <c r="I1467">
        <v>213.39363</v>
      </c>
      <c r="J1467" s="1">
        <v>45662</v>
      </c>
      <c r="K1467" s="3">
        <v>2.4974972308217401E-2</v>
      </c>
      <c r="L1467">
        <v>3408034919</v>
      </c>
      <c r="M1467" s="2" t="s">
        <v>14</v>
      </c>
    </row>
    <row r="1468" spans="1:13" x14ac:dyDescent="0.3">
      <c r="A1468" s="1">
        <v>45664</v>
      </c>
      <c r="B1468" s="2" t="s">
        <v>13</v>
      </c>
      <c r="C1468">
        <v>218.41292999999999</v>
      </c>
      <c r="D1468">
        <v>219.14230000000001</v>
      </c>
      <c r="E1468">
        <v>202.12491</v>
      </c>
      <c r="F1468">
        <v>202.23025999999999</v>
      </c>
      <c r="G1468">
        <f>_xlfn.MAXIFS(Crypto[Close],Crypto[Name],Crypto[[#This Row],[Name]],Crypto[Date],"&lt;="&amp;Crypto[[#This Row],[Date]])</f>
        <v>218.72313</v>
      </c>
      <c r="H1468" s="3">
        <f>(Crypto[[#This Row],[Close]]/Crypto[[#This Row],[Peak Close]])-1</f>
        <v>-7.5405239491589282E-2</v>
      </c>
      <c r="I1468">
        <v>218.72313</v>
      </c>
      <c r="J1468" s="1">
        <v>45663</v>
      </c>
      <c r="K1468" s="3">
        <v>-7.5405239491589199E-2</v>
      </c>
      <c r="L1468">
        <v>4360983978</v>
      </c>
      <c r="M1468" s="2" t="s">
        <v>14</v>
      </c>
    </row>
    <row r="1469" spans="1:13" x14ac:dyDescent="0.3">
      <c r="A1469" s="1">
        <v>45665</v>
      </c>
      <c r="B1469" s="2" t="s">
        <v>13</v>
      </c>
      <c r="C1469">
        <v>202.22787</v>
      </c>
      <c r="D1469">
        <v>203.06031999999999</v>
      </c>
      <c r="E1469">
        <v>188.95788999999999</v>
      </c>
      <c r="F1469">
        <v>197.55905000000001</v>
      </c>
      <c r="G1469">
        <f>_xlfn.MAXIFS(Crypto[Close],Crypto[Name],Crypto[[#This Row],[Name]],Crypto[Date],"&lt;="&amp;Crypto[[#This Row],[Date]])</f>
        <v>218.72313</v>
      </c>
      <c r="H1469" s="3">
        <f>(Crypto[[#This Row],[Close]]/Crypto[[#This Row],[Peak Close]])-1</f>
        <v>-9.67619656869394E-2</v>
      </c>
      <c r="I1469">
        <v>202.23025999999999</v>
      </c>
      <c r="J1469" s="1">
        <v>45664</v>
      </c>
      <c r="K1469" s="3">
        <v>-2.3098472009084998E-2</v>
      </c>
      <c r="L1469">
        <v>5028291858</v>
      </c>
      <c r="M1469" s="2" t="s">
        <v>14</v>
      </c>
    </row>
    <row r="1470" spans="1:13" x14ac:dyDescent="0.3">
      <c r="A1470" s="1">
        <v>45666</v>
      </c>
      <c r="B1470" s="2" t="s">
        <v>13</v>
      </c>
      <c r="C1470">
        <v>197.55905000000001</v>
      </c>
      <c r="D1470">
        <v>198.90100000000001</v>
      </c>
      <c r="E1470">
        <v>182.32232999999999</v>
      </c>
      <c r="F1470">
        <v>185.02528000000001</v>
      </c>
      <c r="G1470">
        <f>_xlfn.MAXIFS(Crypto[Close],Crypto[Name],Crypto[[#This Row],[Name]],Crypto[Date],"&lt;="&amp;Crypto[[#This Row],[Date]])</f>
        <v>218.72313</v>
      </c>
      <c r="H1470" s="3">
        <f>(Crypto[[#This Row],[Close]]/Crypto[[#This Row],[Peak Close]])-1</f>
        <v>-0.15406623890212245</v>
      </c>
      <c r="I1470">
        <v>197.55905000000001</v>
      </c>
      <c r="J1470" s="1">
        <v>45665</v>
      </c>
      <c r="K1470" s="3">
        <v>-6.344315788115E-2</v>
      </c>
      <c r="L1470">
        <v>3815664216</v>
      </c>
      <c r="M1470" s="2" t="s">
        <v>14</v>
      </c>
    </row>
    <row r="1471" spans="1:13" x14ac:dyDescent="0.3">
      <c r="A1471" s="1">
        <v>45667</v>
      </c>
      <c r="B1471" s="2" t="s">
        <v>13</v>
      </c>
      <c r="C1471">
        <v>185.01313999999999</v>
      </c>
      <c r="D1471">
        <v>192.75631999999999</v>
      </c>
      <c r="E1471">
        <v>183.86676</v>
      </c>
      <c r="F1471">
        <v>187.57918000000001</v>
      </c>
      <c r="G1471">
        <f>_xlfn.MAXIFS(Crypto[Close],Crypto[Name],Crypto[[#This Row],[Name]],Crypto[Date],"&lt;="&amp;Crypto[[#This Row],[Date]])</f>
        <v>218.72313</v>
      </c>
      <c r="H1471" s="3">
        <f>(Crypto[[#This Row],[Close]]/Crypto[[#This Row],[Peak Close]])-1</f>
        <v>-0.14238983321059817</v>
      </c>
      <c r="I1471">
        <v>185.02528000000001</v>
      </c>
      <c r="J1471" s="1">
        <v>45666</v>
      </c>
      <c r="K1471" s="3">
        <v>1.3802978706477301E-2</v>
      </c>
      <c r="L1471">
        <v>3739014100</v>
      </c>
      <c r="M1471" s="2" t="s">
        <v>14</v>
      </c>
    </row>
    <row r="1472" spans="1:13" x14ac:dyDescent="0.3">
      <c r="A1472" s="1">
        <v>45668</v>
      </c>
      <c r="B1472" s="2" t="s">
        <v>13</v>
      </c>
      <c r="C1472">
        <v>187.57118</v>
      </c>
      <c r="D1472">
        <v>191.71880999999999</v>
      </c>
      <c r="E1472">
        <v>184.27744000000001</v>
      </c>
      <c r="F1472">
        <v>187.99551</v>
      </c>
      <c r="G1472">
        <f>_xlfn.MAXIFS(Crypto[Close],Crypto[Name],Crypto[[#This Row],[Name]],Crypto[Date],"&lt;="&amp;Crypto[[#This Row],[Date]])</f>
        <v>218.72313</v>
      </c>
      <c r="H1472" s="3">
        <f>(Crypto[[#This Row],[Close]]/Crypto[[#This Row],[Peak Close]])-1</f>
        <v>-0.14048637654371532</v>
      </c>
      <c r="I1472">
        <v>187.57918000000001</v>
      </c>
      <c r="J1472" s="1">
        <v>45667</v>
      </c>
      <c r="K1472" s="3">
        <v>2.2194893910933398E-3</v>
      </c>
      <c r="L1472">
        <v>2174290937</v>
      </c>
      <c r="M1472" s="2" t="s">
        <v>14</v>
      </c>
    </row>
    <row r="1473" spans="1:13" x14ac:dyDescent="0.3">
      <c r="A1473" s="1">
        <v>45669</v>
      </c>
      <c r="B1473" s="2" t="s">
        <v>13</v>
      </c>
      <c r="C1473">
        <v>187.99533</v>
      </c>
      <c r="D1473">
        <v>190.74918</v>
      </c>
      <c r="E1473">
        <v>185.25227000000001</v>
      </c>
      <c r="F1473">
        <v>188.56038000000001</v>
      </c>
      <c r="G1473">
        <f>_xlfn.MAXIFS(Crypto[Close],Crypto[Name],Crypto[[#This Row],[Name]],Crypto[Date],"&lt;="&amp;Crypto[[#This Row],[Date]])</f>
        <v>218.72313</v>
      </c>
      <c r="H1473" s="3">
        <f>(Crypto[[#This Row],[Close]]/Crypto[[#This Row],[Peak Close]])-1</f>
        <v>-0.1379037964571922</v>
      </c>
      <c r="I1473">
        <v>187.99551</v>
      </c>
      <c r="J1473" s="1">
        <v>45668</v>
      </c>
      <c r="K1473" s="3">
        <v>3.00469942074688E-3</v>
      </c>
      <c r="L1473">
        <v>1544086708</v>
      </c>
      <c r="M1473" s="2" t="s">
        <v>14</v>
      </c>
    </row>
    <row r="1474" spans="1:13" x14ac:dyDescent="0.3">
      <c r="A1474" s="1">
        <v>45670</v>
      </c>
      <c r="B1474" s="2" t="s">
        <v>13</v>
      </c>
      <c r="C1474">
        <v>188.55091999999999</v>
      </c>
      <c r="D1474">
        <v>191.77518000000001</v>
      </c>
      <c r="E1474">
        <v>170.62898000000001</v>
      </c>
      <c r="F1474">
        <v>182.83536000000001</v>
      </c>
      <c r="G1474">
        <f>_xlfn.MAXIFS(Crypto[Close],Crypto[Name],Crypto[[#This Row],[Name]],Crypto[Date],"&lt;="&amp;Crypto[[#This Row],[Date]])</f>
        <v>218.72313</v>
      </c>
      <c r="H1474" s="3">
        <f>(Crypto[[#This Row],[Close]]/Crypto[[#This Row],[Peak Close]])-1</f>
        <v>-0.16407853161208874</v>
      </c>
      <c r="I1474">
        <v>188.56038000000001</v>
      </c>
      <c r="J1474" s="1">
        <v>45669</v>
      </c>
      <c r="K1474" s="3">
        <v>-3.0361733467020001E-2</v>
      </c>
      <c r="L1474">
        <v>5225490858</v>
      </c>
      <c r="M1474" s="2" t="s">
        <v>14</v>
      </c>
    </row>
    <row r="1475" spans="1:13" x14ac:dyDescent="0.3">
      <c r="A1475" s="1">
        <v>45671</v>
      </c>
      <c r="B1475" s="2" t="s">
        <v>13</v>
      </c>
      <c r="C1475">
        <v>182.83299</v>
      </c>
      <c r="D1475">
        <v>189.93732</v>
      </c>
      <c r="E1475">
        <v>181.95667</v>
      </c>
      <c r="F1475">
        <v>187.49860000000001</v>
      </c>
      <c r="G1475">
        <f>_xlfn.MAXIFS(Crypto[Close],Crypto[Name],Crypto[[#This Row],[Name]],Crypto[Date],"&lt;="&amp;Crypto[[#This Row],[Date]])</f>
        <v>218.72313</v>
      </c>
      <c r="H1475" s="3">
        <f>(Crypto[[#This Row],[Close]]/Crypto[[#This Row],[Peak Close]])-1</f>
        <v>-0.14275824417838201</v>
      </c>
      <c r="I1475">
        <v>182.83536000000001</v>
      </c>
      <c r="J1475" s="1">
        <v>45670</v>
      </c>
      <c r="K1475" s="3">
        <v>2.5505132048855302E-2</v>
      </c>
      <c r="L1475">
        <v>2748310371</v>
      </c>
      <c r="M1475" s="2" t="s">
        <v>14</v>
      </c>
    </row>
    <row r="1476" spans="1:13" x14ac:dyDescent="0.3">
      <c r="A1476" s="1">
        <v>45672</v>
      </c>
      <c r="B1476" s="2" t="s">
        <v>13</v>
      </c>
      <c r="C1476">
        <v>187.49817999999999</v>
      </c>
      <c r="D1476">
        <v>205.93494999999999</v>
      </c>
      <c r="E1476">
        <v>186.00299000000001</v>
      </c>
      <c r="F1476">
        <v>205.91135</v>
      </c>
      <c r="G1476">
        <f>_xlfn.MAXIFS(Crypto[Close],Crypto[Name],Crypto[[#This Row],[Name]],Crypto[Date],"&lt;="&amp;Crypto[[#This Row],[Date]])</f>
        <v>218.72313</v>
      </c>
      <c r="H1476" s="3">
        <f>(Crypto[[#This Row],[Close]]/Crypto[[#This Row],[Peak Close]])-1</f>
        <v>-5.857533220194866E-2</v>
      </c>
      <c r="I1476">
        <v>187.49860000000001</v>
      </c>
      <c r="J1476" s="1">
        <v>45671</v>
      </c>
      <c r="K1476" s="3">
        <v>9.8202066575430402E-2</v>
      </c>
      <c r="L1476">
        <v>4071481523</v>
      </c>
      <c r="M1476" s="2" t="s">
        <v>14</v>
      </c>
    </row>
    <row r="1477" spans="1:13" x14ac:dyDescent="0.3">
      <c r="A1477" s="1">
        <v>45673</v>
      </c>
      <c r="B1477" s="2" t="s">
        <v>13</v>
      </c>
      <c r="C1477">
        <v>205.92196999999999</v>
      </c>
      <c r="D1477">
        <v>216.83994999999999</v>
      </c>
      <c r="E1477">
        <v>198.66252</v>
      </c>
      <c r="F1477">
        <v>211.22783999999999</v>
      </c>
      <c r="G1477">
        <f>_xlfn.MAXIFS(Crypto[Close],Crypto[Name],Crypto[[#This Row],[Name]],Crypto[Date],"&lt;="&amp;Crypto[[#This Row],[Date]])</f>
        <v>218.72313</v>
      </c>
      <c r="H1477" s="3">
        <f>(Crypto[[#This Row],[Close]]/Crypto[[#This Row],[Peak Close]])-1</f>
        <v>-3.4268392190620167E-2</v>
      </c>
      <c r="I1477">
        <v>205.91135</v>
      </c>
      <c r="J1477" s="1">
        <v>45672</v>
      </c>
      <c r="K1477" s="3">
        <v>2.58193149624826E-2</v>
      </c>
      <c r="L1477">
        <v>6099125467</v>
      </c>
      <c r="M1477" s="2" t="s">
        <v>14</v>
      </c>
    </row>
    <row r="1478" spans="1:13" x14ac:dyDescent="0.3">
      <c r="A1478" s="1">
        <v>45674</v>
      </c>
      <c r="B1478" s="2" t="s">
        <v>13</v>
      </c>
      <c r="C1478">
        <v>211.22841</v>
      </c>
      <c r="D1478">
        <v>221.85242</v>
      </c>
      <c r="E1478">
        <v>209.96924999999999</v>
      </c>
      <c r="F1478">
        <v>219.62161</v>
      </c>
      <c r="G1478">
        <f>_xlfn.MAXIFS(Crypto[Close],Crypto[Name],Crypto[[#This Row],[Name]],Crypto[Date],"&lt;="&amp;Crypto[[#This Row],[Date]])</f>
        <v>219.62161</v>
      </c>
      <c r="H1478" s="3">
        <f>(Crypto[[#This Row],[Close]]/Crypto[[#This Row],[Peak Close]])-1</f>
        <v>0</v>
      </c>
      <c r="I1478">
        <v>211.22783999999999</v>
      </c>
      <c r="J1478" s="1">
        <v>45673</v>
      </c>
      <c r="K1478" s="3">
        <v>3.97379909769471E-2</v>
      </c>
      <c r="L1478">
        <v>5118230275</v>
      </c>
      <c r="M1478" s="2" t="s">
        <v>14</v>
      </c>
    </row>
    <row r="1479" spans="1:13" x14ac:dyDescent="0.3">
      <c r="A1479" s="1">
        <v>45675</v>
      </c>
      <c r="B1479" s="2" t="s">
        <v>13</v>
      </c>
      <c r="C1479">
        <v>219.6207</v>
      </c>
      <c r="D1479">
        <v>268.74657999999999</v>
      </c>
      <c r="E1479">
        <v>217.57504</v>
      </c>
      <c r="F1479">
        <v>261.86975000000001</v>
      </c>
      <c r="G1479">
        <f>_xlfn.MAXIFS(Crypto[Close],Crypto[Name],Crypto[[#This Row],[Name]],Crypto[Date],"&lt;="&amp;Crypto[[#This Row],[Date]])</f>
        <v>261.86975000000001</v>
      </c>
      <c r="H1479" s="3">
        <f>(Crypto[[#This Row],[Close]]/Crypto[[#This Row],[Peak Close]])-1</f>
        <v>0</v>
      </c>
      <c r="I1479">
        <v>219.62161</v>
      </c>
      <c r="J1479" s="1">
        <v>45674</v>
      </c>
      <c r="K1479" s="3">
        <v>0.19236786398205499</v>
      </c>
      <c r="L1479">
        <v>23186958912</v>
      </c>
      <c r="M1479" s="2" t="s">
        <v>14</v>
      </c>
    </row>
    <row r="1480" spans="1:13" x14ac:dyDescent="0.3">
      <c r="A1480" s="1">
        <v>45676</v>
      </c>
      <c r="B1480" s="2" t="s">
        <v>13</v>
      </c>
      <c r="C1480">
        <v>261.87243999999998</v>
      </c>
      <c r="D1480">
        <v>294.33496000000002</v>
      </c>
      <c r="E1480">
        <v>239.61058</v>
      </c>
      <c r="F1480">
        <v>250.58636000000001</v>
      </c>
      <c r="G1480">
        <f>_xlfn.MAXIFS(Crypto[Close],Crypto[Name],Crypto[[#This Row],[Name]],Crypto[Date],"&lt;="&amp;Crypto[[#This Row],[Date]])</f>
        <v>261.86975000000001</v>
      </c>
      <c r="H1480" s="3">
        <f>(Crypto[[#This Row],[Close]]/Crypto[[#This Row],[Peak Close]])-1</f>
        <v>-4.3087794600178086E-2</v>
      </c>
      <c r="I1480">
        <v>261.86975000000001</v>
      </c>
      <c r="J1480" s="1">
        <v>45675</v>
      </c>
      <c r="K1480" s="3">
        <v>-4.30877946001781E-2</v>
      </c>
      <c r="L1480">
        <v>33172955667</v>
      </c>
      <c r="M1480" s="2" t="s">
        <v>14</v>
      </c>
    </row>
    <row r="1481" spans="1:13" x14ac:dyDescent="0.3">
      <c r="A1481" s="1">
        <v>45677</v>
      </c>
      <c r="B1481" s="2" t="s">
        <v>13</v>
      </c>
      <c r="C1481">
        <v>250.62496999999999</v>
      </c>
      <c r="D1481">
        <v>272.15305000000001</v>
      </c>
      <c r="E1481">
        <v>231.63454999999999</v>
      </c>
      <c r="F1481">
        <v>242.25022999999999</v>
      </c>
      <c r="G1481">
        <f>_xlfn.MAXIFS(Crypto[Close],Crypto[Name],Crypto[[#This Row],[Name]],Crypto[Date],"&lt;="&amp;Crypto[[#This Row],[Date]])</f>
        <v>261.86975000000001</v>
      </c>
      <c r="H1481" s="3">
        <f>(Crypto[[#This Row],[Close]]/Crypto[[#This Row],[Peak Close]])-1</f>
        <v>-7.4920910108937866E-2</v>
      </c>
      <c r="I1481">
        <v>250.58636000000001</v>
      </c>
      <c r="J1481" s="1">
        <v>45676</v>
      </c>
      <c r="K1481" s="3">
        <v>-3.32664954309565E-2</v>
      </c>
      <c r="L1481">
        <v>22690757561</v>
      </c>
      <c r="M1481" s="2" t="s">
        <v>14</v>
      </c>
    </row>
    <row r="1482" spans="1:13" x14ac:dyDescent="0.3">
      <c r="A1482" s="1">
        <v>45678</v>
      </c>
      <c r="B1482" s="2" t="s">
        <v>13</v>
      </c>
      <c r="C1482">
        <v>242.23652999999999</v>
      </c>
      <c r="D1482">
        <v>259.82934999999998</v>
      </c>
      <c r="E1482">
        <v>231.67591999999999</v>
      </c>
      <c r="F1482">
        <v>250.41379000000001</v>
      </c>
      <c r="G1482">
        <f>_xlfn.MAXIFS(Crypto[Close],Crypto[Name],Crypto[[#This Row],[Name]],Crypto[Date],"&lt;="&amp;Crypto[[#This Row],[Date]])</f>
        <v>261.86975000000001</v>
      </c>
      <c r="H1482" s="3">
        <f>(Crypto[[#This Row],[Close]]/Crypto[[#This Row],[Peak Close]])-1</f>
        <v>-4.3746786331754661E-2</v>
      </c>
      <c r="I1482">
        <v>242.25022999999999</v>
      </c>
      <c r="J1482" s="1">
        <v>45677</v>
      </c>
      <c r="K1482" s="3">
        <v>3.3698874093948297E-2</v>
      </c>
      <c r="L1482">
        <v>10694802909</v>
      </c>
      <c r="M1482" s="2" t="s">
        <v>14</v>
      </c>
    </row>
    <row r="1483" spans="1:13" x14ac:dyDescent="0.3">
      <c r="A1483" s="1">
        <v>45679</v>
      </c>
      <c r="B1483" s="2" t="s">
        <v>13</v>
      </c>
      <c r="C1483">
        <v>250.41379000000001</v>
      </c>
      <c r="D1483">
        <v>271.53003000000001</v>
      </c>
      <c r="E1483">
        <v>248.7516</v>
      </c>
      <c r="F1483">
        <v>257.23737</v>
      </c>
      <c r="G1483">
        <f>_xlfn.MAXIFS(Crypto[Close],Crypto[Name],Crypto[[#This Row],[Name]],Crypto[Date],"&lt;="&amp;Crypto[[#This Row],[Date]])</f>
        <v>261.86975000000001</v>
      </c>
      <c r="H1483" s="3">
        <f>(Crypto[[#This Row],[Close]]/Crypto[[#This Row],[Peak Close]])-1</f>
        <v>-1.7689633873328336E-2</v>
      </c>
      <c r="I1483">
        <v>250.41379000000001</v>
      </c>
      <c r="J1483" s="1">
        <v>45678</v>
      </c>
      <c r="K1483" s="3">
        <v>2.7249218184030501E-2</v>
      </c>
      <c r="L1483">
        <v>8880832578</v>
      </c>
      <c r="M1483" s="2" t="s">
        <v>14</v>
      </c>
    </row>
    <row r="1484" spans="1:13" x14ac:dyDescent="0.3">
      <c r="A1484" s="1">
        <v>45680</v>
      </c>
      <c r="B1484" s="2" t="s">
        <v>13</v>
      </c>
      <c r="C1484">
        <v>257.23624000000001</v>
      </c>
      <c r="D1484">
        <v>258.12914999999998</v>
      </c>
      <c r="E1484">
        <v>242.49619000000001</v>
      </c>
      <c r="F1484">
        <v>253.45519999999999</v>
      </c>
      <c r="G1484">
        <f>_xlfn.MAXIFS(Crypto[Close],Crypto[Name],Crypto[[#This Row],[Name]],Crypto[Date],"&lt;="&amp;Crypto[[#This Row],[Date]])</f>
        <v>261.86975000000001</v>
      </c>
      <c r="H1484" s="3">
        <f>(Crypto[[#This Row],[Close]]/Crypto[[#This Row],[Peak Close]])-1</f>
        <v>-3.2132577359546222E-2</v>
      </c>
      <c r="I1484">
        <v>257.23737</v>
      </c>
      <c r="J1484" s="1">
        <v>45679</v>
      </c>
      <c r="K1484" s="3">
        <v>-1.4703034788452401E-2</v>
      </c>
      <c r="L1484">
        <v>9264528949</v>
      </c>
      <c r="M1484" s="2" t="s">
        <v>14</v>
      </c>
    </row>
    <row r="1485" spans="1:13" x14ac:dyDescent="0.3">
      <c r="A1485" s="1">
        <v>45681</v>
      </c>
      <c r="B1485" s="2" t="s">
        <v>13</v>
      </c>
      <c r="C1485">
        <v>253.45519999999999</v>
      </c>
      <c r="D1485">
        <v>269.80579</v>
      </c>
      <c r="E1485">
        <v>247.63147000000001</v>
      </c>
      <c r="F1485">
        <v>253.36122</v>
      </c>
      <c r="G1485">
        <f>_xlfn.MAXIFS(Crypto[Close],Crypto[Name],Crypto[[#This Row],[Name]],Crypto[Date],"&lt;="&amp;Crypto[[#This Row],[Date]])</f>
        <v>261.86975000000001</v>
      </c>
      <c r="H1485" s="3">
        <f>(Crypto[[#This Row],[Close]]/Crypto[[#This Row],[Peak Close]])-1</f>
        <v>-3.2491458062643752E-2</v>
      </c>
      <c r="I1485">
        <v>253.45519999999999</v>
      </c>
      <c r="J1485" s="1">
        <v>45680</v>
      </c>
      <c r="K1485" s="3">
        <v>-3.7079531214979098E-4</v>
      </c>
      <c r="L1485">
        <v>7483041553</v>
      </c>
      <c r="M1485" s="2" t="s">
        <v>14</v>
      </c>
    </row>
    <row r="1486" spans="1:13" x14ac:dyDescent="0.3">
      <c r="A1486" s="1">
        <v>45682</v>
      </c>
      <c r="B1486" s="2" t="s">
        <v>13</v>
      </c>
      <c r="C1486">
        <v>253.36632</v>
      </c>
      <c r="D1486">
        <v>260.58249000000001</v>
      </c>
      <c r="E1486">
        <v>246.65912</v>
      </c>
      <c r="F1486">
        <v>256.07357999999999</v>
      </c>
      <c r="G1486">
        <f>_xlfn.MAXIFS(Crypto[Close],Crypto[Name],Crypto[[#This Row],[Name]],Crypto[Date],"&lt;="&amp;Crypto[[#This Row],[Date]])</f>
        <v>261.86975000000001</v>
      </c>
      <c r="H1486" s="3">
        <f>(Crypto[[#This Row],[Close]]/Crypto[[#This Row],[Peak Close]])-1</f>
        <v>-2.2133789794353986E-2</v>
      </c>
      <c r="I1486">
        <v>253.36122</v>
      </c>
      <c r="J1486" s="1">
        <v>45681</v>
      </c>
      <c r="K1486" s="3">
        <v>1.07055057597212E-2</v>
      </c>
      <c r="L1486">
        <v>5035419721</v>
      </c>
      <c r="M1486" s="2" t="s">
        <v>14</v>
      </c>
    </row>
    <row r="1487" spans="1:13" x14ac:dyDescent="0.3">
      <c r="A1487" s="1">
        <v>45683</v>
      </c>
      <c r="B1487" s="2" t="s">
        <v>13</v>
      </c>
      <c r="C1487">
        <v>256.07387999999997</v>
      </c>
      <c r="D1487">
        <v>259.63449000000003</v>
      </c>
      <c r="E1487">
        <v>240.85243</v>
      </c>
      <c r="F1487">
        <v>240.88345000000001</v>
      </c>
      <c r="G1487">
        <f>_xlfn.MAXIFS(Crypto[Close],Crypto[Name],Crypto[[#This Row],[Name]],Crypto[Date],"&lt;="&amp;Crypto[[#This Row],[Date]])</f>
        <v>261.86975000000001</v>
      </c>
      <c r="H1487" s="3">
        <f>(Crypto[[#This Row],[Close]]/Crypto[[#This Row],[Peak Close]])-1</f>
        <v>-8.01402223815465E-2</v>
      </c>
      <c r="I1487">
        <v>256.07357999999999</v>
      </c>
      <c r="J1487" s="1">
        <v>45682</v>
      </c>
      <c r="K1487" s="3">
        <v>-5.9319395620586801E-2</v>
      </c>
      <c r="L1487">
        <v>4178231600</v>
      </c>
      <c r="M1487" s="2" t="s">
        <v>14</v>
      </c>
    </row>
    <row r="1488" spans="1:13" x14ac:dyDescent="0.3">
      <c r="A1488" s="1">
        <v>45684</v>
      </c>
      <c r="B1488" s="2" t="s">
        <v>13</v>
      </c>
      <c r="C1488">
        <v>240.88533000000001</v>
      </c>
      <c r="D1488">
        <v>242.42902000000001</v>
      </c>
      <c r="E1488">
        <v>221.97533000000001</v>
      </c>
      <c r="F1488">
        <v>235.07445000000001</v>
      </c>
      <c r="G1488">
        <f>_xlfn.MAXIFS(Crypto[Close],Crypto[Name],Crypto[[#This Row],[Name]],Crypto[Date],"&lt;="&amp;Crypto[[#This Row],[Date]])</f>
        <v>261.86975000000001</v>
      </c>
      <c r="H1488" s="3">
        <f>(Crypto[[#This Row],[Close]]/Crypto[[#This Row],[Peak Close]])-1</f>
        <v>-0.10232300599821098</v>
      </c>
      <c r="I1488">
        <v>240.88345000000001</v>
      </c>
      <c r="J1488" s="1">
        <v>45683</v>
      </c>
      <c r="K1488" s="3">
        <v>-2.4115396885921399E-2</v>
      </c>
      <c r="L1488">
        <v>10736630238</v>
      </c>
      <c r="M1488" s="2" t="s">
        <v>14</v>
      </c>
    </row>
    <row r="1489" spans="1:13" x14ac:dyDescent="0.3">
      <c r="A1489" s="1">
        <v>45685</v>
      </c>
      <c r="B1489" s="2" t="s">
        <v>13</v>
      </c>
      <c r="C1489">
        <v>235.07297</v>
      </c>
      <c r="D1489">
        <v>243.89478</v>
      </c>
      <c r="E1489">
        <v>225.25986</v>
      </c>
      <c r="F1489">
        <v>227.20396</v>
      </c>
      <c r="G1489">
        <f>_xlfn.MAXIFS(Crypto[Close],Crypto[Name],Crypto[[#This Row],[Name]],Crypto[Date],"&lt;="&amp;Crypto[[#This Row],[Date]])</f>
        <v>261.86975000000001</v>
      </c>
      <c r="H1489" s="3">
        <f>(Crypto[[#This Row],[Close]]/Crypto[[#This Row],[Peak Close]])-1</f>
        <v>-0.13237798562071412</v>
      </c>
      <c r="I1489">
        <v>235.07445000000001</v>
      </c>
      <c r="J1489" s="1">
        <v>45684</v>
      </c>
      <c r="K1489" s="3">
        <v>-3.3480839793520803E-2</v>
      </c>
      <c r="L1489">
        <v>5105320114</v>
      </c>
      <c r="M1489" s="2" t="s">
        <v>14</v>
      </c>
    </row>
    <row r="1490" spans="1:13" x14ac:dyDescent="0.3">
      <c r="A1490" s="1">
        <v>45686</v>
      </c>
      <c r="B1490" s="2" t="s">
        <v>13</v>
      </c>
      <c r="C1490">
        <v>227.20278999999999</v>
      </c>
      <c r="D1490">
        <v>237.70975999999999</v>
      </c>
      <c r="E1490">
        <v>222.92350999999999</v>
      </c>
      <c r="F1490">
        <v>227.94493</v>
      </c>
      <c r="G1490">
        <f>_xlfn.MAXIFS(Crypto[Close],Crypto[Name],Crypto[[#This Row],[Name]],Crypto[Date],"&lt;="&amp;Crypto[[#This Row],[Date]])</f>
        <v>261.86975000000001</v>
      </c>
      <c r="H1490" s="3">
        <f>(Crypto[[#This Row],[Close]]/Crypto[[#This Row],[Peak Close]])-1</f>
        <v>-0.12954844918132014</v>
      </c>
      <c r="I1490">
        <v>227.20396</v>
      </c>
      <c r="J1490" s="1">
        <v>45685</v>
      </c>
      <c r="K1490" s="3">
        <v>3.26125477742555E-3</v>
      </c>
      <c r="L1490">
        <v>5385638692</v>
      </c>
      <c r="M1490" s="2" t="s">
        <v>14</v>
      </c>
    </row>
    <row r="1491" spans="1:13" x14ac:dyDescent="0.3">
      <c r="A1491" s="1">
        <v>45687</v>
      </c>
      <c r="B1491" s="2" t="s">
        <v>13</v>
      </c>
      <c r="C1491">
        <v>227.95304999999999</v>
      </c>
      <c r="D1491">
        <v>244.32596000000001</v>
      </c>
      <c r="E1491">
        <v>227.13762</v>
      </c>
      <c r="F1491">
        <v>239.02314999999999</v>
      </c>
      <c r="G1491">
        <f>_xlfn.MAXIFS(Crypto[Close],Crypto[Name],Crypto[[#This Row],[Name]],Crypto[Date],"&lt;="&amp;Crypto[[#This Row],[Date]])</f>
        <v>261.86975000000001</v>
      </c>
      <c r="H1491" s="3">
        <f>(Crypto[[#This Row],[Close]]/Crypto[[#This Row],[Peak Close]])-1</f>
        <v>-8.7244135681956436E-2</v>
      </c>
      <c r="I1491">
        <v>227.94493</v>
      </c>
      <c r="J1491" s="1">
        <v>45686</v>
      </c>
      <c r="K1491" s="3">
        <v>4.8600422917938903E-2</v>
      </c>
      <c r="L1491">
        <v>4636567306</v>
      </c>
      <c r="M1491" s="2" t="s">
        <v>14</v>
      </c>
    </row>
    <row r="1492" spans="1:13" x14ac:dyDescent="0.3">
      <c r="A1492" s="1">
        <v>45688</v>
      </c>
      <c r="B1492" s="2" t="s">
        <v>13</v>
      </c>
      <c r="C1492">
        <v>239.01669000000001</v>
      </c>
      <c r="D1492">
        <v>241.66659999999999</v>
      </c>
      <c r="E1492">
        <v>228.47883999999999</v>
      </c>
      <c r="F1492">
        <v>231.63791000000001</v>
      </c>
      <c r="G1492">
        <f>_xlfn.MAXIFS(Crypto[Close],Crypto[Name],Crypto[[#This Row],[Name]],Crypto[Date],"&lt;="&amp;Crypto[[#This Row],[Date]])</f>
        <v>261.86975000000001</v>
      </c>
      <c r="H1492" s="3">
        <f>(Crypto[[#This Row],[Close]]/Crypto[[#This Row],[Peak Close]])-1</f>
        <v>-0.11544609486204493</v>
      </c>
      <c r="I1492">
        <v>239.02314999999999</v>
      </c>
      <c r="J1492" s="1">
        <v>45687</v>
      </c>
      <c r="K1492" s="3">
        <v>-3.08975929737349E-2</v>
      </c>
      <c r="L1492">
        <v>4043216055</v>
      </c>
      <c r="M1492" s="2" t="s">
        <v>14</v>
      </c>
    </row>
    <row r="1493" spans="1:13" x14ac:dyDescent="0.3">
      <c r="A1493" s="1">
        <v>45689</v>
      </c>
      <c r="B1493" s="2" t="s">
        <v>13</v>
      </c>
      <c r="C1493">
        <v>231.64061000000001</v>
      </c>
      <c r="D1493">
        <v>233.86383000000001</v>
      </c>
      <c r="E1493">
        <v>213.43639999999999</v>
      </c>
      <c r="F1493">
        <v>213.78502</v>
      </c>
      <c r="G1493">
        <f>_xlfn.MAXIFS(Crypto[Close],Crypto[Name],Crypto[[#This Row],[Name]],Crypto[Date],"&lt;="&amp;Crypto[[#This Row],[Date]])</f>
        <v>261.86975000000001</v>
      </c>
      <c r="H1493" s="3">
        <f>(Crypto[[#This Row],[Close]]/Crypto[[#This Row],[Peak Close]])-1</f>
        <v>-0.18362078857905506</v>
      </c>
      <c r="I1493">
        <v>231.63791000000001</v>
      </c>
      <c r="J1493" s="1">
        <v>45688</v>
      </c>
      <c r="K1493" s="3">
        <v>-7.7072401490757697E-2</v>
      </c>
      <c r="L1493">
        <v>3546350864</v>
      </c>
      <c r="M1493" s="2" t="s">
        <v>14</v>
      </c>
    </row>
    <row r="1494" spans="1:13" x14ac:dyDescent="0.3">
      <c r="A1494" s="1">
        <v>45690</v>
      </c>
      <c r="B1494" s="2" t="s">
        <v>13</v>
      </c>
      <c r="C1494">
        <v>213.78093999999999</v>
      </c>
      <c r="D1494">
        <v>218.38437999999999</v>
      </c>
      <c r="E1494">
        <v>195.44923</v>
      </c>
      <c r="F1494">
        <v>203.11963</v>
      </c>
      <c r="G1494">
        <f>_xlfn.MAXIFS(Crypto[Close],Crypto[Name],Crypto[[#This Row],[Name]],Crypto[Date],"&lt;="&amp;Crypto[[#This Row],[Date]])</f>
        <v>261.86975000000001</v>
      </c>
      <c r="H1494" s="3">
        <f>(Crypto[[#This Row],[Close]]/Crypto[[#This Row],[Peak Close]])-1</f>
        <v>-0.22434863133294325</v>
      </c>
      <c r="I1494">
        <v>213.78502</v>
      </c>
      <c r="J1494" s="1">
        <v>45689</v>
      </c>
      <c r="K1494" s="3">
        <v>-4.9888387876755799E-2</v>
      </c>
      <c r="L1494">
        <v>8432593480</v>
      </c>
      <c r="M1494" s="2" t="s">
        <v>14</v>
      </c>
    </row>
    <row r="1495" spans="1:13" x14ac:dyDescent="0.3">
      <c r="A1495" s="1">
        <v>45691</v>
      </c>
      <c r="B1495" s="2" t="s">
        <v>13</v>
      </c>
      <c r="C1495">
        <v>203.12151</v>
      </c>
      <c r="D1495">
        <v>218.64769000000001</v>
      </c>
      <c r="E1495">
        <v>180.4093</v>
      </c>
      <c r="F1495">
        <v>216.14957999999999</v>
      </c>
      <c r="G1495">
        <f>_xlfn.MAXIFS(Crypto[Close],Crypto[Name],Crypto[[#This Row],[Name]],Crypto[Date],"&lt;="&amp;Crypto[[#This Row],[Date]])</f>
        <v>261.86975000000001</v>
      </c>
      <c r="H1495" s="3">
        <f>(Crypto[[#This Row],[Close]]/Crypto[[#This Row],[Peak Close]])-1</f>
        <v>-0.17459126149545723</v>
      </c>
      <c r="I1495">
        <v>203.11963</v>
      </c>
      <c r="J1495" s="1">
        <v>45690</v>
      </c>
      <c r="K1495" s="3">
        <v>6.4149142059780201E-2</v>
      </c>
      <c r="L1495">
        <v>15260840772</v>
      </c>
      <c r="M1495" s="2" t="s">
        <v>14</v>
      </c>
    </row>
    <row r="1496" spans="1:13" x14ac:dyDescent="0.3">
      <c r="A1496" s="1">
        <v>45692</v>
      </c>
      <c r="B1496" s="2" t="s">
        <v>13</v>
      </c>
      <c r="C1496">
        <v>216.15051</v>
      </c>
      <c r="D1496">
        <v>219.99588</v>
      </c>
      <c r="E1496">
        <v>202.84885</v>
      </c>
      <c r="F1496">
        <v>207.09198000000001</v>
      </c>
      <c r="G1496">
        <f>_xlfn.MAXIFS(Crypto[Close],Crypto[Name],Crypto[[#This Row],[Name]],Crypto[Date],"&lt;="&amp;Crypto[[#This Row],[Date]])</f>
        <v>261.86975000000001</v>
      </c>
      <c r="H1496" s="3">
        <f>(Crypto[[#This Row],[Close]]/Crypto[[#This Row],[Peak Close]])-1</f>
        <v>-0.20917944894360652</v>
      </c>
      <c r="I1496">
        <v>216.14957999999999</v>
      </c>
      <c r="J1496" s="1">
        <v>45691</v>
      </c>
      <c r="K1496" s="3">
        <v>-4.1904314595475903E-2</v>
      </c>
      <c r="L1496">
        <v>7328632702</v>
      </c>
      <c r="M1496" s="2" t="s">
        <v>14</v>
      </c>
    </row>
    <row r="1497" spans="1:13" x14ac:dyDescent="0.3">
      <c r="A1497" s="1">
        <v>45693</v>
      </c>
      <c r="B1497" s="2" t="s">
        <v>13</v>
      </c>
      <c r="C1497">
        <v>207.0771</v>
      </c>
      <c r="D1497">
        <v>209.31876</v>
      </c>
      <c r="E1497">
        <v>195.39058</v>
      </c>
      <c r="F1497">
        <v>195.98813999999999</v>
      </c>
      <c r="G1497">
        <f>_xlfn.MAXIFS(Crypto[Close],Crypto[Name],Crypto[[#This Row],[Name]],Crypto[Date],"&lt;="&amp;Crypto[[#This Row],[Date]])</f>
        <v>261.86975000000001</v>
      </c>
      <c r="H1497" s="3">
        <f>(Crypto[[#This Row],[Close]]/Crypto[[#This Row],[Peak Close]])-1</f>
        <v>-0.25158159733989904</v>
      </c>
      <c r="I1497">
        <v>207.09198000000001</v>
      </c>
      <c r="J1497" s="1">
        <v>45692</v>
      </c>
      <c r="K1497" s="3">
        <v>-5.3617914126853301E-2</v>
      </c>
      <c r="L1497">
        <v>3826498437</v>
      </c>
      <c r="M1497" s="2" t="s">
        <v>14</v>
      </c>
    </row>
    <row r="1498" spans="1:13" x14ac:dyDescent="0.3">
      <c r="A1498" s="1">
        <v>45694</v>
      </c>
      <c r="B1498" s="2" t="s">
        <v>13</v>
      </c>
      <c r="C1498">
        <v>195.98639</v>
      </c>
      <c r="D1498">
        <v>203.88782</v>
      </c>
      <c r="E1498">
        <v>188.16552999999999</v>
      </c>
      <c r="F1498">
        <v>189.77249</v>
      </c>
      <c r="G1498">
        <f>_xlfn.MAXIFS(Crypto[Close],Crypto[Name],Crypto[[#This Row],[Name]],Crypto[Date],"&lt;="&amp;Crypto[[#This Row],[Date]])</f>
        <v>261.86975000000001</v>
      </c>
      <c r="H1498" s="3">
        <f>(Crypto[[#This Row],[Close]]/Crypto[[#This Row],[Peak Close]])-1</f>
        <v>-0.27531725218357606</v>
      </c>
      <c r="I1498">
        <v>195.98813999999999</v>
      </c>
      <c r="J1498" s="1">
        <v>45693</v>
      </c>
      <c r="K1498" s="3">
        <v>-3.1714419045968702E-2</v>
      </c>
      <c r="L1498">
        <v>3936545265</v>
      </c>
      <c r="M1498" s="2" t="s">
        <v>14</v>
      </c>
    </row>
    <row r="1499" spans="1:13" x14ac:dyDescent="0.3">
      <c r="A1499" s="1">
        <v>45695</v>
      </c>
      <c r="B1499" s="2" t="s">
        <v>13</v>
      </c>
      <c r="C1499">
        <v>189.75771</v>
      </c>
      <c r="D1499">
        <v>203.15053</v>
      </c>
      <c r="E1499">
        <v>188.48074</v>
      </c>
      <c r="F1499">
        <v>192.20464999999999</v>
      </c>
      <c r="G1499">
        <f>_xlfn.MAXIFS(Crypto[Close],Crypto[Name],Crypto[[#This Row],[Name]],Crypto[Date],"&lt;="&amp;Crypto[[#This Row],[Date]])</f>
        <v>261.86975000000001</v>
      </c>
      <c r="H1499" s="3">
        <f>(Crypto[[#This Row],[Close]]/Crypto[[#This Row],[Peak Close]])-1</f>
        <v>-0.26602958149996336</v>
      </c>
      <c r="I1499">
        <v>189.77249</v>
      </c>
      <c r="J1499" s="1">
        <v>45694</v>
      </c>
      <c r="K1499" s="3">
        <v>1.2816188479162501E-2</v>
      </c>
      <c r="L1499">
        <v>4593806344</v>
      </c>
      <c r="M1499" s="2" t="s">
        <v>14</v>
      </c>
    </row>
    <row r="1500" spans="1:13" x14ac:dyDescent="0.3">
      <c r="A1500" s="1">
        <v>45696</v>
      </c>
      <c r="B1500" s="2" t="s">
        <v>13</v>
      </c>
      <c r="C1500">
        <v>192.20255</v>
      </c>
      <c r="D1500">
        <v>200.83197000000001</v>
      </c>
      <c r="E1500">
        <v>190.12877</v>
      </c>
      <c r="F1500">
        <v>199.59989999999999</v>
      </c>
      <c r="G1500">
        <f>_xlfn.MAXIFS(Crypto[Close],Crypto[Name],Crypto[[#This Row],[Name]],Crypto[Date],"&lt;="&amp;Crypto[[#This Row],[Date]])</f>
        <v>261.86975000000001</v>
      </c>
      <c r="H1500" s="3">
        <f>(Crypto[[#This Row],[Close]]/Crypto[[#This Row],[Peak Close]])-1</f>
        <v>-0.23778939720987258</v>
      </c>
      <c r="I1500">
        <v>192.20464999999999</v>
      </c>
      <c r="J1500" s="1">
        <v>45695</v>
      </c>
      <c r="K1500" s="3">
        <v>3.8475916165399797E-2</v>
      </c>
      <c r="L1500">
        <v>2387525186</v>
      </c>
      <c r="M1500" s="2" t="s">
        <v>14</v>
      </c>
    </row>
    <row r="1501" spans="1:13" x14ac:dyDescent="0.3">
      <c r="A1501" s="1">
        <v>45697</v>
      </c>
      <c r="B1501" s="2" t="s">
        <v>13</v>
      </c>
      <c r="C1501">
        <v>199.5898</v>
      </c>
      <c r="D1501">
        <v>207.27464000000001</v>
      </c>
      <c r="E1501">
        <v>194.24132</v>
      </c>
      <c r="F1501">
        <v>200.49755999999999</v>
      </c>
      <c r="G1501">
        <f>_xlfn.MAXIFS(Crypto[Close],Crypto[Name],Crypto[[#This Row],[Name]],Crypto[Date],"&lt;="&amp;Crypto[[#This Row],[Date]])</f>
        <v>261.86975000000001</v>
      </c>
      <c r="H1501" s="3">
        <f>(Crypto[[#This Row],[Close]]/Crypto[[#This Row],[Peak Close]])-1</f>
        <v>-0.23436150987275173</v>
      </c>
      <c r="I1501">
        <v>199.59989999999999</v>
      </c>
      <c r="J1501" s="1">
        <v>45696</v>
      </c>
      <c r="K1501" s="3">
        <v>4.4972968423331004E-3</v>
      </c>
      <c r="L1501">
        <v>3380872965</v>
      </c>
      <c r="M1501" s="2" t="s">
        <v>14</v>
      </c>
    </row>
    <row r="1502" spans="1:13" x14ac:dyDescent="0.3">
      <c r="A1502" s="1">
        <v>45698</v>
      </c>
      <c r="B1502" s="2" t="s">
        <v>13</v>
      </c>
      <c r="C1502">
        <v>200.49825000000001</v>
      </c>
      <c r="D1502">
        <v>208.82749999999999</v>
      </c>
      <c r="E1502">
        <v>196.38077000000001</v>
      </c>
      <c r="F1502">
        <v>200.35634999999999</v>
      </c>
      <c r="G1502">
        <f>_xlfn.MAXIFS(Crypto[Close],Crypto[Name],Crypto[[#This Row],[Name]],Crypto[Date],"&lt;="&amp;Crypto[[#This Row],[Date]])</f>
        <v>261.86975000000001</v>
      </c>
      <c r="H1502" s="3">
        <f>(Crypto[[#This Row],[Close]]/Crypto[[#This Row],[Peak Close]])-1</f>
        <v>-0.23490074741355205</v>
      </c>
      <c r="I1502">
        <v>200.49755999999999</v>
      </c>
      <c r="J1502" s="1">
        <v>45697</v>
      </c>
      <c r="K1502" s="3">
        <v>-7.0429784781421304E-4</v>
      </c>
      <c r="L1502">
        <v>4106376694</v>
      </c>
      <c r="M1502" s="2" t="s">
        <v>14</v>
      </c>
    </row>
    <row r="1503" spans="1:13" x14ac:dyDescent="0.3">
      <c r="A1503" s="1">
        <v>45699</v>
      </c>
      <c r="B1503" s="2" t="s">
        <v>13</v>
      </c>
      <c r="C1503">
        <v>200.35892000000001</v>
      </c>
      <c r="D1503">
        <v>205.92419000000001</v>
      </c>
      <c r="E1503">
        <v>195.32149999999999</v>
      </c>
      <c r="F1503">
        <v>197.98236</v>
      </c>
      <c r="G1503">
        <f>_xlfn.MAXIFS(Crypto[Close],Crypto[Name],Crypto[[#This Row],[Name]],Crypto[Date],"&lt;="&amp;Crypto[[#This Row],[Date]])</f>
        <v>261.86975000000001</v>
      </c>
      <c r="H1503" s="3">
        <f>(Crypto[[#This Row],[Close]]/Crypto[[#This Row],[Peak Close]])-1</f>
        <v>-0.24396628476561344</v>
      </c>
      <c r="I1503">
        <v>200.35634999999999</v>
      </c>
      <c r="J1503" s="1">
        <v>45698</v>
      </c>
      <c r="K1503" s="3">
        <v>-1.18488383323014E-2</v>
      </c>
      <c r="L1503">
        <v>3907611299</v>
      </c>
      <c r="M1503" s="2" t="s">
        <v>14</v>
      </c>
    </row>
    <row r="1504" spans="1:13" x14ac:dyDescent="0.3">
      <c r="A1504" s="1">
        <v>45700</v>
      </c>
      <c r="B1504" s="2" t="s">
        <v>13</v>
      </c>
      <c r="C1504">
        <v>197.98385999999999</v>
      </c>
      <c r="D1504">
        <v>198.44981000000001</v>
      </c>
      <c r="E1504">
        <v>189.60843</v>
      </c>
      <c r="F1504">
        <v>196.77379999999999</v>
      </c>
      <c r="G1504">
        <f>_xlfn.MAXIFS(Crypto[Close],Crypto[Name],Crypto[[#This Row],[Name]],Crypto[Date],"&lt;="&amp;Crypto[[#This Row],[Date]])</f>
        <v>261.86975000000001</v>
      </c>
      <c r="H1504" s="3">
        <f>(Crypto[[#This Row],[Close]]/Crypto[[#This Row],[Peak Close]])-1</f>
        <v>-0.24858140354126435</v>
      </c>
      <c r="I1504">
        <v>197.98236</v>
      </c>
      <c r="J1504" s="1">
        <v>45699</v>
      </c>
      <c r="K1504" s="3">
        <v>-6.1043822288006097E-3</v>
      </c>
      <c r="L1504">
        <v>4290836657</v>
      </c>
      <c r="M1504" s="2" t="s">
        <v>14</v>
      </c>
    </row>
    <row r="1505" spans="1:13" x14ac:dyDescent="0.3">
      <c r="A1505" s="1">
        <v>45701</v>
      </c>
      <c r="B1505" s="2" t="s">
        <v>13</v>
      </c>
      <c r="C1505">
        <v>196.77379999999999</v>
      </c>
      <c r="D1505">
        <v>198.26076</v>
      </c>
      <c r="E1505">
        <v>189.42771999999999</v>
      </c>
      <c r="F1505">
        <v>194.46095</v>
      </c>
      <c r="G1505">
        <f>_xlfn.MAXIFS(Crypto[Close],Crypto[Name],Crypto[[#This Row],[Name]],Crypto[Date],"&lt;="&amp;Crypto[[#This Row],[Date]])</f>
        <v>261.86975000000001</v>
      </c>
      <c r="H1505" s="3">
        <f>(Crypto[[#This Row],[Close]]/Crypto[[#This Row],[Peak Close]])-1</f>
        <v>-0.2574134660456201</v>
      </c>
      <c r="I1505">
        <v>196.77379999999999</v>
      </c>
      <c r="J1505" s="1">
        <v>45700</v>
      </c>
      <c r="K1505" s="3">
        <v>-1.1753851376555199E-2</v>
      </c>
      <c r="L1505">
        <v>2755407329</v>
      </c>
      <c r="M1505" s="2" t="s">
        <v>14</v>
      </c>
    </row>
    <row r="1506" spans="1:13" x14ac:dyDescent="0.3">
      <c r="A1506" s="1">
        <v>45702</v>
      </c>
      <c r="B1506" s="2" t="s">
        <v>13</v>
      </c>
      <c r="C1506">
        <v>194.45455999999999</v>
      </c>
      <c r="D1506">
        <v>205.12502000000001</v>
      </c>
      <c r="E1506">
        <v>194.35405</v>
      </c>
      <c r="F1506">
        <v>199.93566999999999</v>
      </c>
      <c r="G1506">
        <f>_xlfn.MAXIFS(Crypto[Close],Crypto[Name],Crypto[[#This Row],[Name]],Crypto[Date],"&lt;="&amp;Crypto[[#This Row],[Date]])</f>
        <v>261.86975000000001</v>
      </c>
      <c r="H1506" s="3">
        <f>(Crypto[[#This Row],[Close]]/Crypto[[#This Row],[Peak Close]])-1</f>
        <v>-0.23650719489364469</v>
      </c>
      <c r="I1506">
        <v>194.46095</v>
      </c>
      <c r="J1506" s="1">
        <v>45701</v>
      </c>
      <c r="K1506" s="3">
        <v>2.81533130430556E-2</v>
      </c>
      <c r="L1506">
        <v>3732334277</v>
      </c>
      <c r="M1506" s="2" t="s">
        <v>14</v>
      </c>
    </row>
    <row r="1507" spans="1:13" x14ac:dyDescent="0.3">
      <c r="A1507" s="1">
        <v>45703</v>
      </c>
      <c r="B1507" s="2" t="s">
        <v>13</v>
      </c>
      <c r="C1507">
        <v>199.88677999999999</v>
      </c>
      <c r="D1507">
        <v>200.05339000000001</v>
      </c>
      <c r="E1507">
        <v>192.81378000000001</v>
      </c>
      <c r="F1507">
        <v>194.48209</v>
      </c>
      <c r="G1507">
        <f>_xlfn.MAXIFS(Crypto[Close],Crypto[Name],Crypto[[#This Row],[Name]],Crypto[Date],"&lt;="&amp;Crypto[[#This Row],[Date]])</f>
        <v>261.86975000000001</v>
      </c>
      <c r="H1507" s="3">
        <f>(Crypto[[#This Row],[Close]]/Crypto[[#This Row],[Peak Close]])-1</f>
        <v>-0.25733273889023078</v>
      </c>
      <c r="I1507">
        <v>199.93566999999999</v>
      </c>
      <c r="J1507" s="1">
        <v>45702</v>
      </c>
      <c r="K1507" s="3">
        <v>-2.7276673542044699E-2</v>
      </c>
      <c r="L1507">
        <v>1869221857</v>
      </c>
      <c r="M1507" s="2" t="s">
        <v>14</v>
      </c>
    </row>
    <row r="1508" spans="1:13" x14ac:dyDescent="0.3">
      <c r="A1508" s="1">
        <v>45704</v>
      </c>
      <c r="B1508" s="2" t="s">
        <v>13</v>
      </c>
      <c r="C1508">
        <v>194.48115999999999</v>
      </c>
      <c r="D1508">
        <v>196.07031000000001</v>
      </c>
      <c r="E1508">
        <v>186.97987000000001</v>
      </c>
      <c r="F1508">
        <v>188.4864</v>
      </c>
      <c r="G1508">
        <f>_xlfn.MAXIFS(Crypto[Close],Crypto[Name],Crypto[[#This Row],[Name]],Crypto[Date],"&lt;="&amp;Crypto[[#This Row],[Date]])</f>
        <v>261.86975000000001</v>
      </c>
      <c r="H1508" s="3">
        <f>(Crypto[[#This Row],[Close]]/Crypto[[#This Row],[Peak Close]])-1</f>
        <v>-0.28022843417385934</v>
      </c>
      <c r="I1508">
        <v>194.48209</v>
      </c>
      <c r="J1508" s="1">
        <v>45703</v>
      </c>
      <c r="K1508" s="3">
        <v>-3.0829008470651401E-2</v>
      </c>
      <c r="L1508">
        <v>2160799161</v>
      </c>
      <c r="M1508" s="2" t="s">
        <v>14</v>
      </c>
    </row>
    <row r="1509" spans="1:13" x14ac:dyDescent="0.3">
      <c r="A1509" s="1">
        <v>45705</v>
      </c>
      <c r="B1509" s="2" t="s">
        <v>13</v>
      </c>
      <c r="C1509">
        <v>188.48521</v>
      </c>
      <c r="D1509">
        <v>189.50649999999999</v>
      </c>
      <c r="E1509">
        <v>175.26355000000001</v>
      </c>
      <c r="F1509">
        <v>177.68974</v>
      </c>
      <c r="G1509">
        <f>_xlfn.MAXIFS(Crypto[Close],Crypto[Name],Crypto[[#This Row],[Name]],Crypto[Date],"&lt;="&amp;Crypto[[#This Row],[Date]])</f>
        <v>261.86975000000001</v>
      </c>
      <c r="H1509" s="3">
        <f>(Crypto[[#This Row],[Close]]/Crypto[[#This Row],[Peak Close]])-1</f>
        <v>-0.32145755666700715</v>
      </c>
      <c r="I1509">
        <v>188.4864</v>
      </c>
      <c r="J1509" s="1">
        <v>45704</v>
      </c>
      <c r="K1509" s="3">
        <v>-5.7280843604631398E-2</v>
      </c>
      <c r="L1509">
        <v>4345262539</v>
      </c>
      <c r="M1509" s="2" t="s">
        <v>14</v>
      </c>
    </row>
    <row r="1510" spans="1:13" x14ac:dyDescent="0.3">
      <c r="A1510" s="1">
        <v>45706</v>
      </c>
      <c r="B1510" s="2" t="s">
        <v>13</v>
      </c>
      <c r="C1510">
        <v>177.68861000000001</v>
      </c>
      <c r="D1510">
        <v>178.94607999999999</v>
      </c>
      <c r="E1510">
        <v>161.30545000000001</v>
      </c>
      <c r="F1510">
        <v>169.08429000000001</v>
      </c>
      <c r="G1510">
        <f>_xlfn.MAXIFS(Crypto[Close],Crypto[Name],Crypto[[#This Row],[Name]],Crypto[Date],"&lt;="&amp;Crypto[[#This Row],[Date]])</f>
        <v>261.86975000000001</v>
      </c>
      <c r="H1510" s="3">
        <f>(Crypto[[#This Row],[Close]]/Crypto[[#This Row],[Peak Close]])-1</f>
        <v>-0.35431912238813379</v>
      </c>
      <c r="I1510">
        <v>177.68974</v>
      </c>
      <c r="J1510" s="1">
        <v>45705</v>
      </c>
      <c r="K1510" s="3">
        <v>-4.8429639212708597E-2</v>
      </c>
      <c r="L1510">
        <v>6684824301</v>
      </c>
      <c r="M1510" s="2" t="s">
        <v>14</v>
      </c>
    </row>
    <row r="1511" spans="1:13" x14ac:dyDescent="0.3">
      <c r="A1511" s="1">
        <v>45707</v>
      </c>
      <c r="B1511" s="2" t="s">
        <v>13</v>
      </c>
      <c r="C1511">
        <v>169.08543</v>
      </c>
      <c r="D1511">
        <v>174.12147999999999</v>
      </c>
      <c r="E1511">
        <v>163.95939999999999</v>
      </c>
      <c r="F1511">
        <v>169.01079999999999</v>
      </c>
      <c r="G1511">
        <f>_xlfn.MAXIFS(Crypto[Close],Crypto[Name],Crypto[[#This Row],[Name]],Crypto[Date],"&lt;="&amp;Crypto[[#This Row],[Date]])</f>
        <v>261.86975000000001</v>
      </c>
      <c r="H1511" s="3">
        <f>(Crypto[[#This Row],[Close]]/Crypto[[#This Row],[Peak Close]])-1</f>
        <v>-0.35459975808584232</v>
      </c>
      <c r="I1511">
        <v>169.08429000000001</v>
      </c>
      <c r="J1511" s="1">
        <v>45706</v>
      </c>
      <c r="K1511" s="3">
        <v>-4.3463529343867999E-4</v>
      </c>
      <c r="L1511">
        <v>3717681436</v>
      </c>
      <c r="M1511" s="2" t="s">
        <v>14</v>
      </c>
    </row>
    <row r="1512" spans="1:13" x14ac:dyDescent="0.3">
      <c r="A1512" s="1">
        <v>45708</v>
      </c>
      <c r="B1512" s="2" t="s">
        <v>13</v>
      </c>
      <c r="C1512">
        <v>169.00533999999999</v>
      </c>
      <c r="D1512">
        <v>176.58813000000001</v>
      </c>
      <c r="E1512">
        <v>167.87345999999999</v>
      </c>
      <c r="F1512">
        <v>176.04889</v>
      </c>
      <c r="G1512">
        <f>_xlfn.MAXIFS(Crypto[Close],Crypto[Name],Crypto[[#This Row],[Name]],Crypto[Date],"&lt;="&amp;Crypto[[#This Row],[Date]])</f>
        <v>261.86975000000001</v>
      </c>
      <c r="H1512" s="3">
        <f>(Crypto[[#This Row],[Close]]/Crypto[[#This Row],[Peak Close]])-1</f>
        <v>-0.32772345794044566</v>
      </c>
      <c r="I1512">
        <v>169.01079999999999</v>
      </c>
      <c r="J1512" s="1">
        <v>45707</v>
      </c>
      <c r="K1512" s="3">
        <v>4.1642841759224898E-2</v>
      </c>
      <c r="L1512">
        <v>3347070717</v>
      </c>
      <c r="M1512" s="2" t="s">
        <v>14</v>
      </c>
    </row>
    <row r="1513" spans="1:13" x14ac:dyDescent="0.3">
      <c r="A1513" s="1">
        <v>45709</v>
      </c>
      <c r="B1513" s="2" t="s">
        <v>13</v>
      </c>
      <c r="C1513">
        <v>176.035</v>
      </c>
      <c r="D1513">
        <v>180.43396000000001</v>
      </c>
      <c r="E1513">
        <v>167.30507</v>
      </c>
      <c r="F1513">
        <v>168.89162999999999</v>
      </c>
      <c r="G1513">
        <f>_xlfn.MAXIFS(Crypto[Close],Crypto[Name],Crypto[[#This Row],[Name]],Crypto[Date],"&lt;="&amp;Crypto[[#This Row],[Date]])</f>
        <v>261.86975000000001</v>
      </c>
      <c r="H1513" s="3">
        <f>(Crypto[[#This Row],[Close]]/Crypto[[#This Row],[Peak Close]])-1</f>
        <v>-0.35505483164817631</v>
      </c>
      <c r="I1513">
        <v>176.04889</v>
      </c>
      <c r="J1513" s="1">
        <v>45708</v>
      </c>
      <c r="K1513" s="3">
        <v>-4.06549566998122E-2</v>
      </c>
      <c r="L1513">
        <v>4684370707</v>
      </c>
      <c r="M1513" s="2" t="s">
        <v>14</v>
      </c>
    </row>
    <row r="1514" spans="1:13" x14ac:dyDescent="0.3">
      <c r="A1514" s="1">
        <v>45710</v>
      </c>
      <c r="B1514" s="2" t="s">
        <v>13</v>
      </c>
      <c r="C1514">
        <v>168.89162999999999</v>
      </c>
      <c r="D1514">
        <v>174.46558999999999</v>
      </c>
      <c r="E1514">
        <v>168.36743000000001</v>
      </c>
      <c r="F1514">
        <v>172.16285999999999</v>
      </c>
      <c r="G1514">
        <f>_xlfn.MAXIFS(Crypto[Close],Crypto[Name],Crypto[[#This Row],[Name]],Crypto[Date],"&lt;="&amp;Crypto[[#This Row],[Date]])</f>
        <v>261.86975000000001</v>
      </c>
      <c r="H1514" s="3">
        <f>(Crypto[[#This Row],[Close]]/Crypto[[#This Row],[Peak Close]])-1</f>
        <v>-0.34256301080976326</v>
      </c>
      <c r="I1514">
        <v>168.89162999999999</v>
      </c>
      <c r="J1514" s="1">
        <v>45709</v>
      </c>
      <c r="K1514" s="3">
        <v>1.9368810639106299E-2</v>
      </c>
      <c r="L1514">
        <v>2026581266</v>
      </c>
      <c r="M1514" s="2" t="s">
        <v>14</v>
      </c>
    </row>
    <row r="1515" spans="1:13" x14ac:dyDescent="0.3">
      <c r="A1515" s="1">
        <v>45711</v>
      </c>
      <c r="B1515" s="2" t="s">
        <v>13</v>
      </c>
      <c r="C1515">
        <v>172.16346999999999</v>
      </c>
      <c r="D1515">
        <v>173.03605999999999</v>
      </c>
      <c r="E1515">
        <v>166.62765999999999</v>
      </c>
      <c r="F1515">
        <v>168.03811999999999</v>
      </c>
      <c r="G1515">
        <f>_xlfn.MAXIFS(Crypto[Close],Crypto[Name],Crypto[[#This Row],[Name]],Crypto[Date],"&lt;="&amp;Crypto[[#This Row],[Date]])</f>
        <v>261.86975000000001</v>
      </c>
      <c r="H1515" s="3">
        <f>(Crypto[[#This Row],[Close]]/Crypto[[#This Row],[Peak Close]])-1</f>
        <v>-0.35831412371990279</v>
      </c>
      <c r="I1515">
        <v>172.16285999999999</v>
      </c>
      <c r="J1515" s="1">
        <v>45710</v>
      </c>
      <c r="K1515" s="3">
        <v>-2.3958361286516801E-2</v>
      </c>
      <c r="L1515">
        <v>1621130854</v>
      </c>
      <c r="M1515" s="2" t="s">
        <v>14</v>
      </c>
    </row>
    <row r="1516" spans="1:13" x14ac:dyDescent="0.3">
      <c r="A1516" s="1">
        <v>45712</v>
      </c>
      <c r="B1516" s="2" t="s">
        <v>13</v>
      </c>
      <c r="C1516">
        <v>168.03811999999999</v>
      </c>
      <c r="D1516">
        <v>169.56247999999999</v>
      </c>
      <c r="E1516">
        <v>140.56650999999999</v>
      </c>
      <c r="F1516">
        <v>141.98948999999999</v>
      </c>
      <c r="G1516">
        <f>_xlfn.MAXIFS(Crypto[Close],Crypto[Name],Crypto[[#This Row],[Name]],Crypto[Date],"&lt;="&amp;Crypto[[#This Row],[Date]])</f>
        <v>261.86975000000001</v>
      </c>
      <c r="H1516" s="3">
        <f>(Crypto[[#This Row],[Close]]/Crypto[[#This Row],[Peak Close]])-1</f>
        <v>-0.45778582673256463</v>
      </c>
      <c r="I1516">
        <v>168.03811999999999</v>
      </c>
      <c r="J1516" s="1">
        <v>45711</v>
      </c>
      <c r="K1516" s="3">
        <v>-0.155016195134771</v>
      </c>
      <c r="L1516">
        <v>7062261489</v>
      </c>
      <c r="M1516" s="2" t="s">
        <v>14</v>
      </c>
    </row>
    <row r="1517" spans="1:13" x14ac:dyDescent="0.3">
      <c r="A1517" s="1">
        <v>45713</v>
      </c>
      <c r="B1517" s="2" t="s">
        <v>13</v>
      </c>
      <c r="C1517">
        <v>141.99234000000001</v>
      </c>
      <c r="D1517">
        <v>146.73987</v>
      </c>
      <c r="E1517">
        <v>132.48584</v>
      </c>
      <c r="F1517">
        <v>144.10776000000001</v>
      </c>
      <c r="G1517">
        <f>_xlfn.MAXIFS(Crypto[Close],Crypto[Name],Crypto[[#This Row],[Name]],Crypto[Date],"&lt;="&amp;Crypto[[#This Row],[Date]])</f>
        <v>261.86975000000001</v>
      </c>
      <c r="H1517" s="3">
        <f>(Crypto[[#This Row],[Close]]/Crypto[[#This Row],[Peak Close]])-1</f>
        <v>-0.44969680537748247</v>
      </c>
      <c r="I1517">
        <v>141.98948999999999</v>
      </c>
      <c r="J1517" s="1">
        <v>45712</v>
      </c>
      <c r="K1517" s="3">
        <v>1.4918498545209401E-2</v>
      </c>
      <c r="L1517">
        <v>9341433919</v>
      </c>
      <c r="M1517" s="2" t="s">
        <v>14</v>
      </c>
    </row>
    <row r="1518" spans="1:13" x14ac:dyDescent="0.3">
      <c r="A1518" s="1">
        <v>45714</v>
      </c>
      <c r="B1518" s="2" t="s">
        <v>13</v>
      </c>
      <c r="C1518">
        <v>144.09996000000001</v>
      </c>
      <c r="D1518">
        <v>144.87468000000001</v>
      </c>
      <c r="E1518">
        <v>130.69107</v>
      </c>
      <c r="F1518">
        <v>134.83133000000001</v>
      </c>
      <c r="G1518">
        <f>_xlfn.MAXIFS(Crypto[Close],Crypto[Name],Crypto[[#This Row],[Name]],Crypto[Date],"&lt;="&amp;Crypto[[#This Row],[Date]])</f>
        <v>261.86975000000001</v>
      </c>
      <c r="H1518" s="3">
        <f>(Crypto[[#This Row],[Close]]/Crypto[[#This Row],[Peak Close]])-1</f>
        <v>-0.48512063726337229</v>
      </c>
      <c r="I1518">
        <v>144.10776000000001</v>
      </c>
      <c r="J1518" s="1">
        <v>45713</v>
      </c>
      <c r="K1518" s="3">
        <v>-6.43714814524909E-2</v>
      </c>
      <c r="L1518">
        <v>4916419994</v>
      </c>
      <c r="M1518" s="2" t="s">
        <v>14</v>
      </c>
    </row>
    <row r="1519" spans="1:13" x14ac:dyDescent="0.3">
      <c r="A1519" s="1">
        <v>45715</v>
      </c>
      <c r="B1519" s="2" t="s">
        <v>13</v>
      </c>
      <c r="C1519">
        <v>134.83160000000001</v>
      </c>
      <c r="D1519">
        <v>142.18146999999999</v>
      </c>
      <c r="E1519">
        <v>134.72973999999999</v>
      </c>
      <c r="F1519">
        <v>137.6208</v>
      </c>
      <c r="G1519">
        <f>_xlfn.MAXIFS(Crypto[Close],Crypto[Name],Crypto[[#This Row],[Name]],Crypto[Date],"&lt;="&amp;Crypto[[#This Row],[Date]])</f>
        <v>261.86975000000001</v>
      </c>
      <c r="H1519" s="3">
        <f>(Crypto[[#This Row],[Close]]/Crypto[[#This Row],[Peak Close]])-1</f>
        <v>-0.47446850963121934</v>
      </c>
      <c r="I1519">
        <v>134.83133000000001</v>
      </c>
      <c r="J1519" s="1">
        <v>45714</v>
      </c>
      <c r="K1519" s="3">
        <v>2.0688589217357702E-2</v>
      </c>
      <c r="L1519">
        <v>3723520943</v>
      </c>
      <c r="M1519" s="2" t="s">
        <v>14</v>
      </c>
    </row>
    <row r="1520" spans="1:13" x14ac:dyDescent="0.3">
      <c r="A1520" s="1">
        <v>45716</v>
      </c>
      <c r="B1520" s="2" t="s">
        <v>13</v>
      </c>
      <c r="C1520">
        <v>137.62076999999999</v>
      </c>
      <c r="D1520">
        <v>148.18384</v>
      </c>
      <c r="E1520">
        <v>125.74222</v>
      </c>
      <c r="F1520">
        <v>148.03001</v>
      </c>
      <c r="G1520">
        <f>_xlfn.MAXIFS(Crypto[Close],Crypto[Name],Crypto[[#This Row],[Name]],Crypto[Date],"&lt;="&amp;Crypto[[#This Row],[Date]])</f>
        <v>261.86975000000001</v>
      </c>
      <c r="H1520" s="3">
        <f>(Crypto[[#This Row],[Close]]/Crypto[[#This Row],[Peak Close]])-1</f>
        <v>-0.43471893947277229</v>
      </c>
      <c r="I1520">
        <v>137.6208</v>
      </c>
      <c r="J1520" s="1">
        <v>45715</v>
      </c>
      <c r="K1520" s="3">
        <v>7.5636895004243601E-2</v>
      </c>
      <c r="L1520">
        <v>7544673033</v>
      </c>
      <c r="M1520" s="2" t="s">
        <v>14</v>
      </c>
    </row>
    <row r="1521" spans="1:13" x14ac:dyDescent="0.3">
      <c r="A1521" s="1">
        <v>45717</v>
      </c>
      <c r="B1521" s="2" t="s">
        <v>13</v>
      </c>
      <c r="C1521">
        <v>148.03021000000001</v>
      </c>
      <c r="D1521">
        <v>150.78716</v>
      </c>
      <c r="E1521">
        <v>138.68467999999999</v>
      </c>
      <c r="F1521">
        <v>143.67571000000001</v>
      </c>
      <c r="G1521">
        <f>_xlfn.MAXIFS(Crypto[Close],Crypto[Name],Crypto[[#This Row],[Name]],Crypto[Date],"&lt;="&amp;Crypto[[#This Row],[Date]])</f>
        <v>261.86975000000001</v>
      </c>
      <c r="H1521" s="3">
        <f>(Crypto[[#This Row],[Close]]/Crypto[[#This Row],[Peak Close]])-1</f>
        <v>-0.45134667138911611</v>
      </c>
      <c r="I1521">
        <v>148.03001</v>
      </c>
      <c r="J1521" s="1">
        <v>45716</v>
      </c>
      <c r="K1521" s="3">
        <v>-2.9414981462204799E-2</v>
      </c>
      <c r="L1521">
        <v>3305410077</v>
      </c>
      <c r="M1521" s="2" t="s">
        <v>14</v>
      </c>
    </row>
    <row r="1522" spans="1:13" x14ac:dyDescent="0.3">
      <c r="A1522" s="1">
        <v>45718</v>
      </c>
      <c r="B1522" s="2" t="s">
        <v>13</v>
      </c>
      <c r="C1522">
        <v>143.67672999999999</v>
      </c>
      <c r="D1522">
        <v>178.50855999999999</v>
      </c>
      <c r="E1522">
        <v>140.29758000000001</v>
      </c>
      <c r="F1522">
        <v>178.49549999999999</v>
      </c>
      <c r="G1522">
        <f>_xlfn.MAXIFS(Crypto[Close],Crypto[Name],Crypto[[#This Row],[Name]],Crypto[Date],"&lt;="&amp;Crypto[[#This Row],[Date]])</f>
        <v>261.86975000000001</v>
      </c>
      <c r="H1522" s="3">
        <f>(Crypto[[#This Row],[Close]]/Crypto[[#This Row],[Peak Close]])-1</f>
        <v>-0.31838060715298355</v>
      </c>
      <c r="I1522">
        <v>143.67571000000001</v>
      </c>
      <c r="J1522" s="1">
        <v>45717</v>
      </c>
      <c r="K1522" s="3">
        <v>0.24234987250106499</v>
      </c>
      <c r="L1522">
        <v>11540413390</v>
      </c>
      <c r="M1522" s="2" t="s">
        <v>14</v>
      </c>
    </row>
    <row r="1523" spans="1:13" x14ac:dyDescent="0.3">
      <c r="A1523" s="1">
        <v>45719</v>
      </c>
      <c r="B1523" s="2" t="s">
        <v>13</v>
      </c>
      <c r="C1523">
        <v>178.49524</v>
      </c>
      <c r="D1523">
        <v>178.63463999999999</v>
      </c>
      <c r="E1523">
        <v>139.7901</v>
      </c>
      <c r="F1523">
        <v>142.02108999999999</v>
      </c>
      <c r="G1523">
        <f>_xlfn.MAXIFS(Crypto[Close],Crypto[Name],Crypto[[#This Row],[Name]],Crypto[Date],"&lt;="&amp;Crypto[[#This Row],[Date]])</f>
        <v>261.86975000000001</v>
      </c>
      <c r="H1523" s="3">
        <f>(Crypto[[#This Row],[Close]]/Crypto[[#This Row],[Peak Close]])-1</f>
        <v>-0.45766515605563463</v>
      </c>
      <c r="I1523">
        <v>178.49549999999999</v>
      </c>
      <c r="J1523" s="1">
        <v>45718</v>
      </c>
      <c r="K1523" s="3">
        <v>-0.204343582891446</v>
      </c>
      <c r="L1523">
        <v>9241009702</v>
      </c>
      <c r="M1523" s="2" t="s">
        <v>14</v>
      </c>
    </row>
    <row r="1524" spans="1:13" x14ac:dyDescent="0.3">
      <c r="A1524" s="1">
        <v>45720</v>
      </c>
      <c r="B1524" s="2" t="s">
        <v>13</v>
      </c>
      <c r="C1524">
        <v>142.03318999999999</v>
      </c>
      <c r="D1524">
        <v>146.39646999999999</v>
      </c>
      <c r="E1524">
        <v>131.57346999999999</v>
      </c>
      <c r="F1524">
        <v>144.91658000000001</v>
      </c>
      <c r="G1524">
        <f>_xlfn.MAXIFS(Crypto[Close],Crypto[Name],Crypto[[#This Row],[Name]],Crypto[Date],"&lt;="&amp;Crypto[[#This Row],[Date]])</f>
        <v>261.86975000000001</v>
      </c>
      <c r="H1524" s="3">
        <f>(Crypto[[#This Row],[Close]]/Crypto[[#This Row],[Peak Close]])-1</f>
        <v>-0.44660817066499658</v>
      </c>
      <c r="I1524">
        <v>142.02108999999999</v>
      </c>
      <c r="J1524" s="1">
        <v>45719</v>
      </c>
      <c r="K1524" s="3">
        <v>2.0387746636784901E-2</v>
      </c>
      <c r="L1524">
        <v>8035056091</v>
      </c>
      <c r="M1524" s="2" t="s">
        <v>14</v>
      </c>
    </row>
    <row r="1525" spans="1:13" x14ac:dyDescent="0.3">
      <c r="A1525" s="1">
        <v>45721</v>
      </c>
      <c r="B1525" s="2" t="s">
        <v>13</v>
      </c>
      <c r="C1525">
        <v>144.91881000000001</v>
      </c>
      <c r="D1525">
        <v>149.48546999999999</v>
      </c>
      <c r="E1525">
        <v>140.59685999999999</v>
      </c>
      <c r="F1525">
        <v>146.26730000000001</v>
      </c>
      <c r="G1525">
        <f>_xlfn.MAXIFS(Crypto[Close],Crypto[Name],Crypto[[#This Row],[Name]],Crypto[Date],"&lt;="&amp;Crypto[[#This Row],[Date]])</f>
        <v>261.86975000000001</v>
      </c>
      <c r="H1525" s="3">
        <f>(Crypto[[#This Row],[Close]]/Crypto[[#This Row],[Peak Close]])-1</f>
        <v>-0.44145018659085289</v>
      </c>
      <c r="I1525">
        <v>144.91658000000001</v>
      </c>
      <c r="J1525" s="1">
        <v>45720</v>
      </c>
      <c r="K1525" s="3">
        <v>9.3206726242090095E-3</v>
      </c>
      <c r="L1525">
        <v>4501939048</v>
      </c>
      <c r="M1525" s="2" t="s">
        <v>14</v>
      </c>
    </row>
    <row r="1526" spans="1:13" x14ac:dyDescent="0.3">
      <c r="A1526" s="1">
        <v>45722</v>
      </c>
      <c r="B1526" s="2" t="s">
        <v>13</v>
      </c>
      <c r="C1526">
        <v>146.27065999999999</v>
      </c>
      <c r="D1526">
        <v>152.77924999999999</v>
      </c>
      <c r="E1526">
        <v>142.78039999999999</v>
      </c>
      <c r="F1526">
        <v>143.35522</v>
      </c>
      <c r="G1526">
        <f>_xlfn.MAXIFS(Crypto[Close],Crypto[Name],Crypto[[#This Row],[Name]],Crypto[Date],"&lt;="&amp;Crypto[[#This Row],[Date]])</f>
        <v>261.86975000000001</v>
      </c>
      <c r="H1526" s="3">
        <f>(Crypto[[#This Row],[Close]]/Crypto[[#This Row],[Peak Close]])-1</f>
        <v>-0.45257052408687903</v>
      </c>
      <c r="I1526">
        <v>146.26730000000001</v>
      </c>
      <c r="J1526" s="1">
        <v>45721</v>
      </c>
      <c r="K1526" s="3">
        <v>-1.9909303036290401E-2</v>
      </c>
      <c r="L1526">
        <v>4204376336</v>
      </c>
      <c r="M1526" s="2" t="s">
        <v>14</v>
      </c>
    </row>
    <row r="1527" spans="1:13" x14ac:dyDescent="0.3">
      <c r="A1527" s="1">
        <v>45723</v>
      </c>
      <c r="B1527" s="2" t="s">
        <v>13</v>
      </c>
      <c r="C1527">
        <v>143.35522</v>
      </c>
      <c r="D1527">
        <v>150.02324999999999</v>
      </c>
      <c r="E1527">
        <v>135.71716000000001</v>
      </c>
      <c r="F1527">
        <v>139.20913999999999</v>
      </c>
      <c r="G1527">
        <f>_xlfn.MAXIFS(Crypto[Close],Crypto[Name],Crypto[[#This Row],[Name]],Crypto[Date],"&lt;="&amp;Crypto[[#This Row],[Date]])</f>
        <v>261.86975000000001</v>
      </c>
      <c r="H1527" s="3">
        <f>(Crypto[[#This Row],[Close]]/Crypto[[#This Row],[Peak Close]])-1</f>
        <v>-0.46840312789086946</v>
      </c>
      <c r="I1527">
        <v>143.35522</v>
      </c>
      <c r="J1527" s="1">
        <v>45722</v>
      </c>
      <c r="K1527" s="3">
        <v>-2.8921723255002599E-2</v>
      </c>
      <c r="L1527">
        <v>6090751623</v>
      </c>
      <c r="M1527" s="2" t="s">
        <v>14</v>
      </c>
    </row>
    <row r="1528" spans="1:13" x14ac:dyDescent="0.3">
      <c r="A1528" s="1">
        <v>45724</v>
      </c>
      <c r="B1528" s="2" t="s">
        <v>13</v>
      </c>
      <c r="C1528">
        <v>139.20913999999999</v>
      </c>
      <c r="D1528">
        <v>140.90457000000001</v>
      </c>
      <c r="E1528">
        <v>135.48296999999999</v>
      </c>
      <c r="F1528">
        <v>136.94208</v>
      </c>
      <c r="G1528">
        <f>_xlfn.MAXIFS(Crypto[Close],Crypto[Name],Crypto[[#This Row],[Name]],Crypto[Date],"&lt;="&amp;Crypto[[#This Row],[Date]])</f>
        <v>261.86975000000001</v>
      </c>
      <c r="H1528" s="3">
        <f>(Crypto[[#This Row],[Close]]/Crypto[[#This Row],[Peak Close]])-1</f>
        <v>-0.47706033247444579</v>
      </c>
      <c r="I1528">
        <v>139.20913999999999</v>
      </c>
      <c r="J1528" s="1">
        <v>45723</v>
      </c>
      <c r="K1528" s="3">
        <v>-1.6285281268169499E-2</v>
      </c>
      <c r="L1528">
        <v>2270939562</v>
      </c>
      <c r="M1528" s="2" t="s">
        <v>14</v>
      </c>
    </row>
    <row r="1529" spans="1:13" x14ac:dyDescent="0.3">
      <c r="A1529" s="1">
        <v>45725</v>
      </c>
      <c r="B1529" s="2" t="s">
        <v>13</v>
      </c>
      <c r="C1529">
        <v>136.94282999999999</v>
      </c>
      <c r="D1529">
        <v>139.72577000000001</v>
      </c>
      <c r="E1529">
        <v>125.93571</v>
      </c>
      <c r="F1529">
        <v>126.43543</v>
      </c>
      <c r="G1529">
        <f>_xlfn.MAXIFS(Crypto[Close],Crypto[Name],Crypto[[#This Row],[Name]],Crypto[Date],"&lt;="&amp;Crypto[[#This Row],[Date]])</f>
        <v>261.86975000000001</v>
      </c>
      <c r="H1529" s="3">
        <f>(Crypto[[#This Row],[Close]]/Crypto[[#This Row],[Peak Close]])-1</f>
        <v>-0.51718199601137593</v>
      </c>
      <c r="I1529">
        <v>136.94208</v>
      </c>
      <c r="J1529" s="1">
        <v>45724</v>
      </c>
      <c r="K1529" s="3">
        <v>-7.6723312512852193E-2</v>
      </c>
      <c r="L1529">
        <v>3429886567</v>
      </c>
      <c r="M1529" s="2" t="s">
        <v>14</v>
      </c>
    </row>
    <row r="1530" spans="1:13" x14ac:dyDescent="0.3">
      <c r="A1530" s="1">
        <v>45726</v>
      </c>
      <c r="B1530" s="2" t="s">
        <v>13</v>
      </c>
      <c r="C1530">
        <v>126.43543</v>
      </c>
      <c r="D1530">
        <v>131.24095</v>
      </c>
      <c r="E1530">
        <v>115.91789</v>
      </c>
      <c r="F1530">
        <v>118.29174999999999</v>
      </c>
      <c r="G1530">
        <f>_xlfn.MAXIFS(Crypto[Close],Crypto[Name],Crypto[[#This Row],[Name]],Crypto[Date],"&lt;="&amp;Crypto[[#This Row],[Date]])</f>
        <v>261.86975000000001</v>
      </c>
      <c r="H1530" s="3">
        <f>(Crypto[[#This Row],[Close]]/Crypto[[#This Row],[Peak Close]])-1</f>
        <v>-0.54828020418547774</v>
      </c>
      <c r="I1530">
        <v>126.43543</v>
      </c>
      <c r="J1530" s="1">
        <v>45725</v>
      </c>
      <c r="K1530" s="3">
        <v>-6.4409793995243297E-2</v>
      </c>
      <c r="L1530">
        <v>5519806938</v>
      </c>
      <c r="M1530" s="2" t="s">
        <v>14</v>
      </c>
    </row>
    <row r="1531" spans="1:13" x14ac:dyDescent="0.3">
      <c r="A1531" s="1">
        <v>45727</v>
      </c>
      <c r="B1531" s="2" t="s">
        <v>13</v>
      </c>
      <c r="C1531">
        <v>118.29167</v>
      </c>
      <c r="D1531">
        <v>128.14886000000001</v>
      </c>
      <c r="E1531">
        <v>113.18921</v>
      </c>
      <c r="F1531">
        <v>125.26394999999999</v>
      </c>
      <c r="G1531">
        <f>_xlfn.MAXIFS(Crypto[Close],Crypto[Name],Crypto[[#This Row],[Name]],Crypto[Date],"&lt;="&amp;Crypto[[#This Row],[Date]])</f>
        <v>261.86975000000001</v>
      </c>
      <c r="H1531" s="3">
        <f>(Crypto[[#This Row],[Close]]/Crypto[[#This Row],[Peak Close]])-1</f>
        <v>-0.5216555176762494</v>
      </c>
      <c r="I1531">
        <v>118.29174999999999</v>
      </c>
      <c r="J1531" s="1">
        <v>45726</v>
      </c>
      <c r="K1531" s="3">
        <v>5.8940712264380198E-2</v>
      </c>
      <c r="L1531">
        <v>5259428587</v>
      </c>
      <c r="M1531" s="2" t="s">
        <v>14</v>
      </c>
    </row>
    <row r="1532" spans="1:13" x14ac:dyDescent="0.3">
      <c r="A1532" s="1">
        <v>45728</v>
      </c>
      <c r="B1532" s="2" t="s">
        <v>13</v>
      </c>
      <c r="C1532">
        <v>125.2619</v>
      </c>
      <c r="D1532">
        <v>130.65511000000001</v>
      </c>
      <c r="E1532">
        <v>121.36756</v>
      </c>
      <c r="F1532">
        <v>126.58324</v>
      </c>
      <c r="G1532">
        <f>_xlfn.MAXIFS(Crypto[Close],Crypto[Name],Crypto[[#This Row],[Name]],Crypto[Date],"&lt;="&amp;Crypto[[#This Row],[Date]])</f>
        <v>261.86975000000001</v>
      </c>
      <c r="H1532" s="3">
        <f>(Crypto[[#This Row],[Close]]/Crypto[[#This Row],[Peak Close]])-1</f>
        <v>-0.51661755510134333</v>
      </c>
      <c r="I1532">
        <v>125.26394999999999</v>
      </c>
      <c r="J1532" s="1">
        <v>45727</v>
      </c>
      <c r="K1532" s="3">
        <v>1.0532080458903101E-2</v>
      </c>
      <c r="L1532">
        <v>4112201839</v>
      </c>
      <c r="M1532" s="2" t="s">
        <v>14</v>
      </c>
    </row>
    <row r="1533" spans="1:13" x14ac:dyDescent="0.3">
      <c r="A1533" s="1">
        <v>45729</v>
      </c>
      <c r="B1533" s="2" t="s">
        <v>13</v>
      </c>
      <c r="C1533">
        <v>126.58324</v>
      </c>
      <c r="D1533">
        <v>128.15862999999999</v>
      </c>
      <c r="E1533">
        <v>120.90948</v>
      </c>
      <c r="F1533">
        <v>123.28615000000001</v>
      </c>
      <c r="G1533">
        <f>_xlfn.MAXIFS(Crypto[Close],Crypto[Name],Crypto[[#This Row],[Name]],Crypto[Date],"&lt;="&amp;Crypto[[#This Row],[Date]])</f>
        <v>261.86975000000001</v>
      </c>
      <c r="H1533" s="3">
        <f>(Crypto[[#This Row],[Close]]/Crypto[[#This Row],[Peak Close]])-1</f>
        <v>-0.52920812732283895</v>
      </c>
      <c r="I1533">
        <v>126.58324</v>
      </c>
      <c r="J1533" s="1">
        <v>45728</v>
      </c>
      <c r="K1533" s="3">
        <v>-2.6046813148407299E-2</v>
      </c>
      <c r="L1533">
        <v>2871050068</v>
      </c>
      <c r="M1533" s="2" t="s">
        <v>14</v>
      </c>
    </row>
    <row r="1534" spans="1:13" x14ac:dyDescent="0.3">
      <c r="A1534" s="1">
        <v>45730</v>
      </c>
      <c r="B1534" s="2" t="s">
        <v>13</v>
      </c>
      <c r="C1534">
        <v>123.28660000000001</v>
      </c>
      <c r="D1534">
        <v>135.64348000000001</v>
      </c>
      <c r="E1534">
        <v>123.11715</v>
      </c>
      <c r="F1534">
        <v>133.31448</v>
      </c>
      <c r="G1534">
        <f>_xlfn.MAXIFS(Crypto[Close],Crypto[Name],Crypto[[#This Row],[Name]],Crypto[Date],"&lt;="&amp;Crypto[[#This Row],[Date]])</f>
        <v>261.86975000000001</v>
      </c>
      <c r="H1534" s="3">
        <f>(Crypto[[#This Row],[Close]]/Crypto[[#This Row],[Peak Close]])-1</f>
        <v>-0.49091302069062959</v>
      </c>
      <c r="I1534">
        <v>123.28615000000001</v>
      </c>
      <c r="J1534" s="1">
        <v>45729</v>
      </c>
      <c r="K1534" s="3">
        <v>8.1341902557586498E-2</v>
      </c>
      <c r="L1534">
        <v>3161542602</v>
      </c>
      <c r="M1534" s="2" t="s">
        <v>14</v>
      </c>
    </row>
    <row r="1535" spans="1:13" x14ac:dyDescent="0.3">
      <c r="A1535" s="1">
        <v>45731</v>
      </c>
      <c r="B1535" s="2" t="s">
        <v>13</v>
      </c>
      <c r="C1535">
        <v>133.31325000000001</v>
      </c>
      <c r="D1535">
        <v>136.48133999999999</v>
      </c>
      <c r="E1535">
        <v>132.55994999999999</v>
      </c>
      <c r="F1535">
        <v>135.91254000000001</v>
      </c>
      <c r="G1535">
        <f>_xlfn.MAXIFS(Crypto[Close],Crypto[Name],Crypto[[#This Row],[Name]],Crypto[Date],"&lt;="&amp;Crypto[[#This Row],[Date]])</f>
        <v>261.86975000000001</v>
      </c>
      <c r="H1535" s="3">
        <f>(Crypto[[#This Row],[Close]]/Crypto[[#This Row],[Peak Close]])-1</f>
        <v>-0.48099182895313419</v>
      </c>
      <c r="I1535">
        <v>133.31448</v>
      </c>
      <c r="J1535" s="1">
        <v>45730</v>
      </c>
      <c r="K1535" s="3">
        <v>1.9488205632276399E-2</v>
      </c>
      <c r="L1535">
        <v>1844463215</v>
      </c>
      <c r="M1535" s="2" t="s">
        <v>14</v>
      </c>
    </row>
    <row r="1536" spans="1:13" x14ac:dyDescent="0.3">
      <c r="A1536" s="1">
        <v>45732</v>
      </c>
      <c r="B1536" s="2" t="s">
        <v>13</v>
      </c>
      <c r="C1536">
        <v>135.91678999999999</v>
      </c>
      <c r="D1536">
        <v>136.46898999999999</v>
      </c>
      <c r="E1536">
        <v>125.38741</v>
      </c>
      <c r="F1536">
        <v>125.98811000000001</v>
      </c>
      <c r="G1536">
        <f>_xlfn.MAXIFS(Crypto[Close],Crypto[Name],Crypto[[#This Row],[Name]],Crypto[Date],"&lt;="&amp;Crypto[[#This Row],[Date]])</f>
        <v>261.86975000000001</v>
      </c>
      <c r="H1536" s="3">
        <f>(Crypto[[#This Row],[Close]]/Crypto[[#This Row],[Peak Close]])-1</f>
        <v>-0.51889017345455135</v>
      </c>
      <c r="I1536">
        <v>135.91254000000001</v>
      </c>
      <c r="J1536" s="1">
        <v>45731</v>
      </c>
      <c r="K1536" s="3">
        <v>-7.3020708758735606E-2</v>
      </c>
      <c r="L1536">
        <v>2456569508</v>
      </c>
      <c r="M1536" s="2" t="s">
        <v>14</v>
      </c>
    </row>
    <row r="1537" spans="1:13" x14ac:dyDescent="0.3">
      <c r="A1537" s="1">
        <v>45733</v>
      </c>
      <c r="B1537" s="2" t="s">
        <v>13</v>
      </c>
      <c r="C1537">
        <v>125.98742</v>
      </c>
      <c r="D1537">
        <v>130.52687</v>
      </c>
      <c r="E1537">
        <v>125.86190000000001</v>
      </c>
      <c r="F1537">
        <v>128.16371000000001</v>
      </c>
      <c r="G1537">
        <f>_xlfn.MAXIFS(Crypto[Close],Crypto[Name],Crypto[[#This Row],[Name]],Crypto[Date],"&lt;="&amp;Crypto[[#This Row],[Date]])</f>
        <v>261.86975000000001</v>
      </c>
      <c r="H1537" s="3">
        <f>(Crypto[[#This Row],[Close]]/Crypto[[#This Row],[Peak Close]])-1</f>
        <v>-0.51058222646945661</v>
      </c>
      <c r="I1537">
        <v>125.98811000000001</v>
      </c>
      <c r="J1537" s="1">
        <v>45732</v>
      </c>
      <c r="K1537" s="3">
        <v>1.7268296190807199E-2</v>
      </c>
      <c r="L1537">
        <v>2487364373</v>
      </c>
      <c r="M1537" s="2" t="s">
        <v>14</v>
      </c>
    </row>
    <row r="1538" spans="1:13" x14ac:dyDescent="0.3">
      <c r="A1538" s="1">
        <v>45734</v>
      </c>
      <c r="B1538" s="2" t="s">
        <v>13</v>
      </c>
      <c r="C1538">
        <v>128.16135</v>
      </c>
      <c r="D1538">
        <v>128.16135</v>
      </c>
      <c r="E1538">
        <v>121.94453</v>
      </c>
      <c r="F1538">
        <v>125.31270000000001</v>
      </c>
      <c r="G1538">
        <f>_xlfn.MAXIFS(Crypto[Close],Crypto[Name],Crypto[[#This Row],[Name]],Crypto[Date],"&lt;="&amp;Crypto[[#This Row],[Date]])</f>
        <v>261.86975000000001</v>
      </c>
      <c r="H1538" s="3">
        <f>(Crypto[[#This Row],[Close]]/Crypto[[#This Row],[Peak Close]])-1</f>
        <v>-0.52146935642623859</v>
      </c>
      <c r="I1538">
        <v>128.16371000000001</v>
      </c>
      <c r="J1538" s="1">
        <v>45733</v>
      </c>
      <c r="K1538" s="3">
        <v>-2.22450645350388E-2</v>
      </c>
      <c r="L1538">
        <v>2534317858</v>
      </c>
      <c r="M1538" s="2" t="s">
        <v>14</v>
      </c>
    </row>
    <row r="1539" spans="1:13" x14ac:dyDescent="0.3">
      <c r="A1539" s="1">
        <v>45735</v>
      </c>
      <c r="B1539" s="2" t="s">
        <v>13</v>
      </c>
      <c r="C1539">
        <v>125.31229</v>
      </c>
      <c r="D1539">
        <v>135.92552000000001</v>
      </c>
      <c r="E1539">
        <v>124.29733</v>
      </c>
      <c r="F1539">
        <v>135.57250999999999</v>
      </c>
      <c r="G1539">
        <f>_xlfn.MAXIFS(Crypto[Close],Crypto[Name],Crypto[[#This Row],[Name]],Crypto[Date],"&lt;="&amp;Crypto[[#This Row],[Date]])</f>
        <v>261.86975000000001</v>
      </c>
      <c r="H1539" s="3">
        <f>(Crypto[[#This Row],[Close]]/Crypto[[#This Row],[Peak Close]])-1</f>
        <v>-0.48229029889859376</v>
      </c>
      <c r="I1539">
        <v>125.31270000000001</v>
      </c>
      <c r="J1539" s="1">
        <v>45734</v>
      </c>
      <c r="K1539" s="3">
        <v>8.1873664840036095E-2</v>
      </c>
      <c r="L1539">
        <v>3539287974</v>
      </c>
      <c r="M1539" s="2" t="s">
        <v>14</v>
      </c>
    </row>
    <row r="1540" spans="1:13" x14ac:dyDescent="0.3">
      <c r="A1540" s="1">
        <v>45736</v>
      </c>
      <c r="B1540" s="2" t="s">
        <v>13</v>
      </c>
      <c r="C1540">
        <v>135.57416000000001</v>
      </c>
      <c r="D1540">
        <v>135.77260999999999</v>
      </c>
      <c r="E1540">
        <v>126.85357999999999</v>
      </c>
      <c r="F1540">
        <v>127.49718</v>
      </c>
      <c r="G1540">
        <f>_xlfn.MAXIFS(Crypto[Close],Crypto[Name],Crypto[[#This Row],[Name]],Crypto[Date],"&lt;="&amp;Crypto[[#This Row],[Date]])</f>
        <v>261.86975000000001</v>
      </c>
      <c r="H1540" s="3">
        <f>(Crypto[[#This Row],[Close]]/Crypto[[#This Row],[Peak Close]])-1</f>
        <v>-0.51312749945344971</v>
      </c>
      <c r="I1540">
        <v>135.57250999999999</v>
      </c>
      <c r="J1540" s="1">
        <v>45735</v>
      </c>
      <c r="K1540" s="3">
        <v>-5.9564656581190402E-2</v>
      </c>
      <c r="L1540">
        <v>2469659459</v>
      </c>
      <c r="M1540" s="2" t="s">
        <v>14</v>
      </c>
    </row>
    <row r="1541" spans="1:13" x14ac:dyDescent="0.3">
      <c r="A1541" s="1">
        <v>45737</v>
      </c>
      <c r="B1541" s="2" t="s">
        <v>13</v>
      </c>
      <c r="C1541">
        <v>127.49885999999999</v>
      </c>
      <c r="D1541">
        <v>129.95624000000001</v>
      </c>
      <c r="E1541">
        <v>124.97736999999999</v>
      </c>
      <c r="F1541">
        <v>128.43030999999999</v>
      </c>
      <c r="G1541">
        <f>_xlfn.MAXIFS(Crypto[Close],Crypto[Name],Crypto[[#This Row],[Name]],Crypto[Date],"&lt;="&amp;Crypto[[#This Row],[Date]])</f>
        <v>261.86975000000001</v>
      </c>
      <c r="H1541" s="3">
        <f>(Crypto[[#This Row],[Close]]/Crypto[[#This Row],[Peak Close]])-1</f>
        <v>-0.50956416310016728</v>
      </c>
      <c r="I1541">
        <v>127.49718</v>
      </c>
      <c r="J1541" s="1">
        <v>45736</v>
      </c>
      <c r="K1541" s="3">
        <v>7.3188285419331697E-3</v>
      </c>
      <c r="L1541">
        <v>2370317364</v>
      </c>
      <c r="M1541" s="2" t="s">
        <v>14</v>
      </c>
    </row>
    <row r="1542" spans="1:13" x14ac:dyDescent="0.3">
      <c r="A1542" s="1">
        <v>45738</v>
      </c>
      <c r="B1542" s="2" t="s">
        <v>13</v>
      </c>
      <c r="C1542">
        <v>128.42993000000001</v>
      </c>
      <c r="D1542">
        <v>131.57619</v>
      </c>
      <c r="E1542">
        <v>127.93256</v>
      </c>
      <c r="F1542">
        <v>128.48499000000001</v>
      </c>
      <c r="G1542">
        <f>_xlfn.MAXIFS(Crypto[Close],Crypto[Name],Crypto[[#This Row],[Name]],Crypto[Date],"&lt;="&amp;Crypto[[#This Row],[Date]])</f>
        <v>261.86975000000001</v>
      </c>
      <c r="H1542" s="3">
        <f>(Crypto[[#This Row],[Close]]/Crypto[[#This Row],[Peak Close]])-1</f>
        <v>-0.50935535700477041</v>
      </c>
      <c r="I1542">
        <v>128.43030999999999</v>
      </c>
      <c r="J1542" s="1">
        <v>45737</v>
      </c>
      <c r="K1542" s="3">
        <v>4.2575619415711899E-4</v>
      </c>
      <c r="L1542">
        <v>1442831196</v>
      </c>
      <c r="M1542" s="2" t="s">
        <v>14</v>
      </c>
    </row>
    <row r="1543" spans="1:13" x14ac:dyDescent="0.3">
      <c r="A1543" s="1">
        <v>45739</v>
      </c>
      <c r="B1543" s="2" t="s">
        <v>13</v>
      </c>
      <c r="C1543">
        <v>128.48447999999999</v>
      </c>
      <c r="D1543">
        <v>133.96196</v>
      </c>
      <c r="E1543">
        <v>128.34225000000001</v>
      </c>
      <c r="F1543">
        <v>132.59932000000001</v>
      </c>
      <c r="G1543">
        <f>_xlfn.MAXIFS(Crypto[Close],Crypto[Name],Crypto[[#This Row],[Name]],Crypto[Date],"&lt;="&amp;Crypto[[#This Row],[Date]])</f>
        <v>261.86975000000001</v>
      </c>
      <c r="H1543" s="3">
        <f>(Crypto[[#This Row],[Close]]/Crypto[[#This Row],[Peak Close]])-1</f>
        <v>-0.49364399668155634</v>
      </c>
      <c r="I1543">
        <v>128.48499000000001</v>
      </c>
      <c r="J1543" s="1">
        <v>45738</v>
      </c>
      <c r="K1543" s="3">
        <v>3.2021872749493897E-2</v>
      </c>
      <c r="L1543">
        <v>1711242607</v>
      </c>
      <c r="M1543" s="2" t="s">
        <v>14</v>
      </c>
    </row>
    <row r="1544" spans="1:13" x14ac:dyDescent="0.3">
      <c r="A1544" s="1">
        <v>45740</v>
      </c>
      <c r="B1544" s="2" t="s">
        <v>13</v>
      </c>
      <c r="C1544">
        <v>132.59932000000001</v>
      </c>
      <c r="D1544">
        <v>144.88309000000001</v>
      </c>
      <c r="E1544">
        <v>132.1618</v>
      </c>
      <c r="F1544">
        <v>140.86928</v>
      </c>
      <c r="G1544">
        <f>_xlfn.MAXIFS(Crypto[Close],Crypto[Name],Crypto[[#This Row],[Name]],Crypto[Date],"&lt;="&amp;Crypto[[#This Row],[Date]])</f>
        <v>261.86975000000001</v>
      </c>
      <c r="H1544" s="3">
        <f>(Crypto[[#This Row],[Close]]/Crypto[[#This Row],[Peak Close]])-1</f>
        <v>-0.46206356404281135</v>
      </c>
      <c r="I1544">
        <v>132.59932000000001</v>
      </c>
      <c r="J1544" s="1">
        <v>45739</v>
      </c>
      <c r="K1544" s="3">
        <v>6.23680423097192E-2</v>
      </c>
      <c r="L1544">
        <v>4207560020</v>
      </c>
      <c r="M1544" s="2" t="s">
        <v>14</v>
      </c>
    </row>
    <row r="1545" spans="1:13" x14ac:dyDescent="0.3">
      <c r="A1545" s="1">
        <v>45741</v>
      </c>
      <c r="B1545" s="2" t="s">
        <v>13</v>
      </c>
      <c r="C1545">
        <v>140.87473</v>
      </c>
      <c r="D1545">
        <v>147.05799999999999</v>
      </c>
      <c r="E1545">
        <v>138.34667999999999</v>
      </c>
      <c r="F1545">
        <v>143.81708</v>
      </c>
      <c r="G1545">
        <f>_xlfn.MAXIFS(Crypto[Close],Crypto[Name],Crypto[[#This Row],[Name]],Crypto[Date],"&lt;="&amp;Crypto[[#This Row],[Date]])</f>
        <v>261.86975000000001</v>
      </c>
      <c r="H1545" s="3">
        <f>(Crypto[[#This Row],[Close]]/Crypto[[#This Row],[Peak Close]])-1</f>
        <v>-0.45080682285754659</v>
      </c>
      <c r="I1545">
        <v>140.86928</v>
      </c>
      <c r="J1545" s="1">
        <v>45740</v>
      </c>
      <c r="K1545" s="3">
        <v>2.0925783108992999E-2</v>
      </c>
      <c r="L1545">
        <v>3585353324</v>
      </c>
      <c r="M1545" s="2" t="s">
        <v>14</v>
      </c>
    </row>
    <row r="1546" spans="1:13" x14ac:dyDescent="0.3">
      <c r="A1546" s="1">
        <v>45742</v>
      </c>
      <c r="B1546" s="2" t="s">
        <v>13</v>
      </c>
      <c r="C1546">
        <v>143.81708</v>
      </c>
      <c r="D1546">
        <v>145.36848000000001</v>
      </c>
      <c r="E1546">
        <v>136.13634999999999</v>
      </c>
      <c r="F1546">
        <v>137.28856999999999</v>
      </c>
      <c r="G1546">
        <f>_xlfn.MAXIFS(Crypto[Close],Crypto[Name],Crypto[[#This Row],[Name]],Crypto[Date],"&lt;="&amp;Crypto[[#This Row],[Date]])</f>
        <v>261.86975000000001</v>
      </c>
      <c r="H1546" s="3">
        <f>(Crypto[[#This Row],[Close]]/Crypto[[#This Row],[Peak Close]])-1</f>
        <v>-0.47573719377667723</v>
      </c>
      <c r="I1546">
        <v>143.81708</v>
      </c>
      <c r="J1546" s="1">
        <v>45741</v>
      </c>
      <c r="K1546" s="3">
        <v>-4.5394538673709801E-2</v>
      </c>
      <c r="L1546">
        <v>3083070981</v>
      </c>
      <c r="M1546" s="2" t="s">
        <v>14</v>
      </c>
    </row>
    <row r="1547" spans="1:13" x14ac:dyDescent="0.3">
      <c r="A1547" s="1">
        <v>45743</v>
      </c>
      <c r="B1547" s="2" t="s">
        <v>13</v>
      </c>
      <c r="C1547">
        <v>137.29095000000001</v>
      </c>
      <c r="D1547">
        <v>140.17451</v>
      </c>
      <c r="E1547">
        <v>135.92221000000001</v>
      </c>
      <c r="F1547">
        <v>138.34737999999999</v>
      </c>
      <c r="G1547">
        <f>_xlfn.MAXIFS(Crypto[Close],Crypto[Name],Crypto[[#This Row],[Name]],Crypto[Date],"&lt;="&amp;Crypto[[#This Row],[Date]])</f>
        <v>261.86975000000001</v>
      </c>
      <c r="H1547" s="3">
        <f>(Crypto[[#This Row],[Close]]/Crypto[[#This Row],[Peak Close]])-1</f>
        <v>-0.47169392417413625</v>
      </c>
      <c r="I1547">
        <v>137.28856999999999</v>
      </c>
      <c r="J1547" s="1">
        <v>45742</v>
      </c>
      <c r="K1547" s="3">
        <v>7.7122953498604697E-3</v>
      </c>
      <c r="L1547">
        <v>2660348034</v>
      </c>
      <c r="M1547" s="2" t="s">
        <v>14</v>
      </c>
    </row>
    <row r="1548" spans="1:13" x14ac:dyDescent="0.3">
      <c r="A1548" s="1">
        <v>45744</v>
      </c>
      <c r="B1548" s="2" t="s">
        <v>13</v>
      </c>
      <c r="C1548">
        <v>138.34724</v>
      </c>
      <c r="D1548">
        <v>138.95282</v>
      </c>
      <c r="E1548">
        <v>127.98094</v>
      </c>
      <c r="F1548">
        <v>129.42316</v>
      </c>
      <c r="G1548">
        <f>_xlfn.MAXIFS(Crypto[Close],Crypto[Name],Crypto[[#This Row],[Name]],Crypto[Date],"&lt;="&amp;Crypto[[#This Row],[Date]])</f>
        <v>261.86975000000001</v>
      </c>
      <c r="H1548" s="3">
        <f>(Crypto[[#This Row],[Close]]/Crypto[[#This Row],[Peak Close]])-1</f>
        <v>-0.50577277444225621</v>
      </c>
      <c r="I1548">
        <v>138.34737999999999</v>
      </c>
      <c r="J1548" s="1">
        <v>45743</v>
      </c>
      <c r="K1548" s="3">
        <v>-6.4505883667619807E-2</v>
      </c>
      <c r="L1548">
        <v>3532896573</v>
      </c>
      <c r="M1548" s="2" t="s">
        <v>14</v>
      </c>
    </row>
    <row r="1549" spans="1:13" x14ac:dyDescent="0.3">
      <c r="A1549" s="1">
        <v>45745</v>
      </c>
      <c r="B1549" s="2" t="s">
        <v>13</v>
      </c>
      <c r="C1549">
        <v>129.42451</v>
      </c>
      <c r="D1549">
        <v>130.38050999999999</v>
      </c>
      <c r="E1549">
        <v>123.07389000000001</v>
      </c>
      <c r="F1549">
        <v>124.58765</v>
      </c>
      <c r="G1549">
        <f>_xlfn.MAXIFS(Crypto[Close],Crypto[Name],Crypto[[#This Row],[Name]],Crypto[Date],"&lt;="&amp;Crypto[[#This Row],[Date]])</f>
        <v>261.86975000000001</v>
      </c>
      <c r="H1549" s="3">
        <f>(Crypto[[#This Row],[Close]]/Crypto[[#This Row],[Peak Close]])-1</f>
        <v>-0.52423809928409071</v>
      </c>
      <c r="I1549">
        <v>129.42316</v>
      </c>
      <c r="J1549" s="1">
        <v>45744</v>
      </c>
      <c r="K1549" s="3">
        <v>-3.7362014650237203E-2</v>
      </c>
      <c r="L1549">
        <v>2253256988</v>
      </c>
      <c r="M1549" s="2" t="s">
        <v>14</v>
      </c>
    </row>
    <row r="1550" spans="1:13" x14ac:dyDescent="0.3">
      <c r="A1550" s="1">
        <v>45746</v>
      </c>
      <c r="B1550" s="2" t="s">
        <v>13</v>
      </c>
      <c r="C1550">
        <v>124.58649</v>
      </c>
      <c r="D1550">
        <v>126.62339</v>
      </c>
      <c r="E1550">
        <v>123.30076</v>
      </c>
      <c r="F1550">
        <v>124.64263</v>
      </c>
      <c r="G1550">
        <f>_xlfn.MAXIFS(Crypto[Close],Crypto[Name],Crypto[[#This Row],[Name]],Crypto[Date],"&lt;="&amp;Crypto[[#This Row],[Date]])</f>
        <v>261.86975000000001</v>
      </c>
      <c r="H1550" s="3">
        <f>(Crypto[[#This Row],[Close]]/Crypto[[#This Row],[Peak Close]])-1</f>
        <v>-0.52402814758100158</v>
      </c>
      <c r="I1550">
        <v>124.58765</v>
      </c>
      <c r="J1550" s="1">
        <v>45745</v>
      </c>
      <c r="K1550" s="3">
        <v>4.41295746408255E-4</v>
      </c>
      <c r="L1550">
        <v>1639017444</v>
      </c>
      <c r="M1550" s="2" t="s">
        <v>14</v>
      </c>
    </row>
    <row r="1551" spans="1:13" x14ac:dyDescent="0.3">
      <c r="A1551" s="1">
        <v>45747</v>
      </c>
      <c r="B1551" s="2" t="s">
        <v>13</v>
      </c>
      <c r="C1551">
        <v>124.64403</v>
      </c>
      <c r="D1551">
        <v>127.6969</v>
      </c>
      <c r="E1551">
        <v>123.07924</v>
      </c>
      <c r="F1551">
        <v>124.69413</v>
      </c>
      <c r="G1551">
        <f>_xlfn.MAXIFS(Crypto[Close],Crypto[Name],Crypto[[#This Row],[Name]],Crypto[Date],"&lt;="&amp;Crypto[[#This Row],[Date]])</f>
        <v>261.86975000000001</v>
      </c>
      <c r="H1551" s="3">
        <f>(Crypto[[#This Row],[Close]]/Crypto[[#This Row],[Peak Close]])-1</f>
        <v>-0.52383148492714415</v>
      </c>
      <c r="I1551">
        <v>124.64263</v>
      </c>
      <c r="J1551" s="1">
        <v>45746</v>
      </c>
      <c r="K1551" s="3">
        <v>4.1318126872005401E-4</v>
      </c>
      <c r="L1551">
        <v>3206702485</v>
      </c>
      <c r="M1551" s="2" t="s">
        <v>14</v>
      </c>
    </row>
    <row r="1552" spans="1:13" x14ac:dyDescent="0.3">
      <c r="A1552" s="1">
        <v>45748</v>
      </c>
      <c r="B1552" s="2" t="s">
        <v>13</v>
      </c>
      <c r="C1552">
        <v>124.69534</v>
      </c>
      <c r="D1552">
        <v>130.03242</v>
      </c>
      <c r="E1552">
        <v>123.94904</v>
      </c>
      <c r="F1552">
        <v>126.68237999999999</v>
      </c>
      <c r="G1552">
        <f>_xlfn.MAXIFS(Crypto[Close],Crypto[Name],Crypto[[#This Row],[Name]],Crypto[Date],"&lt;="&amp;Crypto[[#This Row],[Date]])</f>
        <v>261.86975000000001</v>
      </c>
      <c r="H1552" s="3">
        <f>(Crypto[[#This Row],[Close]]/Crypto[[#This Row],[Peak Close]])-1</f>
        <v>-0.51623896994593688</v>
      </c>
      <c r="I1552">
        <v>124.69413</v>
      </c>
      <c r="J1552" s="1">
        <v>45747</v>
      </c>
      <c r="K1552" s="3">
        <v>1.5945016818353801E-2</v>
      </c>
      <c r="L1552">
        <v>2993289339</v>
      </c>
      <c r="M1552" s="2" t="s">
        <v>14</v>
      </c>
    </row>
    <row r="1553" spans="1:13" x14ac:dyDescent="0.3">
      <c r="A1553" s="1">
        <v>45749</v>
      </c>
      <c r="B1553" s="2" t="s">
        <v>13</v>
      </c>
      <c r="C1553">
        <v>126.67959999999999</v>
      </c>
      <c r="D1553">
        <v>135.69578999999999</v>
      </c>
      <c r="E1553">
        <v>117.74428</v>
      </c>
      <c r="F1553">
        <v>117.75763000000001</v>
      </c>
      <c r="G1553">
        <f>_xlfn.MAXIFS(Crypto[Close],Crypto[Name],Crypto[[#This Row],[Name]],Crypto[Date],"&lt;="&amp;Crypto[[#This Row],[Date]])</f>
        <v>261.86975000000001</v>
      </c>
      <c r="H1553" s="3">
        <f>(Crypto[[#This Row],[Close]]/Crypto[[#This Row],[Peak Close]])-1</f>
        <v>-0.55031984412098001</v>
      </c>
      <c r="I1553">
        <v>126.68237999999999</v>
      </c>
      <c r="J1553" s="1">
        <v>45748</v>
      </c>
      <c r="K1553" s="3">
        <v>-7.0449813146863799E-2</v>
      </c>
      <c r="L1553">
        <v>5399672438</v>
      </c>
      <c r="M1553" s="2" t="s">
        <v>14</v>
      </c>
    </row>
    <row r="1554" spans="1:13" x14ac:dyDescent="0.3">
      <c r="A1554" s="1">
        <v>45750</v>
      </c>
      <c r="B1554" s="2" t="s">
        <v>13</v>
      </c>
      <c r="C1554">
        <v>117.7492</v>
      </c>
      <c r="D1554">
        <v>120.78982999999999</v>
      </c>
      <c r="E1554">
        <v>112.47826000000001</v>
      </c>
      <c r="F1554">
        <v>117.06144999999999</v>
      </c>
      <c r="G1554">
        <f>_xlfn.MAXIFS(Crypto[Close],Crypto[Name],Crypto[[#This Row],[Name]],Crypto[Date],"&lt;="&amp;Crypto[[#This Row],[Date]])</f>
        <v>261.86975000000001</v>
      </c>
      <c r="H1554" s="3">
        <f>(Crypto[[#This Row],[Close]]/Crypto[[#This Row],[Peak Close]])-1</f>
        <v>-0.55297834133190271</v>
      </c>
      <c r="I1554">
        <v>117.75763000000001</v>
      </c>
      <c r="J1554" s="1">
        <v>45749</v>
      </c>
      <c r="K1554" s="3">
        <v>-5.9119736020503497E-3</v>
      </c>
      <c r="L1554">
        <v>4633002432</v>
      </c>
      <c r="M1554" s="2" t="s">
        <v>14</v>
      </c>
    </row>
    <row r="1555" spans="1:13" x14ac:dyDescent="0.3">
      <c r="A1555" s="1">
        <v>45751</v>
      </c>
      <c r="B1555" s="2" t="s">
        <v>13</v>
      </c>
      <c r="C1555">
        <v>117.06480999999999</v>
      </c>
      <c r="D1555">
        <v>123.9006</v>
      </c>
      <c r="E1555">
        <v>113.60323</v>
      </c>
      <c r="F1555">
        <v>122.78688</v>
      </c>
      <c r="G1555">
        <f>_xlfn.MAXIFS(Crypto[Close],Crypto[Name],Crypto[[#This Row],[Name]],Crypto[Date],"&lt;="&amp;Crypto[[#This Row],[Date]])</f>
        <v>261.86975000000001</v>
      </c>
      <c r="H1555" s="3">
        <f>(Crypto[[#This Row],[Close]]/Crypto[[#This Row],[Peak Close]])-1</f>
        <v>-0.53111468583141042</v>
      </c>
      <c r="I1555">
        <v>117.06144999999999</v>
      </c>
      <c r="J1555" s="1">
        <v>45750</v>
      </c>
      <c r="K1555" s="3">
        <v>4.8909611148674502E-2</v>
      </c>
      <c r="L1555">
        <v>5182517335</v>
      </c>
      <c r="M1555" s="2" t="s">
        <v>14</v>
      </c>
    </row>
    <row r="1556" spans="1:13" x14ac:dyDescent="0.3">
      <c r="A1556" s="1">
        <v>45752</v>
      </c>
      <c r="B1556" s="2" t="s">
        <v>13</v>
      </c>
      <c r="C1556">
        <v>122.78643</v>
      </c>
      <c r="D1556">
        <v>122.78691000000001</v>
      </c>
      <c r="E1556">
        <v>117.1888</v>
      </c>
      <c r="F1556">
        <v>120.259</v>
      </c>
      <c r="G1556">
        <f>_xlfn.MAXIFS(Crypto[Close],Crypto[Name],Crypto[[#This Row],[Name]],Crypto[Date],"&lt;="&amp;Crypto[[#This Row],[Date]])</f>
        <v>261.86975000000001</v>
      </c>
      <c r="H1556" s="3">
        <f>(Crypto[[#This Row],[Close]]/Crypto[[#This Row],[Peak Close]])-1</f>
        <v>-0.5407678817427366</v>
      </c>
      <c r="I1556">
        <v>122.78688</v>
      </c>
      <c r="J1556" s="1">
        <v>45751</v>
      </c>
      <c r="K1556" s="3">
        <v>-2.0587541600535799E-2</v>
      </c>
      <c r="L1556">
        <v>1667996329</v>
      </c>
      <c r="M1556" s="2" t="s">
        <v>14</v>
      </c>
    </row>
    <row r="1557" spans="1:13" x14ac:dyDescent="0.3">
      <c r="A1557" s="1">
        <v>45753</v>
      </c>
      <c r="B1557" s="2" t="s">
        <v>13</v>
      </c>
      <c r="C1557">
        <v>120.25851</v>
      </c>
      <c r="D1557">
        <v>120.93268</v>
      </c>
      <c r="E1557">
        <v>104.00413</v>
      </c>
      <c r="F1557">
        <v>105.71201000000001</v>
      </c>
      <c r="G1557">
        <f>_xlfn.MAXIFS(Crypto[Close],Crypto[Name],Crypto[[#This Row],[Name]],Crypto[Date],"&lt;="&amp;Crypto[[#This Row],[Date]])</f>
        <v>261.86975000000001</v>
      </c>
      <c r="H1557" s="3">
        <f>(Crypto[[#This Row],[Close]]/Crypto[[#This Row],[Peak Close]])-1</f>
        <v>-0.59631836055901832</v>
      </c>
      <c r="I1557">
        <v>120.259</v>
      </c>
      <c r="J1557" s="1">
        <v>45752</v>
      </c>
      <c r="K1557" s="3">
        <v>-0.120963836386466</v>
      </c>
      <c r="L1557">
        <v>3822458629</v>
      </c>
      <c r="M1557" s="2" t="s">
        <v>14</v>
      </c>
    </row>
    <row r="1558" spans="1:13" x14ac:dyDescent="0.3">
      <c r="A1558" s="1">
        <v>45754</v>
      </c>
      <c r="B1558" s="2" t="s">
        <v>13</v>
      </c>
      <c r="C1558">
        <v>105.71201000000001</v>
      </c>
      <c r="D1558">
        <v>111.47198</v>
      </c>
      <c r="E1558">
        <v>96.588070000000002</v>
      </c>
      <c r="F1558">
        <v>106.90278000000001</v>
      </c>
      <c r="G1558">
        <f>_xlfn.MAXIFS(Crypto[Close],Crypto[Name],Crypto[[#This Row],[Name]],Crypto[Date],"&lt;="&amp;Crypto[[#This Row],[Date]])</f>
        <v>261.86975000000001</v>
      </c>
      <c r="H1558" s="3">
        <f>(Crypto[[#This Row],[Close]]/Crypto[[#This Row],[Peak Close]])-1</f>
        <v>-0.59177117631952525</v>
      </c>
      <c r="I1558">
        <v>105.71201000000001</v>
      </c>
      <c r="J1558" s="1">
        <v>45753</v>
      </c>
      <c r="K1558" s="3">
        <v>1.12642830270657E-2</v>
      </c>
      <c r="L1558">
        <v>8644174246</v>
      </c>
      <c r="M1558" s="2" t="s">
        <v>14</v>
      </c>
    </row>
    <row r="1559" spans="1:13" x14ac:dyDescent="0.3">
      <c r="A1559" s="1">
        <v>45755</v>
      </c>
      <c r="B1559" s="2" t="s">
        <v>13</v>
      </c>
      <c r="C1559">
        <v>106.90527</v>
      </c>
      <c r="D1559">
        <v>112.29893</v>
      </c>
      <c r="E1559">
        <v>103.14452</v>
      </c>
      <c r="F1559">
        <v>105.51219</v>
      </c>
      <c r="G1559">
        <f>_xlfn.MAXIFS(Crypto[Close],Crypto[Name],Crypto[[#This Row],[Name]],Crypto[Date],"&lt;="&amp;Crypto[[#This Row],[Date]])</f>
        <v>261.86975000000001</v>
      </c>
      <c r="H1559" s="3">
        <f>(Crypto[[#This Row],[Close]]/Crypto[[#This Row],[Peak Close]])-1</f>
        <v>-0.59708141165598549</v>
      </c>
      <c r="I1559">
        <v>106.90278000000001</v>
      </c>
      <c r="J1559" s="1">
        <v>45754</v>
      </c>
      <c r="K1559" s="3">
        <v>-1.3007987257207001E-2</v>
      </c>
      <c r="L1559">
        <v>5353641480</v>
      </c>
      <c r="M1559" s="2" t="s">
        <v>14</v>
      </c>
    </row>
    <row r="1560" spans="1:13" x14ac:dyDescent="0.3">
      <c r="A1560" s="1">
        <v>45756</v>
      </c>
      <c r="B1560" s="2" t="s">
        <v>13</v>
      </c>
      <c r="C1560">
        <v>105.50959</v>
      </c>
      <c r="D1560">
        <v>120.47077</v>
      </c>
      <c r="E1560">
        <v>101.43474000000001</v>
      </c>
      <c r="F1560">
        <v>119.05754</v>
      </c>
      <c r="G1560">
        <f>_xlfn.MAXIFS(Crypto[Close],Crypto[Name],Crypto[[#This Row],[Name]],Crypto[Date],"&lt;="&amp;Crypto[[#This Row],[Date]])</f>
        <v>261.86975000000001</v>
      </c>
      <c r="H1560" s="3">
        <f>(Crypto[[#This Row],[Close]]/Crypto[[#This Row],[Peak Close]])-1</f>
        <v>-0.54535588780300137</v>
      </c>
      <c r="I1560">
        <v>105.51219</v>
      </c>
      <c r="J1560" s="1">
        <v>45755</v>
      </c>
      <c r="K1560" s="3">
        <v>0.128377109791769</v>
      </c>
      <c r="L1560">
        <v>7096350476</v>
      </c>
      <c r="M1560" s="2" t="s">
        <v>14</v>
      </c>
    </row>
    <row r="1561" spans="1:13" x14ac:dyDescent="0.3">
      <c r="A1561" s="1">
        <v>45757</v>
      </c>
      <c r="B1561" s="2" t="s">
        <v>13</v>
      </c>
      <c r="C1561">
        <v>119.06229</v>
      </c>
      <c r="D1561">
        <v>119.08256</v>
      </c>
      <c r="E1561">
        <v>108.60169</v>
      </c>
      <c r="F1561">
        <v>112.80392000000001</v>
      </c>
      <c r="G1561">
        <f>_xlfn.MAXIFS(Crypto[Close],Crypto[Name],Crypto[[#This Row],[Name]],Crypto[Date],"&lt;="&amp;Crypto[[#This Row],[Date]])</f>
        <v>261.86975000000001</v>
      </c>
      <c r="H1561" s="3">
        <f>(Crypto[[#This Row],[Close]]/Crypto[[#This Row],[Peak Close]])-1</f>
        <v>-0.56923653839360977</v>
      </c>
      <c r="I1561">
        <v>119.05754</v>
      </c>
      <c r="J1561" s="1">
        <v>45756</v>
      </c>
      <c r="K1561" s="3">
        <v>-5.2526030690706299E-2</v>
      </c>
      <c r="L1561">
        <v>4310698523</v>
      </c>
      <c r="M1561" s="2" t="s">
        <v>14</v>
      </c>
    </row>
    <row r="1562" spans="1:13" x14ac:dyDescent="0.3">
      <c r="A1562" s="1">
        <v>45758</v>
      </c>
      <c r="B1562" s="2" t="s">
        <v>13</v>
      </c>
      <c r="C1562">
        <v>112.80732</v>
      </c>
      <c r="D1562">
        <v>122.39859</v>
      </c>
      <c r="E1562">
        <v>112.18642</v>
      </c>
      <c r="F1562">
        <v>121.53238</v>
      </c>
      <c r="G1562">
        <f>_xlfn.MAXIFS(Crypto[Close],Crypto[Name],Crypto[[#This Row],[Name]],Crypto[Date],"&lt;="&amp;Crypto[[#This Row],[Date]])</f>
        <v>261.86975000000001</v>
      </c>
      <c r="H1562" s="3">
        <f>(Crypto[[#This Row],[Close]]/Crypto[[#This Row],[Peak Close]])-1</f>
        <v>-0.53590523533168688</v>
      </c>
      <c r="I1562">
        <v>112.80392000000001</v>
      </c>
      <c r="J1562" s="1">
        <v>45757</v>
      </c>
      <c r="K1562" s="3">
        <v>7.7377275541488197E-2</v>
      </c>
      <c r="L1562">
        <v>3953610468</v>
      </c>
      <c r="M1562" s="2" t="s">
        <v>14</v>
      </c>
    </row>
    <row r="1563" spans="1:13" x14ac:dyDescent="0.3">
      <c r="A1563" s="1">
        <v>45759</v>
      </c>
      <c r="B1563" s="2" t="s">
        <v>13</v>
      </c>
      <c r="C1563">
        <v>121.53270000000001</v>
      </c>
      <c r="D1563">
        <v>133.75885</v>
      </c>
      <c r="E1563">
        <v>119.65935</v>
      </c>
      <c r="F1563">
        <v>132.26056</v>
      </c>
      <c r="G1563">
        <f>_xlfn.MAXIFS(Crypto[Close],Crypto[Name],Crypto[[#This Row],[Name]],Crypto[Date],"&lt;="&amp;Crypto[[#This Row],[Date]])</f>
        <v>261.86975000000001</v>
      </c>
      <c r="H1563" s="3">
        <f>(Crypto[[#This Row],[Close]]/Crypto[[#This Row],[Peak Close]])-1</f>
        <v>-0.49493761688778493</v>
      </c>
      <c r="I1563">
        <v>121.53238</v>
      </c>
      <c r="J1563" s="1">
        <v>45758</v>
      </c>
      <c r="K1563" s="3">
        <v>8.8274252507850107E-2</v>
      </c>
      <c r="L1563">
        <v>4089397536</v>
      </c>
      <c r="M1563" s="2" t="s">
        <v>14</v>
      </c>
    </row>
    <row r="1564" spans="1:13" x14ac:dyDescent="0.3">
      <c r="A1564" s="1">
        <v>45760</v>
      </c>
      <c r="B1564" s="2" t="s">
        <v>13</v>
      </c>
      <c r="C1564">
        <v>132.26258999999999</v>
      </c>
      <c r="D1564">
        <v>133.50684000000001</v>
      </c>
      <c r="E1564">
        <v>125.52386</v>
      </c>
      <c r="F1564">
        <v>128.58080000000001</v>
      </c>
      <c r="G1564">
        <f>_xlfn.MAXIFS(Crypto[Close],Crypto[Name],Crypto[[#This Row],[Name]],Crypto[Date],"&lt;="&amp;Crypto[[#This Row],[Date]])</f>
        <v>261.86975000000001</v>
      </c>
      <c r="H1564" s="3">
        <f>(Crypto[[#This Row],[Close]]/Crypto[[#This Row],[Peak Close]])-1</f>
        <v>-0.50898948809474942</v>
      </c>
      <c r="I1564">
        <v>132.26056</v>
      </c>
      <c r="J1564" s="1">
        <v>45759</v>
      </c>
      <c r="K1564" s="3">
        <v>-2.7822050655161201E-2</v>
      </c>
      <c r="L1564">
        <v>3818650340</v>
      </c>
      <c r="M1564" s="2" t="s">
        <v>14</v>
      </c>
    </row>
    <row r="1565" spans="1:13" x14ac:dyDescent="0.3">
      <c r="A1565" s="1">
        <v>45761</v>
      </c>
      <c r="B1565" s="2" t="s">
        <v>13</v>
      </c>
      <c r="C1565">
        <v>128.57817</v>
      </c>
      <c r="D1565">
        <v>135.18695</v>
      </c>
      <c r="E1565">
        <v>128.23287999999999</v>
      </c>
      <c r="F1565">
        <v>129.31038000000001</v>
      </c>
      <c r="G1565">
        <f>_xlfn.MAXIFS(Crypto[Close],Crypto[Name],Crypto[[#This Row],[Name]],Crypto[Date],"&lt;="&amp;Crypto[[#This Row],[Date]])</f>
        <v>261.86975000000001</v>
      </c>
      <c r="H1565" s="3">
        <f>(Crypto[[#This Row],[Close]]/Crypto[[#This Row],[Peak Close]])-1</f>
        <v>-0.50620344656074256</v>
      </c>
      <c r="I1565">
        <v>128.58080000000001</v>
      </c>
      <c r="J1565" s="1">
        <v>45760</v>
      </c>
      <c r="K1565" s="3">
        <v>5.67409753244651E-3</v>
      </c>
      <c r="L1565">
        <v>4425565001</v>
      </c>
      <c r="M1565" s="2" t="s">
        <v>14</v>
      </c>
    </row>
    <row r="1566" spans="1:13" x14ac:dyDescent="0.3">
      <c r="A1566" s="1">
        <v>45762</v>
      </c>
      <c r="B1566" s="2" t="s">
        <v>13</v>
      </c>
      <c r="C1566">
        <v>129.31102000000001</v>
      </c>
      <c r="D1566">
        <v>134.19318999999999</v>
      </c>
      <c r="E1566">
        <v>126.13686</v>
      </c>
      <c r="F1566">
        <v>126.26313</v>
      </c>
      <c r="G1566">
        <f>_xlfn.MAXIFS(Crypto[Close],Crypto[Name],Crypto[[#This Row],[Name]],Crypto[Date],"&lt;="&amp;Crypto[[#This Row],[Date]])</f>
        <v>261.86975000000001</v>
      </c>
      <c r="H1566" s="3">
        <f>(Crypto[[#This Row],[Close]]/Crypto[[#This Row],[Peak Close]])-1</f>
        <v>-0.51783995669602922</v>
      </c>
      <c r="I1566">
        <v>129.31038000000001</v>
      </c>
      <c r="J1566" s="1">
        <v>45761</v>
      </c>
      <c r="K1566" s="3">
        <v>-2.3565393590213E-2</v>
      </c>
      <c r="L1566">
        <v>3272094237</v>
      </c>
      <c r="M1566" s="2" t="s">
        <v>14</v>
      </c>
    </row>
    <row r="1567" spans="1:13" x14ac:dyDescent="0.3">
      <c r="A1567" s="1">
        <v>45763</v>
      </c>
      <c r="B1567" s="2" t="s">
        <v>13</v>
      </c>
      <c r="C1567">
        <v>126.26312</v>
      </c>
      <c r="D1567">
        <v>133.59012000000001</v>
      </c>
      <c r="E1567">
        <v>123.72076</v>
      </c>
      <c r="F1567">
        <v>131.44969</v>
      </c>
      <c r="G1567">
        <f>_xlfn.MAXIFS(Crypto[Close],Crypto[Name],Crypto[[#This Row],[Name]],Crypto[Date],"&lt;="&amp;Crypto[[#This Row],[Date]])</f>
        <v>261.86975000000001</v>
      </c>
      <c r="H1567" s="3">
        <f>(Crypto[[#This Row],[Close]]/Crypto[[#This Row],[Peak Close]])-1</f>
        <v>-0.49803407991950199</v>
      </c>
      <c r="I1567">
        <v>126.26313</v>
      </c>
      <c r="J1567" s="1">
        <v>45762</v>
      </c>
      <c r="K1567" s="3">
        <v>4.10773913176396E-2</v>
      </c>
      <c r="L1567">
        <v>4448562334</v>
      </c>
      <c r="M1567" s="2" t="s">
        <v>14</v>
      </c>
    </row>
    <row r="1568" spans="1:13" x14ac:dyDescent="0.3">
      <c r="A1568" s="1">
        <v>45764</v>
      </c>
      <c r="B1568" s="2" t="s">
        <v>13</v>
      </c>
      <c r="C1568">
        <v>131.45023</v>
      </c>
      <c r="D1568">
        <v>135.90934999999999</v>
      </c>
      <c r="E1568">
        <v>129.73309</v>
      </c>
      <c r="F1568">
        <v>134.69874999999999</v>
      </c>
      <c r="G1568">
        <f>_xlfn.MAXIFS(Crypto[Close],Crypto[Name],Crypto[[#This Row],[Name]],Crypto[Date],"&lt;="&amp;Crypto[[#This Row],[Date]])</f>
        <v>261.86975000000001</v>
      </c>
      <c r="H1568" s="3">
        <f>(Crypto[[#This Row],[Close]]/Crypto[[#This Row],[Peak Close]])-1</f>
        <v>-0.4856269194895555</v>
      </c>
      <c r="I1568">
        <v>131.44969</v>
      </c>
      <c r="J1568" s="1">
        <v>45763</v>
      </c>
      <c r="K1568" s="3">
        <v>2.4717137027862001E-2</v>
      </c>
      <c r="L1568">
        <v>3504448606</v>
      </c>
      <c r="M1568" s="2" t="s">
        <v>14</v>
      </c>
    </row>
    <row r="1569" spans="1:13" x14ac:dyDescent="0.3">
      <c r="A1569" s="1">
        <v>45765</v>
      </c>
      <c r="B1569" s="2" t="s">
        <v>13</v>
      </c>
      <c r="C1569">
        <v>134.70419000000001</v>
      </c>
      <c r="D1569">
        <v>135.8689</v>
      </c>
      <c r="E1569">
        <v>132.58799999999999</v>
      </c>
      <c r="F1569">
        <v>134.0735</v>
      </c>
      <c r="G1569">
        <f>_xlfn.MAXIFS(Crypto[Close],Crypto[Name],Crypto[[#This Row],[Name]],Crypto[Date],"&lt;="&amp;Crypto[[#This Row],[Date]])</f>
        <v>261.86975000000001</v>
      </c>
      <c r="H1569" s="3">
        <f>(Crypto[[#This Row],[Close]]/Crypto[[#This Row],[Peak Close]])-1</f>
        <v>-0.48801455685507777</v>
      </c>
      <c r="I1569">
        <v>134.69874999999999</v>
      </c>
      <c r="J1569" s="1">
        <v>45764</v>
      </c>
      <c r="K1569" s="3">
        <v>-4.6418396607243503E-3</v>
      </c>
      <c r="L1569">
        <v>2142264993</v>
      </c>
      <c r="M1569" s="2" t="s">
        <v>14</v>
      </c>
    </row>
    <row r="1570" spans="1:13" x14ac:dyDescent="0.3">
      <c r="A1570" s="1">
        <v>45766</v>
      </c>
      <c r="B1570" s="2" t="s">
        <v>13</v>
      </c>
      <c r="C1570">
        <v>134.0735</v>
      </c>
      <c r="D1570">
        <v>140.09261000000001</v>
      </c>
      <c r="E1570">
        <v>133.69476</v>
      </c>
      <c r="F1570">
        <v>139.75026</v>
      </c>
      <c r="G1570">
        <f>_xlfn.MAXIFS(Crypto[Close],Crypto[Name],Crypto[[#This Row],[Name]],Crypto[Date],"&lt;="&amp;Crypto[[#This Row],[Date]])</f>
        <v>261.86975000000001</v>
      </c>
      <c r="H1570" s="3">
        <f>(Crypto[[#This Row],[Close]]/Crypto[[#This Row],[Peak Close]])-1</f>
        <v>-0.46633675710921174</v>
      </c>
      <c r="I1570">
        <v>134.0735</v>
      </c>
      <c r="J1570" s="1">
        <v>45765</v>
      </c>
      <c r="K1570" s="3">
        <v>4.23406564309875E-2</v>
      </c>
      <c r="L1570">
        <v>2522912658</v>
      </c>
      <c r="M1570" s="2" t="s">
        <v>14</v>
      </c>
    </row>
    <row r="1571" spans="1:13" x14ac:dyDescent="0.3">
      <c r="A1571" s="1">
        <v>45767</v>
      </c>
      <c r="B1571" s="2" t="s">
        <v>13</v>
      </c>
      <c r="C1571">
        <v>139.75290000000001</v>
      </c>
      <c r="D1571">
        <v>141.83036999999999</v>
      </c>
      <c r="E1571">
        <v>135.77146999999999</v>
      </c>
      <c r="F1571">
        <v>137.77459999999999</v>
      </c>
      <c r="G1571">
        <f>_xlfn.MAXIFS(Crypto[Close],Crypto[Name],Crypto[[#This Row],[Name]],Crypto[Date],"&lt;="&amp;Crypto[[#This Row],[Date]])</f>
        <v>261.86975000000001</v>
      </c>
      <c r="H1571" s="3">
        <f>(Crypto[[#This Row],[Close]]/Crypto[[#This Row],[Peak Close]])-1</f>
        <v>-0.47388119475426238</v>
      </c>
      <c r="I1571">
        <v>139.75026</v>
      </c>
      <c r="J1571" s="1">
        <v>45766</v>
      </c>
      <c r="K1571" s="3">
        <v>-1.4137075666263601E-2</v>
      </c>
      <c r="L1571">
        <v>2796023398</v>
      </c>
      <c r="M1571" s="2" t="s">
        <v>14</v>
      </c>
    </row>
    <row r="1572" spans="1:13" x14ac:dyDescent="0.3">
      <c r="A1572" s="1">
        <v>45768</v>
      </c>
      <c r="B1572" s="2" t="s">
        <v>13</v>
      </c>
      <c r="C1572">
        <v>137.77459999999999</v>
      </c>
      <c r="D1572">
        <v>142.66158999999999</v>
      </c>
      <c r="E1572">
        <v>134.12235999999999</v>
      </c>
      <c r="F1572">
        <v>136.70438999999999</v>
      </c>
      <c r="G1572">
        <f>_xlfn.MAXIFS(Crypto[Close],Crypto[Name],Crypto[[#This Row],[Name]],Crypto[Date],"&lt;="&amp;Crypto[[#This Row],[Date]])</f>
        <v>261.86975000000001</v>
      </c>
      <c r="H1572" s="3">
        <f>(Crypto[[#This Row],[Close]]/Crypto[[#This Row],[Peak Close]])-1</f>
        <v>-0.47796799744911356</v>
      </c>
      <c r="I1572">
        <v>137.77459999999999</v>
      </c>
      <c r="J1572" s="1">
        <v>45767</v>
      </c>
      <c r="K1572" s="3">
        <v>-7.7678323871018503E-3</v>
      </c>
      <c r="L1572">
        <v>4162691832</v>
      </c>
      <c r="M1572" s="2" t="s">
        <v>14</v>
      </c>
    </row>
    <row r="1573" spans="1:13" x14ac:dyDescent="0.3">
      <c r="A1573" s="1">
        <v>45769</v>
      </c>
      <c r="B1573" s="2" t="s">
        <v>13</v>
      </c>
      <c r="C1573">
        <v>136.70184</v>
      </c>
      <c r="D1573">
        <v>149.94925000000001</v>
      </c>
      <c r="E1573">
        <v>135.37775999999999</v>
      </c>
      <c r="F1573">
        <v>148.73940999999999</v>
      </c>
      <c r="G1573">
        <f>_xlfn.MAXIFS(Crypto[Close],Crypto[Name],Crypto[[#This Row],[Name]],Crypto[Date],"&lt;="&amp;Crypto[[#This Row],[Date]])</f>
        <v>261.86975000000001</v>
      </c>
      <c r="H1573" s="3">
        <f>(Crypto[[#This Row],[Close]]/Crypto[[#This Row],[Peak Close]])-1</f>
        <v>-0.4320099591495391</v>
      </c>
      <c r="I1573">
        <v>136.70438999999999</v>
      </c>
      <c r="J1573" s="1">
        <v>45768</v>
      </c>
      <c r="K1573" s="3">
        <v>8.8036821641207005E-2</v>
      </c>
      <c r="L1573">
        <v>4659792312</v>
      </c>
      <c r="M1573" s="2" t="s">
        <v>14</v>
      </c>
    </row>
    <row r="1574" spans="1:13" x14ac:dyDescent="0.3">
      <c r="A1574" s="1">
        <v>45770</v>
      </c>
      <c r="B1574" s="2" t="s">
        <v>13</v>
      </c>
      <c r="C1574">
        <v>148.74001000000001</v>
      </c>
      <c r="D1574">
        <v>153.86874</v>
      </c>
      <c r="E1574">
        <v>147.45079000000001</v>
      </c>
      <c r="F1574">
        <v>151.15272999999999</v>
      </c>
      <c r="G1574">
        <f>_xlfn.MAXIFS(Crypto[Close],Crypto[Name],Crypto[[#This Row],[Name]],Crypto[Date],"&lt;="&amp;Crypto[[#This Row],[Date]])</f>
        <v>261.86975000000001</v>
      </c>
      <c r="H1574" s="3">
        <f>(Crypto[[#This Row],[Close]]/Crypto[[#This Row],[Peak Close]])-1</f>
        <v>-0.42279423262900739</v>
      </c>
      <c r="I1574">
        <v>148.73940999999999</v>
      </c>
      <c r="J1574" s="1">
        <v>45769</v>
      </c>
      <c r="K1574" s="3">
        <v>1.6225155121968E-2</v>
      </c>
      <c r="L1574">
        <v>4699152180</v>
      </c>
      <c r="M1574" s="2" t="s">
        <v>14</v>
      </c>
    </row>
    <row r="1575" spans="1:13" x14ac:dyDescent="0.3">
      <c r="A1575" s="1">
        <v>45771</v>
      </c>
      <c r="B1575" s="2" t="s">
        <v>13</v>
      </c>
      <c r="C1575">
        <v>151.15395000000001</v>
      </c>
      <c r="D1575">
        <v>152.75404</v>
      </c>
      <c r="E1575">
        <v>145.66135</v>
      </c>
      <c r="F1575">
        <v>152.30363</v>
      </c>
      <c r="G1575">
        <f>_xlfn.MAXIFS(Crypto[Close],Crypto[Name],Crypto[[#This Row],[Name]],Crypto[Date],"&lt;="&amp;Crypto[[#This Row],[Date]])</f>
        <v>261.86975000000001</v>
      </c>
      <c r="H1575" s="3">
        <f>(Crypto[[#This Row],[Close]]/Crypto[[#This Row],[Peak Close]])-1</f>
        <v>-0.41839929965183076</v>
      </c>
      <c r="I1575">
        <v>151.15272999999999</v>
      </c>
      <c r="J1575" s="1">
        <v>45770</v>
      </c>
      <c r="K1575" s="3">
        <v>7.6141529167220896E-3</v>
      </c>
      <c r="L1575">
        <v>3903057847</v>
      </c>
      <c r="M1575" s="2" t="s">
        <v>14</v>
      </c>
    </row>
    <row r="1576" spans="1:13" x14ac:dyDescent="0.3">
      <c r="A1576" s="1">
        <v>45772</v>
      </c>
      <c r="B1576" s="2" t="s">
        <v>13</v>
      </c>
      <c r="C1576">
        <v>152.32135</v>
      </c>
      <c r="D1576">
        <v>156.04517999999999</v>
      </c>
      <c r="E1576">
        <v>150.12779</v>
      </c>
      <c r="F1576">
        <v>150.91501</v>
      </c>
      <c r="G1576">
        <f>_xlfn.MAXIFS(Crypto[Close],Crypto[Name],Crypto[[#This Row],[Name]],Crypto[Date],"&lt;="&amp;Crypto[[#This Row],[Date]])</f>
        <v>261.86975000000001</v>
      </c>
      <c r="H1576" s="3">
        <f>(Crypto[[#This Row],[Close]]/Crypto[[#This Row],[Peak Close]])-1</f>
        <v>-0.42370201216444436</v>
      </c>
      <c r="I1576">
        <v>152.30363</v>
      </c>
      <c r="J1576" s="1">
        <v>45771</v>
      </c>
      <c r="K1576" s="3">
        <v>-9.1174451981216893E-3</v>
      </c>
      <c r="L1576">
        <v>4411923686</v>
      </c>
      <c r="M1576" s="2" t="s">
        <v>14</v>
      </c>
    </row>
    <row r="1577" spans="1:13" x14ac:dyDescent="0.3">
      <c r="A1577" s="1">
        <v>45773</v>
      </c>
      <c r="B1577" s="2" t="s">
        <v>13</v>
      </c>
      <c r="C1577">
        <v>150.91727</v>
      </c>
      <c r="D1577">
        <v>153.01953</v>
      </c>
      <c r="E1577">
        <v>148.03740999999999</v>
      </c>
      <c r="F1577">
        <v>149.28936999999999</v>
      </c>
      <c r="G1577">
        <f>_xlfn.MAXIFS(Crypto[Close],Crypto[Name],Crypto[[#This Row],[Name]],Crypto[Date],"&lt;="&amp;Crypto[[#This Row],[Date]])</f>
        <v>261.86975000000001</v>
      </c>
      <c r="H1577" s="3">
        <f>(Crypto[[#This Row],[Close]]/Crypto[[#This Row],[Peak Close]])-1</f>
        <v>-0.4299098311278795</v>
      </c>
      <c r="I1577">
        <v>150.91501</v>
      </c>
      <c r="J1577" s="1">
        <v>45772</v>
      </c>
      <c r="K1577" s="3">
        <v>-1.0771890748309299E-2</v>
      </c>
      <c r="L1577">
        <v>2128235815</v>
      </c>
      <c r="M1577" s="2" t="s">
        <v>14</v>
      </c>
    </row>
    <row r="1578" spans="1:13" x14ac:dyDescent="0.3">
      <c r="A1578" s="1">
        <v>45774</v>
      </c>
      <c r="B1578" s="2" t="s">
        <v>13</v>
      </c>
      <c r="C1578">
        <v>149.28970000000001</v>
      </c>
      <c r="D1578">
        <v>150.20873</v>
      </c>
      <c r="E1578">
        <v>145.76660000000001</v>
      </c>
      <c r="F1578">
        <v>148.24583000000001</v>
      </c>
      <c r="G1578">
        <f>_xlfn.MAXIFS(Crypto[Close],Crypto[Name],Crypto[[#This Row],[Name]],Crypto[Date],"&lt;="&amp;Crypto[[#This Row],[Date]])</f>
        <v>261.86975000000001</v>
      </c>
      <c r="H1578" s="3">
        <f>(Crypto[[#This Row],[Close]]/Crypto[[#This Row],[Peak Close]])-1</f>
        <v>-0.43389478929887848</v>
      </c>
      <c r="I1578">
        <v>149.28936999999999</v>
      </c>
      <c r="J1578" s="1">
        <v>45773</v>
      </c>
      <c r="K1578" s="3">
        <v>-6.9900489231080496E-3</v>
      </c>
      <c r="L1578">
        <v>2015737709</v>
      </c>
      <c r="M1578" s="2" t="s">
        <v>14</v>
      </c>
    </row>
    <row r="1579" spans="1:13" x14ac:dyDescent="0.3">
      <c r="A1579" s="1">
        <v>45775</v>
      </c>
      <c r="B1579" s="2" t="s">
        <v>13</v>
      </c>
      <c r="C1579">
        <v>148.24516</v>
      </c>
      <c r="D1579">
        <v>153.20769999999999</v>
      </c>
      <c r="E1579">
        <v>144.89144999999999</v>
      </c>
      <c r="F1579">
        <v>147.80994000000001</v>
      </c>
      <c r="G1579">
        <f>_xlfn.MAXIFS(Crypto[Close],Crypto[Name],Crypto[[#This Row],[Name]],Crypto[Date],"&lt;="&amp;Crypto[[#This Row],[Date]])</f>
        <v>261.86975000000001</v>
      </c>
      <c r="H1579" s="3">
        <f>(Crypto[[#This Row],[Close]]/Crypto[[#This Row],[Peak Close]])-1</f>
        <v>-0.43555931908897461</v>
      </c>
      <c r="I1579">
        <v>148.24583000000001</v>
      </c>
      <c r="J1579" s="1">
        <v>45774</v>
      </c>
      <c r="K1579" s="3">
        <v>-2.9403187934527401E-3</v>
      </c>
      <c r="L1579">
        <v>3819502747</v>
      </c>
      <c r="M1579" s="2" t="s">
        <v>14</v>
      </c>
    </row>
    <row r="1580" spans="1:13" x14ac:dyDescent="0.3">
      <c r="A1580" s="1">
        <v>45776</v>
      </c>
      <c r="B1580" s="2" t="s">
        <v>13</v>
      </c>
      <c r="C1580">
        <v>147.80994000000001</v>
      </c>
      <c r="D1580">
        <v>150.04418999999999</v>
      </c>
      <c r="E1580">
        <v>145.16933</v>
      </c>
      <c r="F1580">
        <v>146.42787000000001</v>
      </c>
      <c r="G1580">
        <f>_xlfn.MAXIFS(Crypto[Close],Crypto[Name],Crypto[[#This Row],[Name]],Crypto[Date],"&lt;="&amp;Crypto[[#This Row],[Date]])</f>
        <v>261.86975000000001</v>
      </c>
      <c r="H1580" s="3">
        <f>(Crypto[[#This Row],[Close]]/Crypto[[#This Row],[Peak Close]])-1</f>
        <v>-0.44083701916697138</v>
      </c>
      <c r="I1580">
        <v>147.80994000000001</v>
      </c>
      <c r="J1580" s="1">
        <v>45775</v>
      </c>
      <c r="K1580" s="3">
        <v>-9.3503183886009204E-3</v>
      </c>
      <c r="L1580">
        <v>2872743502</v>
      </c>
      <c r="M1580" s="2" t="s">
        <v>14</v>
      </c>
    </row>
    <row r="1581" spans="1:13" x14ac:dyDescent="0.3">
      <c r="A1581" s="1">
        <v>45777</v>
      </c>
      <c r="B1581" s="2" t="s">
        <v>13</v>
      </c>
      <c r="C1581">
        <v>146.42749000000001</v>
      </c>
      <c r="D1581">
        <v>148.20929000000001</v>
      </c>
      <c r="E1581">
        <v>140.71209999999999</v>
      </c>
      <c r="F1581">
        <v>147.64320000000001</v>
      </c>
      <c r="G1581">
        <f>_xlfn.MAXIFS(Crypto[Close],Crypto[Name],Crypto[[#This Row],[Name]],Crypto[Date],"&lt;="&amp;Crypto[[#This Row],[Date]])</f>
        <v>261.86975000000001</v>
      </c>
      <c r="H1581" s="3">
        <f>(Crypto[[#This Row],[Close]]/Crypto[[#This Row],[Peak Close]])-1</f>
        <v>-0.43619604784439592</v>
      </c>
      <c r="I1581">
        <v>146.42787000000001</v>
      </c>
      <c r="J1581" s="1">
        <v>45776</v>
      </c>
      <c r="K1581" s="3">
        <v>8.2998543924732004E-3</v>
      </c>
      <c r="L1581">
        <v>3017472875</v>
      </c>
      <c r="M1581" s="2" t="s">
        <v>14</v>
      </c>
    </row>
    <row r="1582" spans="1:13" x14ac:dyDescent="0.3">
      <c r="A1582" s="1">
        <v>45778</v>
      </c>
      <c r="B1582" s="2" t="s">
        <v>13</v>
      </c>
      <c r="C1582">
        <v>147.64497</v>
      </c>
      <c r="D1582">
        <v>153.86591000000001</v>
      </c>
      <c r="E1582">
        <v>147.61297999999999</v>
      </c>
      <c r="F1582">
        <v>150.84658999999999</v>
      </c>
      <c r="G1582">
        <f>_xlfn.MAXIFS(Crypto[Close],Crypto[Name],Crypto[[#This Row],[Name]],Crypto[Date],"&lt;="&amp;Crypto[[#This Row],[Date]])</f>
        <v>261.86975000000001</v>
      </c>
      <c r="H1582" s="3">
        <f>(Crypto[[#This Row],[Close]]/Crypto[[#This Row],[Peak Close]])-1</f>
        <v>-0.42396328709215181</v>
      </c>
      <c r="I1582">
        <v>147.64320000000001</v>
      </c>
      <c r="J1582" s="1">
        <v>45777</v>
      </c>
      <c r="K1582" s="3">
        <v>2.1696833988967899E-2</v>
      </c>
      <c r="L1582">
        <v>3224541533</v>
      </c>
      <c r="M1582" s="2" t="s">
        <v>14</v>
      </c>
    </row>
    <row r="1583" spans="1:13" x14ac:dyDescent="0.3">
      <c r="A1583" s="1">
        <v>45779</v>
      </c>
      <c r="B1583" s="2" t="s">
        <v>13</v>
      </c>
      <c r="C1583">
        <v>150.84314000000001</v>
      </c>
      <c r="D1583">
        <v>151.73169999999999</v>
      </c>
      <c r="E1583">
        <v>147.45223999999999</v>
      </c>
      <c r="F1583">
        <v>148.05002999999999</v>
      </c>
      <c r="G1583">
        <f>_xlfn.MAXIFS(Crypto[Close],Crypto[Name],Crypto[[#This Row],[Name]],Crypto[Date],"&lt;="&amp;Crypto[[#This Row],[Date]])</f>
        <v>261.86975000000001</v>
      </c>
      <c r="H1583" s="3">
        <f>(Crypto[[#This Row],[Close]]/Crypto[[#This Row],[Peak Close]])-1</f>
        <v>-0.43464248925276794</v>
      </c>
      <c r="I1583">
        <v>150.84658999999999</v>
      </c>
      <c r="J1583" s="1">
        <v>45778</v>
      </c>
      <c r="K1583" s="3">
        <v>-1.8539099889497E-2</v>
      </c>
      <c r="L1583">
        <v>2823970426</v>
      </c>
      <c r="M1583" s="2" t="s">
        <v>14</v>
      </c>
    </row>
    <row r="1584" spans="1:13" x14ac:dyDescent="0.3">
      <c r="A1584" s="1">
        <v>45780</v>
      </c>
      <c r="B1584" s="2" t="s">
        <v>13</v>
      </c>
      <c r="C1584">
        <v>148.04984999999999</v>
      </c>
      <c r="D1584">
        <v>148.95946000000001</v>
      </c>
      <c r="E1584">
        <v>146.1095</v>
      </c>
      <c r="F1584">
        <v>146.79605000000001</v>
      </c>
      <c r="G1584">
        <f>_xlfn.MAXIFS(Crypto[Close],Crypto[Name],Crypto[[#This Row],[Name]],Crypto[Date],"&lt;="&amp;Crypto[[#This Row],[Date]])</f>
        <v>261.86975000000001</v>
      </c>
      <c r="H1584" s="3">
        <f>(Crypto[[#This Row],[Close]]/Crypto[[#This Row],[Peak Close]])-1</f>
        <v>-0.43943105303304408</v>
      </c>
      <c r="I1584">
        <v>148.05002999999999</v>
      </c>
      <c r="J1584" s="1">
        <v>45779</v>
      </c>
      <c r="K1584" s="3">
        <v>-8.4699746430310398E-3</v>
      </c>
      <c r="L1584">
        <v>1567415096</v>
      </c>
      <c r="M1584" s="2" t="s">
        <v>14</v>
      </c>
    </row>
    <row r="1585" spans="1:13" x14ac:dyDescent="0.3">
      <c r="A1585" s="1">
        <v>45781</v>
      </c>
      <c r="B1585" s="2" t="s">
        <v>13</v>
      </c>
      <c r="C1585">
        <v>146.79596000000001</v>
      </c>
      <c r="D1585">
        <v>147.68251000000001</v>
      </c>
      <c r="E1585">
        <v>143.82241999999999</v>
      </c>
      <c r="F1585">
        <v>143.98305999999999</v>
      </c>
      <c r="G1585">
        <f>_xlfn.MAXIFS(Crypto[Close],Crypto[Name],Crypto[[#This Row],[Name]],Crypto[Date],"&lt;="&amp;Crypto[[#This Row],[Date]])</f>
        <v>261.86975000000001</v>
      </c>
      <c r="H1585" s="3">
        <f>(Crypto[[#This Row],[Close]]/Crypto[[#This Row],[Peak Close]])-1</f>
        <v>-0.45017299630827923</v>
      </c>
      <c r="I1585">
        <v>146.79605000000001</v>
      </c>
      <c r="J1585" s="1">
        <v>45780</v>
      </c>
      <c r="K1585" s="3">
        <v>-1.9162572834895902E-2</v>
      </c>
      <c r="L1585">
        <v>1636835620</v>
      </c>
      <c r="M1585" s="2" t="s">
        <v>14</v>
      </c>
    </row>
    <row r="1586" spans="1:13" x14ac:dyDescent="0.3">
      <c r="A1586" s="1">
        <v>45782</v>
      </c>
      <c r="B1586" s="2" t="s">
        <v>13</v>
      </c>
      <c r="C1586">
        <v>143.98593</v>
      </c>
      <c r="D1586">
        <v>147.61659</v>
      </c>
      <c r="E1586">
        <v>142.89989</v>
      </c>
      <c r="F1586">
        <v>146.69664</v>
      </c>
      <c r="G1586">
        <f>_xlfn.MAXIFS(Crypto[Close],Crypto[Name],Crypto[[#This Row],[Name]],Crypto[Date],"&lt;="&amp;Crypto[[#This Row],[Date]])</f>
        <v>261.86975000000001</v>
      </c>
      <c r="H1586" s="3">
        <f>(Crypto[[#This Row],[Close]]/Crypto[[#This Row],[Peak Close]])-1</f>
        <v>-0.43981066923537371</v>
      </c>
      <c r="I1586">
        <v>143.98305999999999</v>
      </c>
      <c r="J1586" s="1">
        <v>45781</v>
      </c>
      <c r="K1586" s="3">
        <v>1.8846522639538298E-2</v>
      </c>
      <c r="L1586">
        <v>2238980623</v>
      </c>
      <c r="M1586" s="2" t="s">
        <v>14</v>
      </c>
    </row>
    <row r="1587" spans="1:13" x14ac:dyDescent="0.3">
      <c r="A1587" s="1">
        <v>45783</v>
      </c>
      <c r="B1587" s="2" t="s">
        <v>13</v>
      </c>
      <c r="C1587">
        <v>146.69577000000001</v>
      </c>
      <c r="D1587">
        <v>147.08965000000001</v>
      </c>
      <c r="E1587">
        <v>141.67053000000001</v>
      </c>
      <c r="F1587">
        <v>146.7664</v>
      </c>
      <c r="G1587">
        <f>_xlfn.MAXIFS(Crypto[Close],Crypto[Name],Crypto[[#This Row],[Name]],Crypto[Date],"&lt;="&amp;Crypto[[#This Row],[Date]])</f>
        <v>261.86975000000001</v>
      </c>
      <c r="H1587" s="3">
        <f>(Crypto[[#This Row],[Close]]/Crypto[[#This Row],[Peak Close]])-1</f>
        <v>-0.43954427725997369</v>
      </c>
      <c r="I1587">
        <v>146.69664</v>
      </c>
      <c r="J1587" s="1">
        <v>45782</v>
      </c>
      <c r="K1587" s="3">
        <v>4.7553918072017399E-4</v>
      </c>
      <c r="L1587">
        <v>2728680947</v>
      </c>
      <c r="M1587" s="2" t="s">
        <v>14</v>
      </c>
    </row>
    <row r="1588" spans="1:13" x14ac:dyDescent="0.3">
      <c r="A1588" s="1">
        <v>45784</v>
      </c>
      <c r="B1588" s="2" t="s">
        <v>13</v>
      </c>
      <c r="C1588">
        <v>146.76688999999999</v>
      </c>
      <c r="D1588">
        <v>149.33984000000001</v>
      </c>
      <c r="E1588">
        <v>144.88271</v>
      </c>
      <c r="F1588">
        <v>147.21375</v>
      </c>
      <c r="G1588">
        <f>_xlfn.MAXIFS(Crypto[Close],Crypto[Name],Crypto[[#This Row],[Name]],Crypto[Date],"&lt;="&amp;Crypto[[#This Row],[Date]])</f>
        <v>261.86975000000001</v>
      </c>
      <c r="H1588" s="3">
        <f>(Crypto[[#This Row],[Close]]/Crypto[[#This Row],[Peak Close]])-1</f>
        <v>-0.43783598525602896</v>
      </c>
      <c r="I1588">
        <v>146.7664</v>
      </c>
      <c r="J1588" s="1">
        <v>45783</v>
      </c>
      <c r="K1588" s="3">
        <v>3.0480409685050502E-3</v>
      </c>
      <c r="L1588">
        <v>4316881378</v>
      </c>
      <c r="M1588" s="2" t="s">
        <v>14</v>
      </c>
    </row>
    <row r="1589" spans="1:13" x14ac:dyDescent="0.3">
      <c r="A1589" s="1">
        <v>45785</v>
      </c>
      <c r="B1589" s="2" t="s">
        <v>13</v>
      </c>
      <c r="C1589">
        <v>147.21727000000001</v>
      </c>
      <c r="D1589">
        <v>163.97505000000001</v>
      </c>
      <c r="E1589">
        <v>147.21419</v>
      </c>
      <c r="F1589">
        <v>163.96078</v>
      </c>
      <c r="G1589">
        <f>_xlfn.MAXIFS(Crypto[Close],Crypto[Name],Crypto[[#This Row],[Name]],Crypto[Date],"&lt;="&amp;Crypto[[#This Row],[Date]])</f>
        <v>261.86975000000001</v>
      </c>
      <c r="H1589" s="3">
        <f>(Crypto[[#This Row],[Close]]/Crypto[[#This Row],[Peak Close]])-1</f>
        <v>-0.37388423061464715</v>
      </c>
      <c r="I1589">
        <v>147.21375</v>
      </c>
      <c r="J1589" s="1">
        <v>45784</v>
      </c>
      <c r="K1589" s="3">
        <v>0.113759957884369</v>
      </c>
      <c r="L1589">
        <v>6372889923</v>
      </c>
      <c r="M1589" s="2" t="s">
        <v>14</v>
      </c>
    </row>
    <row r="1590" spans="1:13" x14ac:dyDescent="0.3">
      <c r="A1590" s="1">
        <v>45786</v>
      </c>
      <c r="B1590" s="2" t="s">
        <v>13</v>
      </c>
      <c r="C1590">
        <v>163.96024</v>
      </c>
      <c r="D1590">
        <v>175.86207999999999</v>
      </c>
      <c r="E1590">
        <v>161.24777</v>
      </c>
      <c r="F1590">
        <v>172.82828000000001</v>
      </c>
      <c r="G1590">
        <f>_xlfn.MAXIFS(Crypto[Close],Crypto[Name],Crypto[[#This Row],[Name]],Crypto[Date],"&lt;="&amp;Crypto[[#This Row],[Date]])</f>
        <v>261.86975000000001</v>
      </c>
      <c r="H1590" s="3">
        <f>(Crypto[[#This Row],[Close]]/Crypto[[#This Row],[Peak Close]])-1</f>
        <v>-0.34002197657423205</v>
      </c>
      <c r="I1590">
        <v>163.96078</v>
      </c>
      <c r="J1590" s="1">
        <v>45785</v>
      </c>
      <c r="K1590" s="3">
        <v>5.4083055716129202E-2</v>
      </c>
      <c r="L1590">
        <v>7452318987</v>
      </c>
      <c r="M1590" s="2" t="s">
        <v>14</v>
      </c>
    </row>
    <row r="1591" spans="1:13" x14ac:dyDescent="0.3">
      <c r="A1591" s="1">
        <v>45787</v>
      </c>
      <c r="B1591" s="2" t="s">
        <v>13</v>
      </c>
      <c r="C1591">
        <v>172.82769999999999</v>
      </c>
      <c r="D1591">
        <v>178.57185000000001</v>
      </c>
      <c r="E1591">
        <v>168.92940999999999</v>
      </c>
      <c r="F1591">
        <v>177.62181000000001</v>
      </c>
      <c r="G1591">
        <f>_xlfn.MAXIFS(Crypto[Close],Crypto[Name],Crypto[[#This Row],[Name]],Crypto[Date],"&lt;="&amp;Crypto[[#This Row],[Date]])</f>
        <v>261.86975000000001</v>
      </c>
      <c r="H1591" s="3">
        <f>(Crypto[[#This Row],[Close]]/Crypto[[#This Row],[Peak Close]])-1</f>
        <v>-0.3217169604354837</v>
      </c>
      <c r="I1591">
        <v>172.82828000000001</v>
      </c>
      <c r="J1591" s="1">
        <v>45786</v>
      </c>
      <c r="K1591" s="3">
        <v>2.7735796479603898E-2</v>
      </c>
      <c r="L1591">
        <v>4012477696</v>
      </c>
      <c r="M1591" s="2" t="s">
        <v>14</v>
      </c>
    </row>
    <row r="1592" spans="1:13" x14ac:dyDescent="0.3">
      <c r="A1592" s="1">
        <v>45788</v>
      </c>
      <c r="B1592" s="2" t="s">
        <v>13</v>
      </c>
      <c r="C1592">
        <v>177.62289000000001</v>
      </c>
      <c r="D1592">
        <v>179.62253000000001</v>
      </c>
      <c r="E1592">
        <v>169.71772999999999</v>
      </c>
      <c r="F1592">
        <v>173.02645999999999</v>
      </c>
      <c r="G1592">
        <f>_xlfn.MAXIFS(Crypto[Close],Crypto[Name],Crypto[[#This Row],[Name]],Crypto[Date],"&lt;="&amp;Crypto[[#This Row],[Date]])</f>
        <v>261.86975000000001</v>
      </c>
      <c r="H1592" s="3">
        <f>(Crypto[[#This Row],[Close]]/Crypto[[#This Row],[Peak Close]])-1</f>
        <v>-0.33926518813264994</v>
      </c>
      <c r="I1592">
        <v>177.62181000000001</v>
      </c>
      <c r="J1592" s="1">
        <v>45787</v>
      </c>
      <c r="K1592" s="3">
        <v>-2.5871541338307599E-2</v>
      </c>
      <c r="L1592">
        <v>4025374577</v>
      </c>
      <c r="M1592" s="2" t="s">
        <v>14</v>
      </c>
    </row>
    <row r="1593" spans="1:13" x14ac:dyDescent="0.3">
      <c r="A1593" s="1">
        <v>45789</v>
      </c>
      <c r="B1593" s="2" t="s">
        <v>13</v>
      </c>
      <c r="C1593">
        <v>173.03667999999999</v>
      </c>
      <c r="D1593">
        <v>180.95149000000001</v>
      </c>
      <c r="E1593">
        <v>169.07826</v>
      </c>
      <c r="F1593">
        <v>174.24789000000001</v>
      </c>
      <c r="G1593">
        <f>_xlfn.MAXIFS(Crypto[Close],Crypto[Name],Crypto[[#This Row],[Name]],Crypto[Date],"&lt;="&amp;Crypto[[#This Row],[Date]])</f>
        <v>261.86975000000001</v>
      </c>
      <c r="H1593" s="3">
        <f>(Crypto[[#This Row],[Close]]/Crypto[[#This Row],[Peak Close]])-1</f>
        <v>-0.33460092278699616</v>
      </c>
      <c r="I1593">
        <v>173.02645999999999</v>
      </c>
      <c r="J1593" s="1">
        <v>45788</v>
      </c>
      <c r="K1593" s="3">
        <v>7.0592093255564901E-3</v>
      </c>
      <c r="L1593">
        <v>6940951587</v>
      </c>
      <c r="M1593" s="2" t="s">
        <v>14</v>
      </c>
    </row>
    <row r="1594" spans="1:13" x14ac:dyDescent="0.3">
      <c r="A1594" s="1">
        <v>45790</v>
      </c>
      <c r="B1594" s="2" t="s">
        <v>13</v>
      </c>
      <c r="C1594">
        <v>174.24619999999999</v>
      </c>
      <c r="D1594">
        <v>184.70140000000001</v>
      </c>
      <c r="E1594">
        <v>166.80731</v>
      </c>
      <c r="F1594">
        <v>184.00626</v>
      </c>
      <c r="G1594">
        <f>_xlfn.MAXIFS(Crypto[Close],Crypto[Name],Crypto[[#This Row],[Name]],Crypto[Date],"&lt;="&amp;Crypto[[#This Row],[Date]])</f>
        <v>261.86975000000001</v>
      </c>
      <c r="H1594" s="3">
        <f>(Crypto[[#This Row],[Close]]/Crypto[[#This Row],[Peak Close]])-1</f>
        <v>-0.29733671033023101</v>
      </c>
      <c r="I1594">
        <v>174.24789000000001</v>
      </c>
      <c r="J1594" s="1">
        <v>45789</v>
      </c>
      <c r="K1594" s="3">
        <v>5.6002801526032701E-2</v>
      </c>
      <c r="L1594">
        <v>5170161208</v>
      </c>
      <c r="M1594" s="2" t="s">
        <v>14</v>
      </c>
    </row>
    <row r="1595" spans="1:13" x14ac:dyDescent="0.3">
      <c r="A1595" s="1">
        <v>45791</v>
      </c>
      <c r="B1595" s="2" t="s">
        <v>13</v>
      </c>
      <c r="C1595">
        <v>184.00630000000001</v>
      </c>
      <c r="D1595">
        <v>184.71818999999999</v>
      </c>
      <c r="E1595">
        <v>173.73174</v>
      </c>
      <c r="F1595">
        <v>176.70922999999999</v>
      </c>
      <c r="G1595">
        <f>_xlfn.MAXIFS(Crypto[Close],Crypto[Name],Crypto[[#This Row],[Name]],Crypto[Date],"&lt;="&amp;Crypto[[#This Row],[Date]])</f>
        <v>261.86975000000001</v>
      </c>
      <c r="H1595" s="3">
        <f>(Crypto[[#This Row],[Close]]/Crypto[[#This Row],[Peak Close]])-1</f>
        <v>-0.32520182266183861</v>
      </c>
      <c r="I1595">
        <v>184.00626</v>
      </c>
      <c r="J1595" s="1">
        <v>45790</v>
      </c>
      <c r="K1595" s="3">
        <v>-3.9656422558667297E-2</v>
      </c>
      <c r="L1595">
        <v>4610872279</v>
      </c>
      <c r="M1595" s="2" t="s">
        <v>14</v>
      </c>
    </row>
    <row r="1596" spans="1:13" x14ac:dyDescent="0.3">
      <c r="A1596" s="1">
        <v>45792</v>
      </c>
      <c r="B1596" s="2" t="s">
        <v>13</v>
      </c>
      <c r="C1596">
        <v>176.70866000000001</v>
      </c>
      <c r="D1596">
        <v>178.10504</v>
      </c>
      <c r="E1596">
        <v>167.28017</v>
      </c>
      <c r="F1596">
        <v>169.00998999999999</v>
      </c>
      <c r="G1596">
        <f>_xlfn.MAXIFS(Crypto[Close],Crypto[Name],Crypto[[#This Row],[Name]],Crypto[Date],"&lt;="&amp;Crypto[[#This Row],[Date]])</f>
        <v>261.86975000000001</v>
      </c>
      <c r="H1596" s="3">
        <f>(Crypto[[#This Row],[Close]]/Crypto[[#This Row],[Peak Close]])-1</f>
        <v>-0.35460285122661173</v>
      </c>
      <c r="I1596">
        <v>176.70922999999999</v>
      </c>
      <c r="J1596" s="1">
        <v>45791</v>
      </c>
      <c r="K1596" s="3">
        <v>-4.3570106666188303E-2</v>
      </c>
      <c r="L1596">
        <v>4347587992</v>
      </c>
      <c r="M1596" s="2" t="s">
        <v>14</v>
      </c>
    </row>
    <row r="1597" spans="1:13" x14ac:dyDescent="0.3">
      <c r="A1597" s="1">
        <v>45793</v>
      </c>
      <c r="B1597" s="2" t="s">
        <v>13</v>
      </c>
      <c r="C1597">
        <v>169.01469</v>
      </c>
      <c r="D1597">
        <v>173.9581</v>
      </c>
      <c r="E1597">
        <v>166.75722999999999</v>
      </c>
      <c r="F1597">
        <v>167.33394999999999</v>
      </c>
      <c r="G1597">
        <f>_xlfn.MAXIFS(Crypto[Close],Crypto[Name],Crypto[[#This Row],[Name]],Crypto[Date],"&lt;="&amp;Crypto[[#This Row],[Date]])</f>
        <v>261.86975000000001</v>
      </c>
      <c r="H1597" s="3">
        <f>(Crypto[[#This Row],[Close]]/Crypto[[#This Row],[Peak Close]])-1</f>
        <v>-0.36100313228236569</v>
      </c>
      <c r="I1597">
        <v>169.00998999999999</v>
      </c>
      <c r="J1597" s="1">
        <v>45792</v>
      </c>
      <c r="K1597" s="3">
        <v>-9.9168102429921506E-3</v>
      </c>
      <c r="L1597">
        <v>3495576096</v>
      </c>
      <c r="M1597" s="2" t="s">
        <v>14</v>
      </c>
    </row>
    <row r="1598" spans="1:13" x14ac:dyDescent="0.3">
      <c r="A1598" s="1">
        <v>45794</v>
      </c>
      <c r="B1598" s="2" t="s">
        <v>13</v>
      </c>
      <c r="C1598">
        <v>167.33394999999999</v>
      </c>
      <c r="D1598">
        <v>169.76828</v>
      </c>
      <c r="E1598">
        <v>164.22495000000001</v>
      </c>
      <c r="F1598">
        <v>165.93082999999999</v>
      </c>
      <c r="G1598">
        <f>_xlfn.MAXIFS(Crypto[Close],Crypto[Name],Crypto[[#This Row],[Name]],Crypto[Date],"&lt;="&amp;Crypto[[#This Row],[Date]])</f>
        <v>261.86975000000001</v>
      </c>
      <c r="H1598" s="3">
        <f>(Crypto[[#This Row],[Close]]/Crypto[[#This Row],[Peak Close]])-1</f>
        <v>-0.36636121583344394</v>
      </c>
      <c r="I1598">
        <v>167.33394999999999</v>
      </c>
      <c r="J1598" s="1">
        <v>45793</v>
      </c>
      <c r="K1598" s="3">
        <v>-8.3851483814252996E-3</v>
      </c>
      <c r="L1598">
        <v>2783616834</v>
      </c>
      <c r="M1598" s="2" t="s">
        <v>14</v>
      </c>
    </row>
    <row r="1599" spans="1:13" x14ac:dyDescent="0.3">
      <c r="A1599" s="1">
        <v>45795</v>
      </c>
      <c r="B1599" s="2" t="s">
        <v>13</v>
      </c>
      <c r="C1599">
        <v>165.93198000000001</v>
      </c>
      <c r="D1599">
        <v>176.49248</v>
      </c>
      <c r="E1599">
        <v>165.51353</v>
      </c>
      <c r="F1599">
        <v>173.89870999999999</v>
      </c>
      <c r="G1599">
        <f>_xlfn.MAXIFS(Crypto[Close],Crypto[Name],Crypto[[#This Row],[Name]],Crypto[Date],"&lt;="&amp;Crypto[[#This Row],[Date]])</f>
        <v>261.86975000000001</v>
      </c>
      <c r="H1599" s="3">
        <f>(Crypto[[#This Row],[Close]]/Crypto[[#This Row],[Peak Close]])-1</f>
        <v>-0.33593433376707316</v>
      </c>
      <c r="I1599">
        <v>165.93082999999999</v>
      </c>
      <c r="J1599" s="1">
        <v>45794</v>
      </c>
      <c r="K1599" s="3">
        <v>4.8019286108555E-2</v>
      </c>
      <c r="L1599">
        <v>3866092629</v>
      </c>
      <c r="M1599" s="2" t="s">
        <v>14</v>
      </c>
    </row>
    <row r="1600" spans="1:13" x14ac:dyDescent="0.3">
      <c r="A1600" s="1">
        <v>45796</v>
      </c>
      <c r="B1600" s="2" t="s">
        <v>13</v>
      </c>
      <c r="C1600">
        <v>173.83578</v>
      </c>
      <c r="D1600">
        <v>173.83852999999999</v>
      </c>
      <c r="E1600">
        <v>159.64749</v>
      </c>
      <c r="F1600">
        <v>166.86422999999999</v>
      </c>
      <c r="G1600">
        <f>_xlfn.MAXIFS(Crypto[Close],Crypto[Name],Crypto[[#This Row],[Name]],Crypto[Date],"&lt;="&amp;Crypto[[#This Row],[Date]])</f>
        <v>261.86975000000001</v>
      </c>
      <c r="H1600" s="3">
        <f>(Crypto[[#This Row],[Close]]/Crypto[[#This Row],[Peak Close]])-1</f>
        <v>-0.36279684843323834</v>
      </c>
      <c r="I1600">
        <v>173.89870999999999</v>
      </c>
      <c r="J1600" s="1">
        <v>45795</v>
      </c>
      <c r="K1600" s="3">
        <v>-4.0451593919241802E-2</v>
      </c>
      <c r="L1600">
        <v>4498613127</v>
      </c>
      <c r="M1600" s="2" t="s">
        <v>14</v>
      </c>
    </row>
    <row r="1601" spans="1:13" x14ac:dyDescent="0.3">
      <c r="A1601" s="1">
        <v>45797</v>
      </c>
      <c r="B1601" s="2" t="s">
        <v>13</v>
      </c>
      <c r="C1601">
        <v>166.86421000000001</v>
      </c>
      <c r="D1601">
        <v>172.86057</v>
      </c>
      <c r="E1601">
        <v>164.77965</v>
      </c>
      <c r="F1601">
        <v>168.48369</v>
      </c>
      <c r="G1601">
        <f>_xlfn.MAXIFS(Crypto[Close],Crypto[Name],Crypto[[#This Row],[Name]],Crypto[Date],"&lt;="&amp;Crypto[[#This Row],[Date]])</f>
        <v>261.86975000000001</v>
      </c>
      <c r="H1601" s="3">
        <f>(Crypto[[#This Row],[Close]]/Crypto[[#This Row],[Peak Close]])-1</f>
        <v>-0.35661262898826618</v>
      </c>
      <c r="I1601">
        <v>166.86422999999999</v>
      </c>
      <c r="J1601" s="1">
        <v>45796</v>
      </c>
      <c r="K1601" s="3">
        <v>9.7052555841356993E-3</v>
      </c>
      <c r="L1601">
        <v>3787047019</v>
      </c>
      <c r="M1601" s="2" t="s">
        <v>14</v>
      </c>
    </row>
    <row r="1602" spans="1:13" x14ac:dyDescent="0.3">
      <c r="A1602" s="1">
        <v>45798</v>
      </c>
      <c r="B1602" s="2" t="s">
        <v>13</v>
      </c>
      <c r="C1602">
        <v>168.48411999999999</v>
      </c>
      <c r="D1602">
        <v>175.52242000000001</v>
      </c>
      <c r="E1602">
        <v>166.30486999999999</v>
      </c>
      <c r="F1602">
        <v>173.68172999999999</v>
      </c>
      <c r="G1602">
        <f>_xlfn.MAXIFS(Crypto[Close],Crypto[Name],Crypto[[#This Row],[Name]],Crypto[Date],"&lt;="&amp;Crypto[[#This Row],[Date]])</f>
        <v>261.86975000000001</v>
      </c>
      <c r="H1602" s="3">
        <f>(Crypto[[#This Row],[Close]]/Crypto[[#This Row],[Peak Close]])-1</f>
        <v>-0.33676291362404409</v>
      </c>
      <c r="I1602">
        <v>168.48369</v>
      </c>
      <c r="J1602" s="1">
        <v>45797</v>
      </c>
      <c r="K1602" s="3">
        <v>3.0851888393470001E-2</v>
      </c>
      <c r="L1602">
        <v>5254974027</v>
      </c>
      <c r="M1602" s="2" t="s">
        <v>14</v>
      </c>
    </row>
    <row r="1603" spans="1:13" x14ac:dyDescent="0.3">
      <c r="A1603" s="1">
        <v>45799</v>
      </c>
      <c r="B1603" s="2" t="s">
        <v>13</v>
      </c>
      <c r="C1603">
        <v>173.68221</v>
      </c>
      <c r="D1603">
        <v>180.54624999999999</v>
      </c>
      <c r="E1603">
        <v>172.75524999999999</v>
      </c>
      <c r="F1603">
        <v>179.69094999999999</v>
      </c>
      <c r="G1603">
        <f>_xlfn.MAXIFS(Crypto[Close],Crypto[Name],Crypto[[#This Row],[Name]],Crypto[Date],"&lt;="&amp;Crypto[[#This Row],[Date]])</f>
        <v>261.86975000000001</v>
      </c>
      <c r="H1603" s="3">
        <f>(Crypto[[#This Row],[Close]]/Crypto[[#This Row],[Peak Close]])-1</f>
        <v>-0.31381555143348949</v>
      </c>
      <c r="I1603">
        <v>173.68172999999999</v>
      </c>
      <c r="J1603" s="1">
        <v>45798</v>
      </c>
      <c r="K1603" s="3">
        <v>3.4599033531045598E-2</v>
      </c>
      <c r="L1603">
        <v>4913432701</v>
      </c>
      <c r="M1603" s="2" t="s">
        <v>14</v>
      </c>
    </row>
    <row r="1604" spans="1:13" x14ac:dyDescent="0.3">
      <c r="A1604" s="1">
        <v>45800</v>
      </c>
      <c r="B1604" s="2" t="s">
        <v>13</v>
      </c>
      <c r="C1604">
        <v>179.69147000000001</v>
      </c>
      <c r="D1604">
        <v>187.27975000000001</v>
      </c>
      <c r="E1604">
        <v>173.57062999999999</v>
      </c>
      <c r="F1604">
        <v>173.82542000000001</v>
      </c>
      <c r="G1604">
        <f>_xlfn.MAXIFS(Crypto[Close],Crypto[Name],Crypto[[#This Row],[Name]],Crypto[Date],"&lt;="&amp;Crypto[[#This Row],[Date]])</f>
        <v>261.86975000000001</v>
      </c>
      <c r="H1604" s="3">
        <f>(Crypto[[#This Row],[Close]]/Crypto[[#This Row],[Peak Close]])-1</f>
        <v>-0.33621420572631999</v>
      </c>
      <c r="I1604">
        <v>179.69094999999999</v>
      </c>
      <c r="J1604" s="1">
        <v>45799</v>
      </c>
      <c r="K1604" s="3">
        <v>-3.2642322832618899E-2</v>
      </c>
      <c r="L1604">
        <v>7488253558</v>
      </c>
      <c r="M1604" s="2" t="s">
        <v>14</v>
      </c>
    </row>
    <row r="1605" spans="1:13" x14ac:dyDescent="0.3">
      <c r="A1605" s="1">
        <v>45801</v>
      </c>
      <c r="B1605" s="2" t="s">
        <v>13</v>
      </c>
      <c r="C1605">
        <v>173.84040999999999</v>
      </c>
      <c r="D1605">
        <v>178.14275000000001</v>
      </c>
      <c r="E1605">
        <v>172.79172</v>
      </c>
      <c r="F1605">
        <v>176.04239999999999</v>
      </c>
      <c r="G1605">
        <f>_xlfn.MAXIFS(Crypto[Close],Crypto[Name],Crypto[[#This Row],[Name]],Crypto[Date],"&lt;="&amp;Crypto[[#This Row],[Date]])</f>
        <v>261.86975000000001</v>
      </c>
      <c r="H1605" s="3">
        <f>(Crypto[[#This Row],[Close]]/Crypto[[#This Row],[Peak Close]])-1</f>
        <v>-0.32774824125352398</v>
      </c>
      <c r="I1605">
        <v>173.82542000000001</v>
      </c>
      <c r="J1605" s="1">
        <v>45800</v>
      </c>
      <c r="K1605" s="3">
        <v>1.27540609422947E-2</v>
      </c>
      <c r="L1605">
        <v>3002798120</v>
      </c>
      <c r="M1605" s="2" t="s">
        <v>14</v>
      </c>
    </row>
    <row r="1606" spans="1:13" x14ac:dyDescent="0.3">
      <c r="A1606" s="1">
        <v>45802</v>
      </c>
      <c r="B1606" s="2" t="s">
        <v>13</v>
      </c>
      <c r="C1606">
        <v>176.03448</v>
      </c>
      <c r="D1606">
        <v>176.72130000000001</v>
      </c>
      <c r="E1606">
        <v>169.35778999999999</v>
      </c>
      <c r="F1606">
        <v>175.72548</v>
      </c>
      <c r="G1606">
        <f>_xlfn.MAXIFS(Crypto[Close],Crypto[Name],Crypto[[#This Row],[Name]],Crypto[Date],"&lt;="&amp;Crypto[[#This Row],[Date]])</f>
        <v>261.86975000000001</v>
      </c>
      <c r="H1606" s="3">
        <f>(Crypto[[#This Row],[Close]]/Crypto[[#This Row],[Peak Close]])-1</f>
        <v>-0.32895846121974759</v>
      </c>
      <c r="I1606">
        <v>176.04239999999999</v>
      </c>
      <c r="J1606" s="1">
        <v>45801</v>
      </c>
      <c r="K1606" s="3">
        <v>-1.8002481220432201E-3</v>
      </c>
      <c r="L1606">
        <v>3395309315</v>
      </c>
      <c r="M1606" s="2" t="s">
        <v>14</v>
      </c>
    </row>
    <row r="1607" spans="1:13" x14ac:dyDescent="0.3">
      <c r="A1607" s="1">
        <v>45803</v>
      </c>
      <c r="B1607" s="2" t="s">
        <v>13</v>
      </c>
      <c r="C1607">
        <v>175.72566</v>
      </c>
      <c r="D1607">
        <v>178.97800000000001</v>
      </c>
      <c r="E1607">
        <v>173.70024000000001</v>
      </c>
      <c r="F1607">
        <v>174.90790000000001</v>
      </c>
      <c r="G1607">
        <f>_xlfn.MAXIFS(Crypto[Close],Crypto[Name],Crypto[[#This Row],[Name]],Crypto[Date],"&lt;="&amp;Crypto[[#This Row],[Date]])</f>
        <v>261.86975000000001</v>
      </c>
      <c r="H1607" s="3">
        <f>(Crypto[[#This Row],[Close]]/Crypto[[#This Row],[Peak Close]])-1</f>
        <v>-0.3320805476768508</v>
      </c>
      <c r="I1607">
        <v>175.72548</v>
      </c>
      <c r="J1607" s="1">
        <v>45802</v>
      </c>
      <c r="K1607" s="3">
        <v>-4.6525979044131404E-3</v>
      </c>
      <c r="L1607">
        <v>2872898398</v>
      </c>
      <c r="M1607" s="2" t="s">
        <v>14</v>
      </c>
    </row>
    <row r="1608" spans="1:13" x14ac:dyDescent="0.3">
      <c r="A1608" s="1">
        <v>45804</v>
      </c>
      <c r="B1608" s="2" t="s">
        <v>13</v>
      </c>
      <c r="C1608">
        <v>174.90770000000001</v>
      </c>
      <c r="D1608">
        <v>179.22127</v>
      </c>
      <c r="E1608">
        <v>171.57544999999999</v>
      </c>
      <c r="F1608">
        <v>176.81519</v>
      </c>
      <c r="G1608">
        <f>_xlfn.MAXIFS(Crypto[Close],Crypto[Name],Crypto[[#This Row],[Name]],Crypto[Date],"&lt;="&amp;Crypto[[#This Row],[Date]])</f>
        <v>261.86975000000001</v>
      </c>
      <c r="H1608" s="3">
        <f>(Crypto[[#This Row],[Close]]/Crypto[[#This Row],[Peak Close]])-1</f>
        <v>-0.32479719402489216</v>
      </c>
      <c r="I1608">
        <v>174.90790000000001</v>
      </c>
      <c r="J1608" s="1">
        <v>45803</v>
      </c>
      <c r="K1608" s="3">
        <v>1.09045389030455E-2</v>
      </c>
      <c r="L1608">
        <v>3737068836</v>
      </c>
      <c r="M1608" s="2" t="s">
        <v>14</v>
      </c>
    </row>
    <row r="1609" spans="1:13" x14ac:dyDescent="0.3">
      <c r="A1609" s="1">
        <v>45805</v>
      </c>
      <c r="B1609" s="2" t="s">
        <v>13</v>
      </c>
      <c r="C1609">
        <v>176.81465</v>
      </c>
      <c r="D1609">
        <v>177.37599</v>
      </c>
      <c r="E1609">
        <v>169.10570000000001</v>
      </c>
      <c r="F1609">
        <v>172.18956</v>
      </c>
      <c r="G1609">
        <f>_xlfn.MAXIFS(Crypto[Close],Crypto[Name],Crypto[[#This Row],[Name]],Crypto[Date],"&lt;="&amp;Crypto[[#This Row],[Date]])</f>
        <v>261.86975000000001</v>
      </c>
      <c r="H1609" s="3">
        <f>(Crypto[[#This Row],[Close]]/Crypto[[#This Row],[Peak Close]])-1</f>
        <v>-0.34246105172514196</v>
      </c>
      <c r="I1609">
        <v>176.81519</v>
      </c>
      <c r="J1609" s="1">
        <v>45804</v>
      </c>
      <c r="K1609" s="3">
        <v>-2.6160817970447E-2</v>
      </c>
      <c r="L1609">
        <v>3454599629</v>
      </c>
      <c r="M1609" s="2" t="s">
        <v>14</v>
      </c>
    </row>
    <row r="1610" spans="1:13" x14ac:dyDescent="0.3">
      <c r="A1610" s="1">
        <v>45806</v>
      </c>
      <c r="B1610" s="2" t="s">
        <v>13</v>
      </c>
      <c r="C1610">
        <v>172.19059999999999</v>
      </c>
      <c r="D1610">
        <v>175.18428</v>
      </c>
      <c r="E1610">
        <v>166.25851</v>
      </c>
      <c r="F1610">
        <v>166.58817999999999</v>
      </c>
      <c r="G1610">
        <f>_xlfn.MAXIFS(Crypto[Close],Crypto[Name],Crypto[[#This Row],[Name]],Crypto[Date],"&lt;="&amp;Crypto[[#This Row],[Date]])</f>
        <v>261.86975000000001</v>
      </c>
      <c r="H1610" s="3">
        <f>(Crypto[[#This Row],[Close]]/Crypto[[#This Row],[Peak Close]])-1</f>
        <v>-0.36385099844483759</v>
      </c>
      <c r="I1610">
        <v>172.18956</v>
      </c>
      <c r="J1610" s="1">
        <v>45805</v>
      </c>
      <c r="K1610" s="3">
        <v>-3.2530311361501897E-2</v>
      </c>
      <c r="L1610">
        <v>3480369993</v>
      </c>
      <c r="M1610" s="2" t="s">
        <v>14</v>
      </c>
    </row>
    <row r="1611" spans="1:13" x14ac:dyDescent="0.3">
      <c r="A1611" s="1">
        <v>45807</v>
      </c>
      <c r="B1611" s="2" t="s">
        <v>13</v>
      </c>
      <c r="C1611">
        <v>166.59343000000001</v>
      </c>
      <c r="D1611">
        <v>167.34711999999999</v>
      </c>
      <c r="E1611">
        <v>156.03465</v>
      </c>
      <c r="F1611">
        <v>156.23471000000001</v>
      </c>
      <c r="G1611">
        <f>_xlfn.MAXIFS(Crypto[Close],Crypto[Name],Crypto[[#This Row],[Name]],Crypto[Date],"&lt;="&amp;Crypto[[#This Row],[Date]])</f>
        <v>261.86975000000001</v>
      </c>
      <c r="H1611" s="3">
        <f>(Crypto[[#This Row],[Close]]/Crypto[[#This Row],[Peak Close]])-1</f>
        <v>-0.40338771469404155</v>
      </c>
      <c r="I1611">
        <v>166.58817999999999</v>
      </c>
      <c r="J1611" s="1">
        <v>45806</v>
      </c>
      <c r="K1611" s="3">
        <v>-6.2150087719308703E-2</v>
      </c>
      <c r="L1611">
        <v>4458908034</v>
      </c>
      <c r="M1611" s="2" t="s">
        <v>14</v>
      </c>
    </row>
    <row r="1612" spans="1:13" x14ac:dyDescent="0.3">
      <c r="A1612" s="1">
        <v>45808</v>
      </c>
      <c r="B1612" s="2" t="s">
        <v>13</v>
      </c>
      <c r="C1612">
        <v>156.23595</v>
      </c>
      <c r="D1612">
        <v>157.93669</v>
      </c>
      <c r="E1612">
        <v>152.44165000000001</v>
      </c>
      <c r="F1612">
        <v>156.63894999999999</v>
      </c>
      <c r="G1612">
        <f>_xlfn.MAXIFS(Crypto[Close],Crypto[Name],Crypto[[#This Row],[Name]],Crypto[Date],"&lt;="&amp;Crypto[[#This Row],[Date]])</f>
        <v>261.86975000000001</v>
      </c>
      <c r="H1612" s="3">
        <f>(Crypto[[#This Row],[Close]]/Crypto[[#This Row],[Peak Close]])-1</f>
        <v>-0.40184404651549099</v>
      </c>
      <c r="I1612">
        <v>156.23471000000001</v>
      </c>
      <c r="J1612" s="1">
        <v>45807</v>
      </c>
      <c r="K1612" s="3">
        <v>2.5873891915566502E-3</v>
      </c>
      <c r="L1612">
        <v>2817151487</v>
      </c>
      <c r="M1612" s="2" t="s">
        <v>14</v>
      </c>
    </row>
    <row r="1613" spans="1:13" x14ac:dyDescent="0.3">
      <c r="A1613" s="1">
        <v>45809</v>
      </c>
      <c r="B1613" s="2" t="s">
        <v>13</v>
      </c>
      <c r="C1613">
        <v>156.63789</v>
      </c>
      <c r="D1613">
        <v>157.82785000000001</v>
      </c>
      <c r="E1613">
        <v>150.84341000000001</v>
      </c>
      <c r="F1613">
        <v>157.78455</v>
      </c>
      <c r="G1613">
        <f>_xlfn.MAXIFS(Crypto[Close],Crypto[Name],Crypto[[#This Row],[Name]],Crypto[Date],"&lt;="&amp;Crypto[[#This Row],[Date]])</f>
        <v>261.86975000000001</v>
      </c>
      <c r="H1613" s="3">
        <f>(Crypto[[#This Row],[Close]]/Crypto[[#This Row],[Peak Close]])-1</f>
        <v>-0.39746935260754634</v>
      </c>
      <c r="I1613">
        <v>156.63894999999999</v>
      </c>
      <c r="J1613" s="1">
        <v>45808</v>
      </c>
      <c r="K1613" s="3">
        <v>7.31363431636896E-3</v>
      </c>
      <c r="L1613">
        <v>2554572841</v>
      </c>
      <c r="M1613" s="2" t="s">
        <v>14</v>
      </c>
    </row>
    <row r="1614" spans="1:13" x14ac:dyDescent="0.3">
      <c r="A1614" s="1">
        <v>45810</v>
      </c>
      <c r="B1614" s="2" t="s">
        <v>13</v>
      </c>
      <c r="C1614">
        <v>157.78373999999999</v>
      </c>
      <c r="D1614">
        <v>158.89464000000001</v>
      </c>
      <c r="E1614">
        <v>151.99744999999999</v>
      </c>
      <c r="F1614">
        <v>156.99806000000001</v>
      </c>
      <c r="G1614">
        <f>_xlfn.MAXIFS(Crypto[Close],Crypto[Name],Crypto[[#This Row],[Name]],Crypto[Date],"&lt;="&amp;Crypto[[#This Row],[Date]])</f>
        <v>261.86975000000001</v>
      </c>
      <c r="H1614" s="3">
        <f>(Crypto[[#This Row],[Close]]/Crypto[[#This Row],[Peak Close]])-1</f>
        <v>-0.40047271592079647</v>
      </c>
      <c r="I1614">
        <v>157.78455</v>
      </c>
      <c r="J1614" s="1">
        <v>45809</v>
      </c>
      <c r="K1614" s="3">
        <v>-4.9845818237589604E-3</v>
      </c>
      <c r="L1614">
        <v>3070599881</v>
      </c>
      <c r="M1614" s="2" t="s">
        <v>14</v>
      </c>
    </row>
    <row r="1615" spans="1:13" x14ac:dyDescent="0.3">
      <c r="A1615" s="1">
        <v>45811</v>
      </c>
      <c r="B1615" s="2" t="s">
        <v>13</v>
      </c>
      <c r="C1615">
        <v>156.99808999999999</v>
      </c>
      <c r="D1615">
        <v>163.39368999999999</v>
      </c>
      <c r="E1615">
        <v>154.70766</v>
      </c>
      <c r="F1615">
        <v>155.34316999999999</v>
      </c>
      <c r="G1615">
        <f>_xlfn.MAXIFS(Crypto[Close],Crypto[Name],Crypto[[#This Row],[Name]],Crypto[Date],"&lt;="&amp;Crypto[[#This Row],[Date]])</f>
        <v>261.86975000000001</v>
      </c>
      <c r="H1615" s="3">
        <f>(Crypto[[#This Row],[Close]]/Crypto[[#This Row],[Peak Close]])-1</f>
        <v>-0.40679223163423806</v>
      </c>
      <c r="I1615">
        <v>156.99806000000001</v>
      </c>
      <c r="J1615" s="1">
        <v>45810</v>
      </c>
      <c r="K1615" s="3">
        <v>-1.0540830886700299E-2</v>
      </c>
      <c r="L1615">
        <v>3739800274</v>
      </c>
      <c r="M1615" s="2" t="s">
        <v>14</v>
      </c>
    </row>
    <row r="1616" spans="1:13" x14ac:dyDescent="0.3">
      <c r="A1616" s="1">
        <v>45812</v>
      </c>
      <c r="B1616" s="2" t="s">
        <v>13</v>
      </c>
      <c r="C1616">
        <v>155.34172000000001</v>
      </c>
      <c r="D1616">
        <v>157.85303999999999</v>
      </c>
      <c r="E1616">
        <v>153.17563999999999</v>
      </c>
      <c r="F1616">
        <v>153.35964999999999</v>
      </c>
      <c r="G1616">
        <f>_xlfn.MAXIFS(Crypto[Close],Crypto[Name],Crypto[[#This Row],[Name]],Crypto[Date],"&lt;="&amp;Crypto[[#This Row],[Date]])</f>
        <v>261.86975000000001</v>
      </c>
      <c r="H1616" s="3">
        <f>(Crypto[[#This Row],[Close]]/Crypto[[#This Row],[Peak Close]])-1</f>
        <v>-0.41436668420082889</v>
      </c>
      <c r="I1616">
        <v>155.34316999999999</v>
      </c>
      <c r="J1616" s="1">
        <v>45811</v>
      </c>
      <c r="K1616" s="3">
        <v>-1.2768633471301E-2</v>
      </c>
      <c r="L1616">
        <v>2694510572</v>
      </c>
      <c r="M1616" s="2" t="s">
        <v>14</v>
      </c>
    </row>
    <row r="1617" spans="1:13" x14ac:dyDescent="0.3">
      <c r="A1617" s="1">
        <v>45813</v>
      </c>
      <c r="B1617" s="2" t="s">
        <v>13</v>
      </c>
      <c r="C1617">
        <v>153.35933</v>
      </c>
      <c r="D1617">
        <v>154.56041999999999</v>
      </c>
      <c r="E1617">
        <v>141.90294</v>
      </c>
      <c r="F1617">
        <v>144.54294999999999</v>
      </c>
      <c r="G1617">
        <f>_xlfn.MAXIFS(Crypto[Close],Crypto[Name],Crypto[[#This Row],[Name]],Crypto[Date],"&lt;="&amp;Crypto[[#This Row],[Date]])</f>
        <v>261.86975000000001</v>
      </c>
      <c r="H1617" s="3">
        <f>(Crypto[[#This Row],[Close]]/Crypto[[#This Row],[Peak Close]])-1</f>
        <v>-0.44803494867200211</v>
      </c>
      <c r="I1617">
        <v>153.35964999999999</v>
      </c>
      <c r="J1617" s="1">
        <v>45812</v>
      </c>
      <c r="K1617" s="3">
        <v>-5.7490350297487003E-2</v>
      </c>
      <c r="L1617">
        <v>4691163987</v>
      </c>
      <c r="M1617" s="2" t="s">
        <v>14</v>
      </c>
    </row>
    <row r="1618" spans="1:13" x14ac:dyDescent="0.3">
      <c r="A1618" s="1">
        <v>45814</v>
      </c>
      <c r="B1618" s="2" t="s">
        <v>13</v>
      </c>
      <c r="C1618">
        <v>144.54291000000001</v>
      </c>
      <c r="D1618">
        <v>152.02251999999999</v>
      </c>
      <c r="E1618">
        <v>144.44040000000001</v>
      </c>
      <c r="F1618">
        <v>147.91313</v>
      </c>
      <c r="G1618">
        <f>_xlfn.MAXIFS(Crypto[Close],Crypto[Name],Crypto[[#This Row],[Name]],Crypto[Date],"&lt;="&amp;Crypto[[#This Row],[Date]])</f>
        <v>261.86975000000001</v>
      </c>
      <c r="H1618" s="3">
        <f>(Crypto[[#This Row],[Close]]/Crypto[[#This Row],[Peak Close]])-1</f>
        <v>-0.43516526822972112</v>
      </c>
      <c r="I1618">
        <v>144.54294999999999</v>
      </c>
      <c r="J1618" s="1">
        <v>45813</v>
      </c>
      <c r="K1618" s="3">
        <v>2.33161146911697E-2</v>
      </c>
      <c r="L1618">
        <v>2780168622</v>
      </c>
      <c r="M1618" s="2" t="s">
        <v>14</v>
      </c>
    </row>
    <row r="1619" spans="1:13" x14ac:dyDescent="0.3">
      <c r="A1619" s="1">
        <v>45815</v>
      </c>
      <c r="B1619" s="2" t="s">
        <v>13</v>
      </c>
      <c r="C1619">
        <v>147.90805</v>
      </c>
      <c r="D1619">
        <v>152.82552999999999</v>
      </c>
      <c r="E1619">
        <v>147.18727000000001</v>
      </c>
      <c r="F1619">
        <v>150.13406000000001</v>
      </c>
      <c r="G1619">
        <f>_xlfn.MAXIFS(Crypto[Close],Crypto[Name],Crypto[[#This Row],[Name]],Crypto[Date],"&lt;="&amp;Crypto[[#This Row],[Date]])</f>
        <v>261.86975000000001</v>
      </c>
      <c r="H1619" s="3">
        <f>(Crypto[[#This Row],[Close]]/Crypto[[#This Row],[Peak Close]])-1</f>
        <v>-0.42668421992230876</v>
      </c>
      <c r="I1619">
        <v>147.91313</v>
      </c>
      <c r="J1619" s="1">
        <v>45814</v>
      </c>
      <c r="K1619" s="3">
        <v>1.5015097037024401E-2</v>
      </c>
      <c r="L1619">
        <v>1895979261</v>
      </c>
      <c r="M1619" s="2" t="s">
        <v>14</v>
      </c>
    </row>
    <row r="1620" spans="1:13" x14ac:dyDescent="0.3">
      <c r="A1620" s="1">
        <v>45816</v>
      </c>
      <c r="B1620" s="2" t="s">
        <v>13</v>
      </c>
      <c r="C1620">
        <v>150.13390000000001</v>
      </c>
      <c r="D1620">
        <v>155.04189</v>
      </c>
      <c r="E1620">
        <v>148.22443000000001</v>
      </c>
      <c r="F1620">
        <v>152.43010000000001</v>
      </c>
      <c r="G1620">
        <f>_xlfn.MAXIFS(Crypto[Close],Crypto[Name],Crypto[[#This Row],[Name]],Crypto[Date],"&lt;="&amp;Crypto[[#This Row],[Date]])</f>
        <v>261.86975000000001</v>
      </c>
      <c r="H1620" s="3">
        <f>(Crypto[[#This Row],[Close]]/Crypto[[#This Row],[Peak Close]])-1</f>
        <v>-0.41791634963564905</v>
      </c>
      <c r="I1620">
        <v>150.13406000000001</v>
      </c>
      <c r="J1620" s="1">
        <v>45815</v>
      </c>
      <c r="K1620" s="3">
        <v>1.52932652324196E-2</v>
      </c>
      <c r="L1620">
        <v>1928262265</v>
      </c>
      <c r="M1620" s="2" t="s">
        <v>14</v>
      </c>
    </row>
    <row r="1621" spans="1:13" x14ac:dyDescent="0.3">
      <c r="A1621" s="1">
        <v>45817</v>
      </c>
      <c r="B1621" s="2" t="s">
        <v>13</v>
      </c>
      <c r="C1621">
        <v>152.43010000000001</v>
      </c>
      <c r="D1621">
        <v>161.4991</v>
      </c>
      <c r="E1621">
        <v>149.83992000000001</v>
      </c>
      <c r="F1621">
        <v>161.08865</v>
      </c>
      <c r="G1621">
        <f>_xlfn.MAXIFS(Crypto[Close],Crypto[Name],Crypto[[#This Row],[Name]],Crypto[Date],"&lt;="&amp;Crypto[[#This Row],[Date]])</f>
        <v>261.86975000000001</v>
      </c>
      <c r="H1621" s="3">
        <f>(Crypto[[#This Row],[Close]]/Crypto[[#This Row],[Peak Close]])-1</f>
        <v>-0.3848520113529722</v>
      </c>
      <c r="I1621">
        <v>152.43010000000001</v>
      </c>
      <c r="J1621" s="1">
        <v>45816</v>
      </c>
      <c r="K1621" s="3">
        <v>5.68034134990398E-2</v>
      </c>
      <c r="L1621">
        <v>3689102023</v>
      </c>
      <c r="M1621" s="2" t="s">
        <v>14</v>
      </c>
    </row>
    <row r="1622" spans="1:13" x14ac:dyDescent="0.3">
      <c r="A1622" s="1">
        <v>45818</v>
      </c>
      <c r="B1622" s="2" t="s">
        <v>13</v>
      </c>
      <c r="C1622">
        <v>161.09470999999999</v>
      </c>
      <c r="D1622">
        <v>165.53391999999999</v>
      </c>
      <c r="E1622">
        <v>156.84259</v>
      </c>
      <c r="F1622">
        <v>165.02816999999999</v>
      </c>
      <c r="G1622">
        <f>_xlfn.MAXIFS(Crypto[Close],Crypto[Name],Crypto[[#This Row],[Name]],Crypto[Date],"&lt;="&amp;Crypto[[#This Row],[Date]])</f>
        <v>261.86975000000001</v>
      </c>
      <c r="H1622" s="3">
        <f>(Crypto[[#This Row],[Close]]/Crypto[[#This Row],[Peak Close]])-1</f>
        <v>-0.3698081966321044</v>
      </c>
      <c r="I1622">
        <v>161.08865</v>
      </c>
      <c r="J1622" s="1">
        <v>45817</v>
      </c>
      <c r="K1622" s="3">
        <v>2.4455602551762601E-2</v>
      </c>
      <c r="L1622">
        <v>4891108456</v>
      </c>
      <c r="M1622" s="2" t="s">
        <v>14</v>
      </c>
    </row>
    <row r="1623" spans="1:13" x14ac:dyDescent="0.3">
      <c r="A1623" s="1">
        <v>45819</v>
      </c>
      <c r="B1623" s="2" t="s">
        <v>13</v>
      </c>
      <c r="C1623">
        <v>165.02816999999999</v>
      </c>
      <c r="D1623">
        <v>168.01811000000001</v>
      </c>
      <c r="E1623">
        <v>159.42578</v>
      </c>
      <c r="F1623">
        <v>161.05586</v>
      </c>
      <c r="G1623">
        <f>_xlfn.MAXIFS(Crypto[Close],Crypto[Name],Crypto[[#This Row],[Name]],Crypto[Date],"&lt;="&amp;Crypto[[#This Row],[Date]])</f>
        <v>261.86975000000001</v>
      </c>
      <c r="H1623" s="3">
        <f>(Crypto[[#This Row],[Close]]/Crypto[[#This Row],[Peak Close]])-1</f>
        <v>-0.38497722627374875</v>
      </c>
      <c r="I1623">
        <v>165.02816999999999</v>
      </c>
      <c r="J1623" s="1">
        <v>45818</v>
      </c>
      <c r="K1623" s="3">
        <v>-2.4070496570373402E-2</v>
      </c>
      <c r="L1623">
        <v>5292694830</v>
      </c>
      <c r="M1623" s="2" t="s">
        <v>14</v>
      </c>
    </row>
    <row r="1624" spans="1:13" x14ac:dyDescent="0.3">
      <c r="A1624" s="1">
        <v>45820</v>
      </c>
      <c r="B1624" s="2" t="s">
        <v>13</v>
      </c>
      <c r="C1624">
        <v>161.05586</v>
      </c>
      <c r="D1624">
        <v>161.20278999999999</v>
      </c>
      <c r="E1624">
        <v>152.23741000000001</v>
      </c>
      <c r="F1624">
        <v>152.78967</v>
      </c>
      <c r="G1624">
        <f>_xlfn.MAXIFS(Crypto[Close],Crypto[Name],Crypto[[#This Row],[Name]],Crypto[Date],"&lt;="&amp;Crypto[[#This Row],[Date]])</f>
        <v>261.86975000000001</v>
      </c>
      <c r="H1624" s="3">
        <f>(Crypto[[#This Row],[Close]]/Crypto[[#This Row],[Peak Close]])-1</f>
        <v>-0.41654326244249285</v>
      </c>
      <c r="I1624">
        <v>161.05586</v>
      </c>
      <c r="J1624" s="1">
        <v>45819</v>
      </c>
      <c r="K1624" s="3">
        <v>-5.1324987491917398E-2</v>
      </c>
      <c r="L1624">
        <v>3655760294</v>
      </c>
      <c r="M1624" s="2" t="s">
        <v>14</v>
      </c>
    </row>
    <row r="1625" spans="1:13" x14ac:dyDescent="0.3">
      <c r="A1625" s="1">
        <v>45821</v>
      </c>
      <c r="B1625" s="2" t="s">
        <v>13</v>
      </c>
      <c r="C1625">
        <v>152.78704999999999</v>
      </c>
      <c r="D1625">
        <v>152.78704999999999</v>
      </c>
      <c r="E1625">
        <v>141.43715</v>
      </c>
      <c r="F1625">
        <v>148.62835999999999</v>
      </c>
      <c r="G1625">
        <f>_xlfn.MAXIFS(Crypto[Close],Crypto[Name],Crypto[[#This Row],[Name]],Crypto[Date],"&lt;="&amp;Crypto[[#This Row],[Date]])</f>
        <v>261.86975000000001</v>
      </c>
      <c r="H1625" s="3">
        <f>(Crypto[[#This Row],[Close]]/Crypto[[#This Row],[Peak Close]])-1</f>
        <v>-0.43243402493033278</v>
      </c>
      <c r="I1625">
        <v>152.78967</v>
      </c>
      <c r="J1625" s="1">
        <v>45820</v>
      </c>
      <c r="K1625" s="3">
        <v>-2.7235545439688501E-2</v>
      </c>
      <c r="L1625">
        <v>6346327306</v>
      </c>
      <c r="M1625" s="2" t="s">
        <v>14</v>
      </c>
    </row>
    <row r="1626" spans="1:13" x14ac:dyDescent="0.3">
      <c r="A1626" s="1">
        <v>45822</v>
      </c>
      <c r="B1626" s="2" t="s">
        <v>13</v>
      </c>
      <c r="C1626">
        <v>148.63222999999999</v>
      </c>
      <c r="D1626">
        <v>148.64667</v>
      </c>
      <c r="E1626">
        <v>142.22568999999999</v>
      </c>
      <c r="F1626">
        <v>144.76374999999999</v>
      </c>
      <c r="G1626">
        <f>_xlfn.MAXIFS(Crypto[Close],Crypto[Name],Crypto[[#This Row],[Name]],Crypto[Date],"&lt;="&amp;Crypto[[#This Row],[Date]])</f>
        <v>261.86975000000001</v>
      </c>
      <c r="H1626" s="3">
        <f>(Crypto[[#This Row],[Close]]/Crypto[[#This Row],[Peak Close]])-1</f>
        <v>-0.44719178141041493</v>
      </c>
      <c r="I1626">
        <v>148.62835999999999</v>
      </c>
      <c r="J1626" s="1">
        <v>45821</v>
      </c>
      <c r="K1626" s="3">
        <v>-2.6001834374005099E-2</v>
      </c>
      <c r="L1626">
        <v>2159011897</v>
      </c>
      <c r="M1626" s="2" t="s">
        <v>14</v>
      </c>
    </row>
    <row r="1627" spans="1:13" x14ac:dyDescent="0.3">
      <c r="A1627" s="1">
        <v>45823</v>
      </c>
      <c r="B1627" s="2" t="s">
        <v>13</v>
      </c>
      <c r="C1627">
        <v>144.76339999999999</v>
      </c>
      <c r="D1627">
        <v>153.21787</v>
      </c>
      <c r="E1627">
        <v>144.36363</v>
      </c>
      <c r="F1627">
        <v>152.81439</v>
      </c>
      <c r="G1627">
        <f>_xlfn.MAXIFS(Crypto[Close],Crypto[Name],Crypto[[#This Row],[Name]],Crypto[Date],"&lt;="&amp;Crypto[[#This Row],[Date]])</f>
        <v>261.86975000000001</v>
      </c>
      <c r="H1627" s="3">
        <f>(Crypto[[#This Row],[Close]]/Crypto[[#This Row],[Peak Close]])-1</f>
        <v>-0.41644886436864126</v>
      </c>
      <c r="I1627">
        <v>144.76374999999999</v>
      </c>
      <c r="J1627" s="1">
        <v>45822</v>
      </c>
      <c r="K1627" s="3">
        <v>5.5612264810769398E-2</v>
      </c>
      <c r="L1627">
        <v>3600058127</v>
      </c>
      <c r="M1627" s="2" t="s">
        <v>14</v>
      </c>
    </row>
    <row r="1628" spans="1:13" x14ac:dyDescent="0.3">
      <c r="A1628" s="1">
        <v>45824</v>
      </c>
      <c r="B1628" s="2" t="s">
        <v>13</v>
      </c>
      <c r="C1628">
        <v>152.81439</v>
      </c>
      <c r="D1628">
        <v>158.60787999999999</v>
      </c>
      <c r="E1628">
        <v>150.87</v>
      </c>
      <c r="F1628">
        <v>150.87</v>
      </c>
      <c r="G1628">
        <f>_xlfn.MAXIFS(Crypto[Close],Crypto[Name],Crypto[[#This Row],[Name]],Crypto[Date],"&lt;="&amp;Crypto[[#This Row],[Date]])</f>
        <v>261.86975000000001</v>
      </c>
      <c r="H1628" s="3">
        <f>(Crypto[[#This Row],[Close]]/Crypto[[#This Row],[Peak Close]])-1</f>
        <v>-0.42387389150522348</v>
      </c>
      <c r="I1628">
        <v>152.81439</v>
      </c>
      <c r="J1628" s="1">
        <v>45823</v>
      </c>
      <c r="K1628" s="3">
        <v>-1.27238671698392E-2</v>
      </c>
      <c r="L1628">
        <v>4629439778</v>
      </c>
      <c r="M1628" s="2" t="s">
        <v>14</v>
      </c>
    </row>
    <row r="1629" spans="1:13" x14ac:dyDescent="0.3">
      <c r="A1629" s="1">
        <v>45825</v>
      </c>
      <c r="B1629" s="2" t="s">
        <v>13</v>
      </c>
      <c r="C1629">
        <v>150.86487</v>
      </c>
      <c r="D1629">
        <v>154.14801</v>
      </c>
      <c r="E1629">
        <v>145.87115</v>
      </c>
      <c r="F1629">
        <v>147.74979999999999</v>
      </c>
      <c r="G1629">
        <f>_xlfn.MAXIFS(Crypto[Close],Crypto[Name],Crypto[[#This Row],[Name]],Crypto[Date],"&lt;="&amp;Crypto[[#This Row],[Date]])</f>
        <v>261.86975000000001</v>
      </c>
      <c r="H1629" s="3">
        <f>(Crypto[[#This Row],[Close]]/Crypto[[#This Row],[Peak Close]])-1</f>
        <v>-0.43578897524437243</v>
      </c>
      <c r="I1629">
        <v>150.87</v>
      </c>
      <c r="J1629" s="1">
        <v>45824</v>
      </c>
      <c r="K1629" s="3">
        <v>-2.0681381321667702E-2</v>
      </c>
      <c r="L1629">
        <v>4505742897</v>
      </c>
      <c r="M1629" s="2" t="s">
        <v>14</v>
      </c>
    </row>
    <row r="1630" spans="1:13" x14ac:dyDescent="0.3">
      <c r="A1630" s="1">
        <v>45826</v>
      </c>
      <c r="B1630" s="2" t="s">
        <v>13</v>
      </c>
      <c r="C1630">
        <v>147.74905000000001</v>
      </c>
      <c r="D1630">
        <v>149.15915000000001</v>
      </c>
      <c r="E1630">
        <v>143.96722</v>
      </c>
      <c r="F1630">
        <v>146.35311999999999</v>
      </c>
      <c r="G1630">
        <f>_xlfn.MAXIFS(Crypto[Close],Crypto[Name],Crypto[[#This Row],[Name]],Crypto[Date],"&lt;="&amp;Crypto[[#This Row],[Date]])</f>
        <v>261.86975000000001</v>
      </c>
      <c r="H1630" s="3">
        <f>(Crypto[[#This Row],[Close]]/Crypto[[#This Row],[Peak Close]])-1</f>
        <v>-0.44112246641698794</v>
      </c>
      <c r="I1630">
        <v>147.74979999999999</v>
      </c>
      <c r="J1630" s="1">
        <v>45825</v>
      </c>
      <c r="K1630" s="3">
        <v>-9.4530077198074301E-3</v>
      </c>
      <c r="L1630">
        <v>3507323344</v>
      </c>
      <c r="M1630" s="2" t="s">
        <v>14</v>
      </c>
    </row>
    <row r="1631" spans="1:13" x14ac:dyDescent="0.3">
      <c r="A1631" s="1">
        <v>45827</v>
      </c>
      <c r="B1631" s="2" t="s">
        <v>13</v>
      </c>
      <c r="C1631">
        <v>146.35526999999999</v>
      </c>
      <c r="D1631">
        <v>147.78708</v>
      </c>
      <c r="E1631">
        <v>143.11188000000001</v>
      </c>
      <c r="F1631">
        <v>147.07147000000001</v>
      </c>
      <c r="G1631">
        <f>_xlfn.MAXIFS(Crypto[Close],Crypto[Name],Crypto[[#This Row],[Name]],Crypto[Date],"&lt;="&amp;Crypto[[#This Row],[Date]])</f>
        <v>261.86975000000001</v>
      </c>
      <c r="H1631" s="3">
        <f>(Crypto[[#This Row],[Close]]/Crypto[[#This Row],[Peak Close]])-1</f>
        <v>-0.43837930879759879</v>
      </c>
      <c r="I1631">
        <v>146.35311999999999</v>
      </c>
      <c r="J1631" s="1">
        <v>45826</v>
      </c>
      <c r="K1631" s="3">
        <v>4.9083340348331202E-3</v>
      </c>
      <c r="L1631">
        <v>2754965137</v>
      </c>
      <c r="M1631" s="2" t="s">
        <v>14</v>
      </c>
    </row>
    <row r="1632" spans="1:13" x14ac:dyDescent="0.3">
      <c r="A1632" s="1">
        <v>45828</v>
      </c>
      <c r="B1632" s="2" t="s">
        <v>13</v>
      </c>
      <c r="C1632">
        <v>147.07291000000001</v>
      </c>
      <c r="D1632">
        <v>148.71889999999999</v>
      </c>
      <c r="E1632">
        <v>136.51240999999999</v>
      </c>
      <c r="F1632">
        <v>140.16858999999999</v>
      </c>
      <c r="G1632">
        <f>_xlfn.MAXIFS(Crypto[Close],Crypto[Name],Crypto[[#This Row],[Name]],Crypto[Date],"&lt;="&amp;Crypto[[#This Row],[Date]])</f>
        <v>261.86975000000001</v>
      </c>
      <c r="H1632" s="3">
        <f>(Crypto[[#This Row],[Close]]/Crypto[[#This Row],[Peak Close]])-1</f>
        <v>-0.46473928355604266</v>
      </c>
      <c r="I1632">
        <v>147.07147000000001</v>
      </c>
      <c r="J1632" s="1">
        <v>45827</v>
      </c>
      <c r="K1632" s="3">
        <v>-4.6935547730637399E-2</v>
      </c>
      <c r="L1632">
        <v>4112242022</v>
      </c>
      <c r="M1632" s="2" t="s">
        <v>14</v>
      </c>
    </row>
    <row r="1633" spans="1:13" x14ac:dyDescent="0.3">
      <c r="A1633" s="1">
        <v>45829</v>
      </c>
      <c r="B1633" s="2" t="s">
        <v>13</v>
      </c>
      <c r="C1633">
        <v>140.16804999999999</v>
      </c>
      <c r="D1633">
        <v>142.49974</v>
      </c>
      <c r="E1633">
        <v>132.41425000000001</v>
      </c>
      <c r="F1633">
        <v>135.16101</v>
      </c>
      <c r="G1633">
        <f>_xlfn.MAXIFS(Crypto[Close],Crypto[Name],Crypto[[#This Row],[Name]],Crypto[Date],"&lt;="&amp;Crypto[[#This Row],[Date]])</f>
        <v>261.86975000000001</v>
      </c>
      <c r="H1633" s="3">
        <f>(Crypto[[#This Row],[Close]]/Crypto[[#This Row],[Peak Close]])-1</f>
        <v>-0.48386169078329977</v>
      </c>
      <c r="I1633">
        <v>140.16858999999999</v>
      </c>
      <c r="J1633" s="1">
        <v>45828</v>
      </c>
      <c r="K1633" s="3">
        <v>-3.5725407525323501E-2</v>
      </c>
      <c r="L1633">
        <v>3335622844</v>
      </c>
      <c r="M1633" s="2" t="s">
        <v>14</v>
      </c>
    </row>
    <row r="1634" spans="1:13" x14ac:dyDescent="0.3">
      <c r="A1634" s="1">
        <v>45830</v>
      </c>
      <c r="B1634" s="2" t="s">
        <v>13</v>
      </c>
      <c r="C1634">
        <v>135.19635</v>
      </c>
      <c r="D1634">
        <v>137.55214000000001</v>
      </c>
      <c r="E1634">
        <v>126.82628</v>
      </c>
      <c r="F1634">
        <v>131.61569</v>
      </c>
      <c r="G1634">
        <f>_xlfn.MAXIFS(Crypto[Close],Crypto[Name],Crypto[[#This Row],[Name]],Crypto[Date],"&lt;="&amp;Crypto[[#This Row],[Date]])</f>
        <v>261.86975000000001</v>
      </c>
      <c r="H1634" s="3">
        <f>(Crypto[[#This Row],[Close]]/Crypto[[#This Row],[Peak Close]])-1</f>
        <v>-0.4974001769963885</v>
      </c>
      <c r="I1634">
        <v>135.16101</v>
      </c>
      <c r="J1634" s="1">
        <v>45829</v>
      </c>
      <c r="K1634" s="3">
        <v>-2.6230345570812202E-2</v>
      </c>
      <c r="L1634">
        <v>4990284543</v>
      </c>
      <c r="M1634" s="2" t="s">
        <v>14</v>
      </c>
    </row>
    <row r="1635" spans="1:13" x14ac:dyDescent="0.3">
      <c r="A1635" s="1">
        <v>45831</v>
      </c>
      <c r="B1635" s="2" t="s">
        <v>13</v>
      </c>
      <c r="C1635">
        <v>131.61586</v>
      </c>
      <c r="D1635">
        <v>146.5985</v>
      </c>
      <c r="E1635">
        <v>131.16086000000001</v>
      </c>
      <c r="F1635">
        <v>144.84673000000001</v>
      </c>
      <c r="G1635">
        <f>_xlfn.MAXIFS(Crypto[Close],Crypto[Name],Crypto[[#This Row],[Name]],Crypto[Date],"&lt;="&amp;Crypto[[#This Row],[Date]])</f>
        <v>261.86975000000001</v>
      </c>
      <c r="H1635" s="3">
        <f>(Crypto[[#This Row],[Close]]/Crypto[[#This Row],[Peak Close]])-1</f>
        <v>-0.44687490632270432</v>
      </c>
      <c r="I1635">
        <v>131.61569</v>
      </c>
      <c r="J1635" s="1">
        <v>45830</v>
      </c>
      <c r="K1635" s="3">
        <v>0.100527832206024</v>
      </c>
      <c r="L1635">
        <v>5742740781</v>
      </c>
      <c r="M1635" s="2" t="s">
        <v>14</v>
      </c>
    </row>
    <row r="1636" spans="1:13" x14ac:dyDescent="0.3">
      <c r="A1636" s="1">
        <v>45832</v>
      </c>
      <c r="B1636" s="2" t="s">
        <v>13</v>
      </c>
      <c r="C1636">
        <v>144.84673000000001</v>
      </c>
      <c r="D1636">
        <v>146.58948000000001</v>
      </c>
      <c r="E1636">
        <v>142.56667999999999</v>
      </c>
      <c r="F1636">
        <v>145.95453000000001</v>
      </c>
      <c r="G1636">
        <f>_xlfn.MAXIFS(Crypto[Close],Crypto[Name],Crypto[[#This Row],[Name]],Crypto[Date],"&lt;="&amp;Crypto[[#This Row],[Date]])</f>
        <v>261.86975000000001</v>
      </c>
      <c r="H1636" s="3">
        <f>(Crypto[[#This Row],[Close]]/Crypto[[#This Row],[Peak Close]])-1</f>
        <v>-0.44264455898399868</v>
      </c>
      <c r="I1636">
        <v>144.84673000000001</v>
      </c>
      <c r="J1636" s="1">
        <v>45831</v>
      </c>
      <c r="K1636" s="3">
        <v>7.64808428882031E-3</v>
      </c>
      <c r="L1636">
        <v>3709899362</v>
      </c>
      <c r="M1636" s="2" t="s">
        <v>14</v>
      </c>
    </row>
    <row r="1637" spans="1:13" x14ac:dyDescent="0.3">
      <c r="A1637" s="1">
        <v>45833</v>
      </c>
      <c r="B1637" s="2" t="s">
        <v>13</v>
      </c>
      <c r="C1637">
        <v>145.95350999999999</v>
      </c>
      <c r="D1637">
        <v>147.77402000000001</v>
      </c>
      <c r="E1637">
        <v>142.55795000000001</v>
      </c>
      <c r="F1637">
        <v>143.50513000000001</v>
      </c>
      <c r="G1637">
        <f>_xlfn.MAXIFS(Crypto[Close],Crypto[Name],Crypto[[#This Row],[Name]],Crypto[Date],"&lt;="&amp;Crypto[[#This Row],[Date]])</f>
        <v>261.86975000000001</v>
      </c>
      <c r="H1637" s="3">
        <f>(Crypto[[#This Row],[Close]]/Crypto[[#This Row],[Peak Close]])-1</f>
        <v>-0.4519980639229999</v>
      </c>
      <c r="I1637">
        <v>145.95453000000001</v>
      </c>
      <c r="J1637" s="1">
        <v>45832</v>
      </c>
      <c r="K1637" s="3">
        <v>-1.6781938868221501E-2</v>
      </c>
      <c r="L1637">
        <v>3095794422</v>
      </c>
      <c r="M1637" s="2" t="s">
        <v>14</v>
      </c>
    </row>
    <row r="1638" spans="1:13" x14ac:dyDescent="0.3">
      <c r="A1638" s="1">
        <v>45834</v>
      </c>
      <c r="B1638" s="2" t="s">
        <v>13</v>
      </c>
      <c r="C1638">
        <v>143.50529</v>
      </c>
      <c r="D1638">
        <v>147.73015000000001</v>
      </c>
      <c r="E1638">
        <v>138.80823000000001</v>
      </c>
      <c r="F1638">
        <v>139.05985999999999</v>
      </c>
      <c r="G1638">
        <f>_xlfn.MAXIFS(Crypto[Close],Crypto[Name],Crypto[[#This Row],[Name]],Crypto[Date],"&lt;="&amp;Crypto[[#This Row],[Date]])</f>
        <v>261.86975000000001</v>
      </c>
      <c r="H1638" s="3">
        <f>(Crypto[[#This Row],[Close]]/Crypto[[#This Row],[Peak Close]])-1</f>
        <v>-0.46897318227859464</v>
      </c>
      <c r="I1638">
        <v>143.50513000000001</v>
      </c>
      <c r="J1638" s="1">
        <v>45833</v>
      </c>
      <c r="K1638" s="3">
        <v>-3.0976383910456901E-2</v>
      </c>
      <c r="L1638">
        <v>3480832173</v>
      </c>
      <c r="M1638" s="2" t="s">
        <v>14</v>
      </c>
    </row>
    <row r="1639" spans="1:13" x14ac:dyDescent="0.3">
      <c r="A1639" s="1">
        <v>45835</v>
      </c>
      <c r="B1639" s="2" t="s">
        <v>13</v>
      </c>
      <c r="C1639">
        <v>139.05977999999999</v>
      </c>
      <c r="D1639">
        <v>144.40373</v>
      </c>
      <c r="E1639">
        <v>137.79419999999999</v>
      </c>
      <c r="F1639">
        <v>142.19148000000001</v>
      </c>
      <c r="G1639">
        <f>_xlfn.MAXIFS(Crypto[Close],Crypto[Name],Crypto[[#This Row],[Name]],Crypto[Date],"&lt;="&amp;Crypto[[#This Row],[Date]])</f>
        <v>261.86975000000001</v>
      </c>
      <c r="H1639" s="3">
        <f>(Crypto[[#This Row],[Close]]/Crypto[[#This Row],[Peak Close]])-1</f>
        <v>-0.45701448907328923</v>
      </c>
      <c r="I1639">
        <v>139.05985999999999</v>
      </c>
      <c r="J1639" s="1">
        <v>45834</v>
      </c>
      <c r="K1639" s="3">
        <v>2.2519942131395999E-2</v>
      </c>
      <c r="L1639">
        <v>3327165986</v>
      </c>
      <c r="M1639" s="2" t="s">
        <v>14</v>
      </c>
    </row>
    <row r="1640" spans="1:13" x14ac:dyDescent="0.3">
      <c r="A1640" s="1">
        <v>45836</v>
      </c>
      <c r="B1640" s="2" t="s">
        <v>13</v>
      </c>
      <c r="C1640">
        <v>142.19202999999999</v>
      </c>
      <c r="D1640">
        <v>152.43738999999999</v>
      </c>
      <c r="E1640">
        <v>141.34932000000001</v>
      </c>
      <c r="F1640">
        <v>150.82756000000001</v>
      </c>
      <c r="G1640">
        <f>_xlfn.MAXIFS(Crypto[Close],Crypto[Name],Crypto[[#This Row],[Name]],Crypto[Date],"&lt;="&amp;Crypto[[#This Row],[Date]])</f>
        <v>261.86975000000001</v>
      </c>
      <c r="H1640" s="3">
        <f>(Crypto[[#This Row],[Close]]/Crypto[[#This Row],[Peak Close]])-1</f>
        <v>-0.42403595680677131</v>
      </c>
      <c r="I1640">
        <v>142.19148000000001</v>
      </c>
      <c r="J1640" s="1">
        <v>45835</v>
      </c>
      <c r="K1640" s="3">
        <v>6.0735565872160502E-2</v>
      </c>
      <c r="L1640">
        <v>2847495210</v>
      </c>
      <c r="M1640" s="2" t="s">
        <v>14</v>
      </c>
    </row>
    <row r="1641" spans="1:13" x14ac:dyDescent="0.3">
      <c r="A1641" s="1">
        <v>45837</v>
      </c>
      <c r="B1641" s="2" t="s">
        <v>13</v>
      </c>
      <c r="C1641">
        <v>150.82598999999999</v>
      </c>
      <c r="D1641">
        <v>154.42337000000001</v>
      </c>
      <c r="E1641">
        <v>149.53246999999999</v>
      </c>
      <c r="F1641">
        <v>153.35309000000001</v>
      </c>
      <c r="G1641">
        <f>_xlfn.MAXIFS(Crypto[Close],Crypto[Name],Crypto[[#This Row],[Name]],Crypto[Date],"&lt;="&amp;Crypto[[#This Row],[Date]])</f>
        <v>261.86975000000001</v>
      </c>
      <c r="H1641" s="3">
        <f>(Crypto[[#This Row],[Close]]/Crypto[[#This Row],[Peak Close]])-1</f>
        <v>-0.4143917348223688</v>
      </c>
      <c r="I1641">
        <v>150.82756000000001</v>
      </c>
      <c r="J1641" s="1">
        <v>45836</v>
      </c>
      <c r="K1641" s="3">
        <v>1.6744486219892499E-2</v>
      </c>
      <c r="L1641">
        <v>2462940245</v>
      </c>
      <c r="M1641" s="2" t="s">
        <v>14</v>
      </c>
    </row>
    <row r="1642" spans="1:13" x14ac:dyDescent="0.3">
      <c r="A1642" s="1">
        <v>45838</v>
      </c>
      <c r="B1642" s="2" t="s">
        <v>13</v>
      </c>
      <c r="C1642">
        <v>153.35309000000001</v>
      </c>
      <c r="D1642">
        <v>159.63160999999999</v>
      </c>
      <c r="E1642">
        <v>149.61243999999999</v>
      </c>
      <c r="F1642">
        <v>154.73531</v>
      </c>
      <c r="G1642">
        <f>_xlfn.MAXIFS(Crypto[Close],Crypto[Name],Crypto[[#This Row],[Name]],Crypto[Date],"&lt;="&amp;Crypto[[#This Row],[Date]])</f>
        <v>261.86975000000001</v>
      </c>
      <c r="H1642" s="3">
        <f>(Crypto[[#This Row],[Close]]/Crypto[[#This Row],[Peak Close]])-1</f>
        <v>-0.40911346194052578</v>
      </c>
      <c r="I1642">
        <v>153.35309000000001</v>
      </c>
      <c r="J1642" s="1">
        <v>45837</v>
      </c>
      <c r="K1642" s="3">
        <v>9.01331691457922E-3</v>
      </c>
      <c r="L1642">
        <v>4752163067</v>
      </c>
      <c r="M1642" s="2" t="s">
        <v>14</v>
      </c>
    </row>
    <row r="1643" spans="1:13" x14ac:dyDescent="0.3">
      <c r="A1643" s="1">
        <v>45839</v>
      </c>
      <c r="B1643" s="2" t="s">
        <v>13</v>
      </c>
      <c r="C1643">
        <v>154.73502999999999</v>
      </c>
      <c r="D1643">
        <v>155.34743</v>
      </c>
      <c r="E1643">
        <v>145.21288999999999</v>
      </c>
      <c r="F1643">
        <v>146.92663999999999</v>
      </c>
      <c r="G1643">
        <f>_xlfn.MAXIFS(Crypto[Close],Crypto[Name],Crypto[[#This Row],[Name]],Crypto[Date],"&lt;="&amp;Crypto[[#This Row],[Date]])</f>
        <v>261.86975000000001</v>
      </c>
      <c r="H1643" s="3">
        <f>(Crypto[[#This Row],[Close]]/Crypto[[#This Row],[Peak Close]])-1</f>
        <v>-0.43893237000455387</v>
      </c>
      <c r="I1643">
        <v>154.73531</v>
      </c>
      <c r="J1643" s="1">
        <v>45838</v>
      </c>
      <c r="K1643" s="3">
        <v>-5.0464693546676598E-2</v>
      </c>
      <c r="L1643">
        <v>3599415509</v>
      </c>
      <c r="M1643" s="2" t="s">
        <v>14</v>
      </c>
    </row>
    <row r="1644" spans="1:13" x14ac:dyDescent="0.3">
      <c r="A1644" s="1">
        <v>45840</v>
      </c>
      <c r="B1644" s="2" t="s">
        <v>13</v>
      </c>
      <c r="C1644">
        <v>146.92874</v>
      </c>
      <c r="D1644">
        <v>154.40984</v>
      </c>
      <c r="E1644">
        <v>146.23218</v>
      </c>
      <c r="F1644">
        <v>152.22763</v>
      </c>
      <c r="G1644">
        <f>_xlfn.MAXIFS(Crypto[Close],Crypto[Name],Crypto[[#This Row],[Name]],Crypto[Date],"&lt;="&amp;Crypto[[#This Row],[Date]])</f>
        <v>261.86975000000001</v>
      </c>
      <c r="H1644" s="3">
        <f>(Crypto[[#This Row],[Close]]/Crypto[[#This Row],[Peak Close]])-1</f>
        <v>-0.41868952026723205</v>
      </c>
      <c r="I1644">
        <v>146.92663999999999</v>
      </c>
      <c r="J1644" s="1">
        <v>45839</v>
      </c>
      <c r="K1644" s="3">
        <v>3.60791616823199E-2</v>
      </c>
      <c r="L1644">
        <v>3941952132</v>
      </c>
      <c r="M1644" s="2" t="s">
        <v>14</v>
      </c>
    </row>
    <row r="1645" spans="1:13" x14ac:dyDescent="0.3">
      <c r="A1645" s="1">
        <v>45841</v>
      </c>
      <c r="B1645" s="2" t="s">
        <v>13</v>
      </c>
      <c r="C1645">
        <v>152.22855999999999</v>
      </c>
      <c r="D1645">
        <v>156.18848</v>
      </c>
      <c r="E1645">
        <v>150.15145999999999</v>
      </c>
      <c r="F1645">
        <v>152.40179000000001</v>
      </c>
      <c r="G1645">
        <f>_xlfn.MAXIFS(Crypto[Close],Crypto[Name],Crypto[[#This Row],[Name]],Crypto[Date],"&lt;="&amp;Crypto[[#This Row],[Date]])</f>
        <v>261.86975000000001</v>
      </c>
      <c r="H1645" s="3">
        <f>(Crypto[[#This Row],[Close]]/Crypto[[#This Row],[Peak Close]])-1</f>
        <v>-0.41802445681488598</v>
      </c>
      <c r="I1645">
        <v>152.22763</v>
      </c>
      <c r="J1645" s="1">
        <v>45840</v>
      </c>
      <c r="K1645" s="3">
        <v>1.1440761443898199E-3</v>
      </c>
      <c r="L1645">
        <v>3748228101</v>
      </c>
      <c r="M1645" s="2" t="s">
        <v>14</v>
      </c>
    </row>
    <row r="1646" spans="1:13" x14ac:dyDescent="0.3">
      <c r="A1646" s="1">
        <v>45842</v>
      </c>
      <c r="B1646" s="2" t="s">
        <v>13</v>
      </c>
      <c r="C1646">
        <v>152.40201999999999</v>
      </c>
      <c r="D1646">
        <v>153.55760000000001</v>
      </c>
      <c r="E1646">
        <v>145.45196999999999</v>
      </c>
      <c r="F1646">
        <v>147.76364000000001</v>
      </c>
      <c r="G1646">
        <f>_xlfn.MAXIFS(Crypto[Close],Crypto[Name],Crypto[[#This Row],[Name]],Crypto[Date],"&lt;="&amp;Crypto[[#This Row],[Date]])</f>
        <v>261.86975000000001</v>
      </c>
      <c r="H1646" s="3">
        <f>(Crypto[[#This Row],[Close]]/Crypto[[#This Row],[Peak Close]])-1</f>
        <v>-0.43573612454283095</v>
      </c>
      <c r="I1646">
        <v>152.40179000000001</v>
      </c>
      <c r="J1646" s="1">
        <v>45841</v>
      </c>
      <c r="K1646" s="3">
        <v>-3.0433697661950001E-2</v>
      </c>
      <c r="L1646">
        <v>3575641174</v>
      </c>
      <c r="M1646" s="2" t="s">
        <v>14</v>
      </c>
    </row>
    <row r="1647" spans="1:13" x14ac:dyDescent="0.3">
      <c r="A1647" s="1">
        <v>45843</v>
      </c>
      <c r="B1647" s="2" t="s">
        <v>13</v>
      </c>
      <c r="C1647">
        <v>147.76291000000001</v>
      </c>
      <c r="D1647">
        <v>148.59071</v>
      </c>
      <c r="E1647">
        <v>146.07684</v>
      </c>
      <c r="F1647">
        <v>147.64144999999999</v>
      </c>
      <c r="G1647">
        <f>_xlfn.MAXIFS(Crypto[Close],Crypto[Name],Crypto[[#This Row],[Name]],Crypto[Date],"&lt;="&amp;Crypto[[#This Row],[Date]])</f>
        <v>261.86975000000001</v>
      </c>
      <c r="H1647" s="3">
        <f>(Crypto[[#This Row],[Close]]/Crypto[[#This Row],[Peak Close]])-1</f>
        <v>-0.43620273055593484</v>
      </c>
      <c r="I1647">
        <v>147.76364000000001</v>
      </c>
      <c r="J1647" s="1">
        <v>45842</v>
      </c>
      <c r="K1647" s="3">
        <v>-8.2692873564848299E-4</v>
      </c>
      <c r="L1647">
        <v>1579874806</v>
      </c>
      <c r="M1647" s="2" t="s">
        <v>14</v>
      </c>
    </row>
    <row r="1648" spans="1:13" x14ac:dyDescent="0.3">
      <c r="A1648" s="1">
        <v>45844</v>
      </c>
      <c r="B1648" s="2" t="s">
        <v>13</v>
      </c>
      <c r="C1648">
        <v>147.64146</v>
      </c>
      <c r="D1648">
        <v>153.38704999999999</v>
      </c>
      <c r="E1648">
        <v>146.89973000000001</v>
      </c>
      <c r="F1648">
        <v>151.87294</v>
      </c>
      <c r="G1648">
        <f>_xlfn.MAXIFS(Crypto[Close],Crypto[Name],Crypto[[#This Row],[Name]],Crypto[Date],"&lt;="&amp;Crypto[[#This Row],[Date]])</f>
        <v>261.86975000000001</v>
      </c>
      <c r="H1648" s="3">
        <f>(Crypto[[#This Row],[Close]]/Crypto[[#This Row],[Peak Close]])-1</f>
        <v>-0.42004397224192569</v>
      </c>
      <c r="I1648">
        <v>147.64144999999999</v>
      </c>
      <c r="J1648" s="1">
        <v>45843</v>
      </c>
      <c r="K1648" s="3">
        <v>2.8660582783493399E-2</v>
      </c>
      <c r="L1648">
        <v>2921512526</v>
      </c>
      <c r="M1648" s="2" t="s">
        <v>14</v>
      </c>
    </row>
    <row r="1649" spans="1:13" x14ac:dyDescent="0.3">
      <c r="A1649" s="1">
        <v>45845</v>
      </c>
      <c r="B1649" s="2" t="s">
        <v>13</v>
      </c>
      <c r="C1649">
        <v>151.87334000000001</v>
      </c>
      <c r="D1649">
        <v>153.27696</v>
      </c>
      <c r="E1649">
        <v>147.7894</v>
      </c>
      <c r="F1649">
        <v>148.87235000000001</v>
      </c>
      <c r="G1649">
        <f>_xlfn.MAXIFS(Crypto[Close],Crypto[Name],Crypto[[#This Row],[Name]],Crypto[Date],"&lt;="&amp;Crypto[[#This Row],[Date]])</f>
        <v>261.86975000000001</v>
      </c>
      <c r="H1649" s="3">
        <f>(Crypto[[#This Row],[Close]]/Crypto[[#This Row],[Peak Close]])-1</f>
        <v>-0.43150230219412511</v>
      </c>
      <c r="I1649">
        <v>151.87294</v>
      </c>
      <c r="J1649" s="1">
        <v>45844</v>
      </c>
      <c r="K1649" s="3">
        <v>-1.97572391763799E-2</v>
      </c>
      <c r="L1649">
        <v>3661294298</v>
      </c>
      <c r="M1649" s="2" t="s">
        <v>14</v>
      </c>
    </row>
    <row r="1650" spans="1:13" x14ac:dyDescent="0.3">
      <c r="A1650" s="1">
        <v>45846</v>
      </c>
      <c r="B1650" s="2" t="s">
        <v>13</v>
      </c>
      <c r="C1650">
        <v>148.87196</v>
      </c>
      <c r="D1650">
        <v>152.79660000000001</v>
      </c>
      <c r="E1650">
        <v>147.94987</v>
      </c>
      <c r="F1650">
        <v>151.81039000000001</v>
      </c>
      <c r="G1650">
        <f>_xlfn.MAXIFS(Crypto[Close],Crypto[Name],Crypto[[#This Row],[Name]],Crypto[Date],"&lt;="&amp;Crypto[[#This Row],[Date]])</f>
        <v>261.86975000000001</v>
      </c>
      <c r="H1650" s="3">
        <f>(Crypto[[#This Row],[Close]]/Crypto[[#This Row],[Peak Close]])-1</f>
        <v>-0.42028283144578549</v>
      </c>
      <c r="I1650">
        <v>148.87235000000001</v>
      </c>
      <c r="J1650" s="1">
        <v>45845</v>
      </c>
      <c r="K1650" s="3">
        <v>1.9735296715608999E-2</v>
      </c>
      <c r="L1650">
        <v>3885408944</v>
      </c>
      <c r="M1650" s="2" t="s">
        <v>14</v>
      </c>
    </row>
    <row r="1651" spans="1:13" x14ac:dyDescent="0.3">
      <c r="A1651" s="1">
        <v>45847</v>
      </c>
      <c r="B1651" s="2" t="s">
        <v>13</v>
      </c>
      <c r="C1651">
        <v>151.81039000000001</v>
      </c>
      <c r="D1651">
        <v>157.88002</v>
      </c>
      <c r="E1651">
        <v>150.69989000000001</v>
      </c>
      <c r="F1651">
        <v>157.28151</v>
      </c>
      <c r="G1651">
        <f>_xlfn.MAXIFS(Crypto[Close],Crypto[Name],Crypto[[#This Row],[Name]],Crypto[Date],"&lt;="&amp;Crypto[[#This Row],[Date]])</f>
        <v>261.86975000000001</v>
      </c>
      <c r="H1651" s="3">
        <f>(Crypto[[#This Row],[Close]]/Crypto[[#This Row],[Peak Close]])-1</f>
        <v>-0.39939030758611871</v>
      </c>
      <c r="I1651">
        <v>151.81039000000001</v>
      </c>
      <c r="J1651" s="1">
        <v>45846</v>
      </c>
      <c r="K1651" s="3">
        <v>3.6039167016170499E-2</v>
      </c>
      <c r="L1651">
        <v>4759358090</v>
      </c>
      <c r="M1651" s="2" t="s">
        <v>14</v>
      </c>
    </row>
    <row r="1652" spans="1:13" x14ac:dyDescent="0.3">
      <c r="A1652" s="1">
        <v>45848</v>
      </c>
      <c r="B1652" s="2" t="s">
        <v>13</v>
      </c>
      <c r="C1652">
        <v>157.28151</v>
      </c>
      <c r="D1652">
        <v>165.07658000000001</v>
      </c>
      <c r="E1652">
        <v>156.04606999999999</v>
      </c>
      <c r="F1652">
        <v>164.06277</v>
      </c>
      <c r="G1652">
        <f>_xlfn.MAXIFS(Crypto[Close],Crypto[Name],Crypto[[#This Row],[Name]],Crypto[Date],"&lt;="&amp;Crypto[[#This Row],[Date]])</f>
        <v>261.86975000000001</v>
      </c>
      <c r="H1652" s="3">
        <f>(Crypto[[#This Row],[Close]]/Crypto[[#This Row],[Peak Close]])-1</f>
        <v>-0.37349476218616318</v>
      </c>
      <c r="I1652">
        <v>157.28151</v>
      </c>
      <c r="J1652" s="1">
        <v>45847</v>
      </c>
      <c r="K1652" s="3">
        <v>4.3115430415183599E-2</v>
      </c>
      <c r="L1652">
        <v>5703252463</v>
      </c>
      <c r="M1652" s="2" t="s">
        <v>14</v>
      </c>
    </row>
    <row r="1653" spans="1:13" x14ac:dyDescent="0.3">
      <c r="A1653" s="1">
        <v>45849</v>
      </c>
      <c r="B1653" s="2" t="s">
        <v>13</v>
      </c>
      <c r="C1653">
        <v>164.06253000000001</v>
      </c>
      <c r="D1653">
        <v>167.92196999999999</v>
      </c>
      <c r="E1653">
        <v>160.06564</v>
      </c>
      <c r="F1653">
        <v>162.88337999999999</v>
      </c>
      <c r="G1653">
        <f>_xlfn.MAXIFS(Crypto[Close],Crypto[Name],Crypto[[#This Row],[Name]],Crypto[Date],"&lt;="&amp;Crypto[[#This Row],[Date]])</f>
        <v>261.86975000000001</v>
      </c>
      <c r="H1653" s="3">
        <f>(Crypto[[#This Row],[Close]]/Crypto[[#This Row],[Peak Close]])-1</f>
        <v>-0.3779984897071923</v>
      </c>
      <c r="I1653">
        <v>164.06277</v>
      </c>
      <c r="J1653" s="1">
        <v>45848</v>
      </c>
      <c r="K1653" s="3">
        <v>-7.1886510266772402E-3</v>
      </c>
      <c r="L1653">
        <v>7095844188</v>
      </c>
      <c r="M1653" s="2" t="s">
        <v>14</v>
      </c>
    </row>
    <row r="1654" spans="1:13" x14ac:dyDescent="0.3">
      <c r="A1654" s="1">
        <v>45850</v>
      </c>
      <c r="B1654" s="2" t="s">
        <v>13</v>
      </c>
      <c r="C1654">
        <v>162.88337999999999</v>
      </c>
      <c r="D1654">
        <v>163.84531999999999</v>
      </c>
      <c r="E1654">
        <v>157.99803</v>
      </c>
      <c r="F1654">
        <v>160.68485000000001</v>
      </c>
      <c r="G1654">
        <f>_xlfn.MAXIFS(Crypto[Close],Crypto[Name],Crypto[[#This Row],[Name]],Crypto[Date],"&lt;="&amp;Crypto[[#This Row],[Date]])</f>
        <v>261.86975000000001</v>
      </c>
      <c r="H1654" s="3">
        <f>(Crypto[[#This Row],[Close]]/Crypto[[#This Row],[Peak Close]])-1</f>
        <v>-0.38639399930690732</v>
      </c>
      <c r="I1654">
        <v>162.88337999999999</v>
      </c>
      <c r="J1654" s="1">
        <v>45849</v>
      </c>
      <c r="K1654" s="3">
        <v>-1.34975710842934E-2</v>
      </c>
      <c r="L1654">
        <v>3795297694</v>
      </c>
      <c r="M1654" s="2" t="s">
        <v>14</v>
      </c>
    </row>
    <row r="1655" spans="1:13" x14ac:dyDescent="0.3">
      <c r="A1655" s="1">
        <v>45851</v>
      </c>
      <c r="B1655" s="2" t="s">
        <v>13</v>
      </c>
      <c r="C1655">
        <v>160.68485000000001</v>
      </c>
      <c r="D1655">
        <v>163.95760000000001</v>
      </c>
      <c r="E1655">
        <v>159.91585000000001</v>
      </c>
      <c r="F1655">
        <v>161.19401999999999</v>
      </c>
      <c r="G1655">
        <f>_xlfn.MAXIFS(Crypto[Close],Crypto[Name],Crypto[[#This Row],[Name]],Crypto[Date],"&lt;="&amp;Crypto[[#This Row],[Date]])</f>
        <v>261.86975000000001</v>
      </c>
      <c r="H1655" s="3">
        <f>(Crypto[[#This Row],[Close]]/Crypto[[#This Row],[Peak Close]])-1</f>
        <v>-0.38444963574448754</v>
      </c>
      <c r="I1655">
        <v>160.68485000000001</v>
      </c>
      <c r="J1655" s="1">
        <v>45850</v>
      </c>
      <c r="K1655" s="3">
        <v>3.16874926292045E-3</v>
      </c>
      <c r="L1655">
        <v>3865898680</v>
      </c>
      <c r="M1655" s="2" t="s">
        <v>14</v>
      </c>
    </row>
    <row r="1656" spans="1:13" x14ac:dyDescent="0.3">
      <c r="A1656" s="1">
        <v>45852</v>
      </c>
      <c r="B1656" s="2" t="s">
        <v>13</v>
      </c>
      <c r="C1656">
        <v>161.19401999999999</v>
      </c>
      <c r="D1656">
        <v>168.33611999999999</v>
      </c>
      <c r="E1656">
        <v>160.77779000000001</v>
      </c>
      <c r="F1656">
        <v>162.27521999999999</v>
      </c>
      <c r="G1656">
        <f>_xlfn.MAXIFS(Crypto[Close],Crypto[Name],Crypto[[#This Row],[Name]],Crypto[Date],"&lt;="&amp;Crypto[[#This Row],[Date]])</f>
        <v>261.86975000000001</v>
      </c>
      <c r="H1656" s="3">
        <f>(Crypto[[#This Row],[Close]]/Crypto[[#This Row],[Peak Close]])-1</f>
        <v>-0.3803208656211724</v>
      </c>
      <c r="I1656">
        <v>161.19401999999999</v>
      </c>
      <c r="J1656" s="1">
        <v>45851</v>
      </c>
      <c r="K1656" s="3">
        <v>6.7074448543438204E-3</v>
      </c>
      <c r="L1656">
        <v>7130680773</v>
      </c>
      <c r="M1656" s="2" t="s">
        <v>14</v>
      </c>
    </row>
    <row r="1657" spans="1:13" x14ac:dyDescent="0.3">
      <c r="A1657" s="1">
        <v>45853</v>
      </c>
      <c r="B1657" s="2" t="s">
        <v>13</v>
      </c>
      <c r="C1657">
        <v>162.27562</v>
      </c>
      <c r="D1657">
        <v>164.12208999999999</v>
      </c>
      <c r="E1657">
        <v>157.60274999999999</v>
      </c>
      <c r="F1657">
        <v>163.95043999999999</v>
      </c>
      <c r="G1657">
        <f>_xlfn.MAXIFS(Crypto[Close],Crypto[Name],Crypto[[#This Row],[Name]],Crypto[Date],"&lt;="&amp;Crypto[[#This Row],[Date]])</f>
        <v>261.86975000000001</v>
      </c>
      <c r="H1657" s="3">
        <f>(Crypto[[#This Row],[Close]]/Crypto[[#This Row],[Peak Close]])-1</f>
        <v>-0.37392371589311102</v>
      </c>
      <c r="I1657">
        <v>162.27521999999999</v>
      </c>
      <c r="J1657" s="1">
        <v>45852</v>
      </c>
      <c r="K1657" s="3">
        <v>1.03233260136698E-2</v>
      </c>
      <c r="L1657">
        <v>6533486768</v>
      </c>
      <c r="M1657" s="2" t="s">
        <v>14</v>
      </c>
    </row>
    <row r="1658" spans="1:13" x14ac:dyDescent="0.3">
      <c r="A1658" s="1">
        <v>45854</v>
      </c>
      <c r="B1658" s="2" t="s">
        <v>13</v>
      </c>
      <c r="C1658">
        <v>163.95043999999999</v>
      </c>
      <c r="D1658">
        <v>175.83580000000001</v>
      </c>
      <c r="E1658">
        <v>161.69141999999999</v>
      </c>
      <c r="F1658">
        <v>173.70848000000001</v>
      </c>
      <c r="G1658">
        <f>_xlfn.MAXIFS(Crypto[Close],Crypto[Name],Crypto[[#This Row],[Name]],Crypto[Date],"&lt;="&amp;Crypto[[#This Row],[Date]])</f>
        <v>261.86975000000001</v>
      </c>
      <c r="H1658" s="3">
        <f>(Crypto[[#This Row],[Close]]/Crypto[[#This Row],[Peak Close]])-1</f>
        <v>-0.33666076360480734</v>
      </c>
      <c r="I1658">
        <v>163.95043999999999</v>
      </c>
      <c r="J1658" s="1">
        <v>45853</v>
      </c>
      <c r="K1658" s="3">
        <v>5.9518230021218803E-2</v>
      </c>
      <c r="L1658">
        <v>8415349750</v>
      </c>
      <c r="M1658" s="2" t="s">
        <v>14</v>
      </c>
    </row>
    <row r="1659" spans="1:13" x14ac:dyDescent="0.3">
      <c r="A1659" s="1">
        <v>45855</v>
      </c>
      <c r="B1659" s="2" t="s">
        <v>13</v>
      </c>
      <c r="C1659">
        <v>173.70848000000001</v>
      </c>
      <c r="D1659">
        <v>178.06844000000001</v>
      </c>
      <c r="E1659">
        <v>169.03152</v>
      </c>
      <c r="F1659">
        <v>175.79304999999999</v>
      </c>
      <c r="G1659">
        <f>_xlfn.MAXIFS(Crypto[Close],Crypto[Name],Crypto[[#This Row],[Name]],Crypto[Date],"&lt;="&amp;Crypto[[#This Row],[Date]])</f>
        <v>261.86975000000001</v>
      </c>
      <c r="H1659" s="3">
        <f>(Crypto[[#This Row],[Close]]/Crypto[[#This Row],[Peak Close]])-1</f>
        <v>-0.32870043218050204</v>
      </c>
      <c r="I1659">
        <v>173.70848000000001</v>
      </c>
      <c r="J1659" s="1">
        <v>45854</v>
      </c>
      <c r="K1659" s="3">
        <v>1.2000392842076499E-2</v>
      </c>
      <c r="L1659">
        <v>7913250794</v>
      </c>
      <c r="M1659" s="2" t="s">
        <v>14</v>
      </c>
    </row>
    <row r="1660" spans="1:13" x14ac:dyDescent="0.3">
      <c r="A1660" s="1">
        <v>45856</v>
      </c>
      <c r="B1660" s="2" t="s">
        <v>13</v>
      </c>
      <c r="C1660">
        <v>175.79193000000001</v>
      </c>
      <c r="D1660">
        <v>184.369</v>
      </c>
      <c r="E1660">
        <v>173.91469000000001</v>
      </c>
      <c r="F1660">
        <v>177.38197</v>
      </c>
      <c r="G1660">
        <f>_xlfn.MAXIFS(Crypto[Close],Crypto[Name],Crypto[[#This Row],[Name]],Crypto[Date],"&lt;="&amp;Crypto[[#This Row],[Date]])</f>
        <v>261.86975000000001</v>
      </c>
      <c r="H1660" s="3">
        <f>(Crypto[[#This Row],[Close]]/Crypto[[#This Row],[Peak Close]])-1</f>
        <v>-0.32263283559861344</v>
      </c>
      <c r="I1660">
        <v>175.79304999999999</v>
      </c>
      <c r="J1660" s="1">
        <v>45855</v>
      </c>
      <c r="K1660" s="3">
        <v>9.0385825833273897E-3</v>
      </c>
      <c r="L1660">
        <v>8439352014</v>
      </c>
      <c r="M1660" s="2" t="s">
        <v>14</v>
      </c>
    </row>
    <row r="1661" spans="1:13" x14ac:dyDescent="0.3">
      <c r="A1661" s="1">
        <v>45857</v>
      </c>
      <c r="B1661" s="2" t="s">
        <v>13</v>
      </c>
      <c r="C1661">
        <v>177.38191</v>
      </c>
      <c r="D1661">
        <v>178.36938000000001</v>
      </c>
      <c r="E1661">
        <v>174.31314</v>
      </c>
      <c r="F1661">
        <v>177.07013000000001</v>
      </c>
      <c r="G1661">
        <f>_xlfn.MAXIFS(Crypto[Close],Crypto[Name],Crypto[[#This Row],[Name]],Crypto[Date],"&lt;="&amp;Crypto[[#This Row],[Date]])</f>
        <v>261.86975000000001</v>
      </c>
      <c r="H1661" s="3">
        <f>(Crypto[[#This Row],[Close]]/Crypto[[#This Row],[Peak Close]])-1</f>
        <v>-0.3238236566079129</v>
      </c>
      <c r="I1661">
        <v>177.38197</v>
      </c>
      <c r="J1661" s="1">
        <v>45856</v>
      </c>
      <c r="K1661" s="3">
        <v>-1.7580140755004E-3</v>
      </c>
      <c r="L1661">
        <v>4074891432</v>
      </c>
      <c r="M1661" s="2" t="s">
        <v>14</v>
      </c>
    </row>
    <row r="1662" spans="1:13" x14ac:dyDescent="0.3">
      <c r="A1662" s="1">
        <v>45858</v>
      </c>
      <c r="B1662" s="2" t="s">
        <v>13</v>
      </c>
      <c r="C1662">
        <v>177.07050000000001</v>
      </c>
      <c r="D1662">
        <v>183.31976</v>
      </c>
      <c r="E1662">
        <v>176.52831</v>
      </c>
      <c r="F1662">
        <v>181.54604</v>
      </c>
      <c r="G1662">
        <f>_xlfn.MAXIFS(Crypto[Close],Crypto[Name],Crypto[[#This Row],[Name]],Crypto[Date],"&lt;="&amp;Crypto[[#This Row],[Date]])</f>
        <v>261.86975000000001</v>
      </c>
      <c r="H1662" s="3">
        <f>(Crypto[[#This Row],[Close]]/Crypto[[#This Row],[Peak Close]])-1</f>
        <v>-0.30673153352000371</v>
      </c>
      <c r="I1662">
        <v>177.07013000000001</v>
      </c>
      <c r="J1662" s="1">
        <v>45857</v>
      </c>
      <c r="K1662" s="3">
        <v>2.52776117575562E-2</v>
      </c>
      <c r="L1662">
        <v>6503778374</v>
      </c>
      <c r="M1662" s="2" t="s">
        <v>14</v>
      </c>
    </row>
    <row r="1663" spans="1:13" x14ac:dyDescent="0.3">
      <c r="A1663" s="1">
        <v>45859</v>
      </c>
      <c r="B1663" s="2" t="s">
        <v>13</v>
      </c>
      <c r="C1663">
        <v>181.54526000000001</v>
      </c>
      <c r="D1663">
        <v>198.91556</v>
      </c>
      <c r="E1663">
        <v>178.56218999999999</v>
      </c>
      <c r="F1663">
        <v>195.99426</v>
      </c>
      <c r="G1663">
        <f>_xlfn.MAXIFS(Crypto[Close],Crypto[Name],Crypto[[#This Row],[Name]],Crypto[Date],"&lt;="&amp;Crypto[[#This Row],[Date]])</f>
        <v>261.86975000000001</v>
      </c>
      <c r="H1663" s="3">
        <f>(Crypto[[#This Row],[Close]]/Crypto[[#This Row],[Peak Close]])-1</f>
        <v>-0.25155822694297458</v>
      </c>
      <c r="I1663">
        <v>181.54604</v>
      </c>
      <c r="J1663" s="1">
        <v>45858</v>
      </c>
      <c r="K1663" s="3">
        <v>7.9584330233807302E-2</v>
      </c>
      <c r="L1663">
        <v>11211509986</v>
      </c>
      <c r="M1663" s="2" t="s">
        <v>14</v>
      </c>
    </row>
    <row r="1664" spans="1:13" x14ac:dyDescent="0.3">
      <c r="A1664" s="1">
        <v>45860</v>
      </c>
      <c r="B1664" s="2" t="s">
        <v>13</v>
      </c>
      <c r="C1664">
        <v>195.9879</v>
      </c>
      <c r="D1664">
        <v>205.87147999999999</v>
      </c>
      <c r="E1664">
        <v>194.28229999999999</v>
      </c>
      <c r="F1664">
        <v>205.70054999999999</v>
      </c>
      <c r="G1664">
        <f>_xlfn.MAXIFS(Crypto[Close],Crypto[Name],Crypto[[#This Row],[Name]],Crypto[Date],"&lt;="&amp;Crypto[[#This Row],[Date]])</f>
        <v>261.86975000000001</v>
      </c>
      <c r="H1664" s="3">
        <f>(Crypto[[#This Row],[Close]]/Crypto[[#This Row],[Peak Close]])-1</f>
        <v>-0.21449289198160537</v>
      </c>
      <c r="I1664">
        <v>195.99426</v>
      </c>
      <c r="J1664" s="1">
        <v>45859</v>
      </c>
      <c r="K1664" s="3">
        <v>4.9523338081431598E-2</v>
      </c>
      <c r="L1664">
        <v>14508715185</v>
      </c>
      <c r="M1664" s="2" t="s">
        <v>14</v>
      </c>
    </row>
    <row r="1665" spans="1:13" x14ac:dyDescent="0.3">
      <c r="A1665" s="1">
        <v>45861</v>
      </c>
      <c r="B1665" s="2" t="s">
        <v>13</v>
      </c>
      <c r="C1665">
        <v>205.71124</v>
      </c>
      <c r="D1665">
        <v>205.75609</v>
      </c>
      <c r="E1665">
        <v>184.32736</v>
      </c>
      <c r="F1665">
        <v>189.54293999999999</v>
      </c>
      <c r="G1665">
        <f>_xlfn.MAXIFS(Crypto[Close],Crypto[Name],Crypto[[#This Row],[Name]],Crypto[Date],"&lt;="&amp;Crypto[[#This Row],[Date]])</f>
        <v>261.86975000000001</v>
      </c>
      <c r="H1665" s="3">
        <f>(Crypto[[#This Row],[Close]]/Crypto[[#This Row],[Peak Close]])-1</f>
        <v>-0.27619383300285738</v>
      </c>
      <c r="I1665">
        <v>205.70054999999999</v>
      </c>
      <c r="J1665" s="1">
        <v>45860</v>
      </c>
      <c r="K1665" s="3">
        <v>-7.8549182294359504E-2</v>
      </c>
      <c r="L1665">
        <v>10671351702</v>
      </c>
      <c r="M1665" s="2" t="s">
        <v>14</v>
      </c>
    </row>
    <row r="1666" spans="1:13" x14ac:dyDescent="0.3">
      <c r="A1666" s="1">
        <v>45862</v>
      </c>
      <c r="B1666" s="2" t="s">
        <v>13</v>
      </c>
      <c r="C1666">
        <v>189.53931</v>
      </c>
      <c r="D1666">
        <v>191.88336000000001</v>
      </c>
      <c r="E1666">
        <v>179.94815</v>
      </c>
      <c r="F1666">
        <v>182.60606000000001</v>
      </c>
      <c r="G1666">
        <f>_xlfn.MAXIFS(Crypto[Close],Crypto[Name],Crypto[[#This Row],[Name]],Crypto[Date],"&lt;="&amp;Crypto[[#This Row],[Date]])</f>
        <v>261.86975000000001</v>
      </c>
      <c r="H1666" s="3">
        <f>(Crypto[[#This Row],[Close]]/Crypto[[#This Row],[Peak Close]])-1</f>
        <v>-0.30268364329977016</v>
      </c>
      <c r="I1666">
        <v>189.54293999999999</v>
      </c>
      <c r="J1666" s="1">
        <v>45861</v>
      </c>
      <c r="K1666" s="3">
        <v>-3.6597933956284398E-2</v>
      </c>
      <c r="L1666">
        <v>8921891799</v>
      </c>
      <c r="M1666" s="2" t="s">
        <v>14</v>
      </c>
    </row>
    <row r="1667" spans="1:13" x14ac:dyDescent="0.3">
      <c r="A1667" s="1">
        <v>45863</v>
      </c>
      <c r="B1667" s="2" t="s">
        <v>13</v>
      </c>
      <c r="C1667">
        <v>182.60393999999999</v>
      </c>
      <c r="D1667">
        <v>186.78859</v>
      </c>
      <c r="E1667">
        <v>176.41354000000001</v>
      </c>
      <c r="F1667">
        <v>186.77966000000001</v>
      </c>
      <c r="G1667">
        <f>_xlfn.MAXIFS(Crypto[Close],Crypto[Name],Crypto[[#This Row],[Name]],Crypto[Date],"&lt;="&amp;Crypto[[#This Row],[Date]])</f>
        <v>261.86975000000001</v>
      </c>
      <c r="H1667" s="3">
        <f>(Crypto[[#This Row],[Close]]/Crypto[[#This Row],[Peak Close]])-1</f>
        <v>-0.28674594908346607</v>
      </c>
      <c r="I1667">
        <v>182.60606000000001</v>
      </c>
      <c r="J1667" s="1">
        <v>45862</v>
      </c>
      <c r="K1667" s="3">
        <v>2.2855758456208901E-2</v>
      </c>
      <c r="L1667">
        <v>8613557362</v>
      </c>
      <c r="M1667" s="2" t="s">
        <v>14</v>
      </c>
    </row>
    <row r="1668" spans="1:13" x14ac:dyDescent="0.3">
      <c r="A1668" s="1">
        <v>45864</v>
      </c>
      <c r="B1668" s="2" t="s">
        <v>13</v>
      </c>
      <c r="C1668">
        <v>186.77979999999999</v>
      </c>
      <c r="D1668">
        <v>189.64696000000001</v>
      </c>
      <c r="E1668">
        <v>184.53267</v>
      </c>
      <c r="F1668">
        <v>184.91388000000001</v>
      </c>
      <c r="G1668">
        <f>_xlfn.MAXIFS(Crypto[Close],Crypto[Name],Crypto[[#This Row],[Name]],Crypto[Date],"&lt;="&amp;Crypto[[#This Row],[Date]])</f>
        <v>261.86975000000001</v>
      </c>
      <c r="H1668" s="3">
        <f>(Crypto[[#This Row],[Close]]/Crypto[[#This Row],[Peak Close]])-1</f>
        <v>-0.29387078881772333</v>
      </c>
      <c r="I1668">
        <v>186.77966000000001</v>
      </c>
      <c r="J1668" s="1">
        <v>45863</v>
      </c>
      <c r="K1668" s="3">
        <v>-9.9892033211753401E-3</v>
      </c>
      <c r="L1668">
        <v>3756183776</v>
      </c>
      <c r="M1668" s="2" t="s">
        <v>14</v>
      </c>
    </row>
    <row r="1669" spans="1:13" x14ac:dyDescent="0.3">
      <c r="A1669" s="1">
        <v>45865</v>
      </c>
      <c r="B1669" s="2" t="s">
        <v>13</v>
      </c>
      <c r="C1669">
        <v>184.91197</v>
      </c>
      <c r="D1669">
        <v>190.44315</v>
      </c>
      <c r="E1669">
        <v>184.74012999999999</v>
      </c>
      <c r="F1669">
        <v>188.73348999999999</v>
      </c>
      <c r="G1669">
        <f>_xlfn.MAXIFS(Crypto[Close],Crypto[Name],Crypto[[#This Row],[Name]],Crypto[Date],"&lt;="&amp;Crypto[[#This Row],[Date]])</f>
        <v>261.86975000000001</v>
      </c>
      <c r="H1669" s="3">
        <f>(Crypto[[#This Row],[Close]]/Crypto[[#This Row],[Peak Close]])-1</f>
        <v>-0.27928487349149722</v>
      </c>
      <c r="I1669">
        <v>184.91388000000001</v>
      </c>
      <c r="J1669" s="1">
        <v>45864</v>
      </c>
      <c r="K1669" s="3">
        <v>2.0656156260416898E-2</v>
      </c>
      <c r="L1669">
        <v>4713357652</v>
      </c>
      <c r="M1669" s="2" t="s">
        <v>14</v>
      </c>
    </row>
    <row r="1670" spans="1:13" x14ac:dyDescent="0.3">
      <c r="A1670" s="1">
        <v>45866</v>
      </c>
      <c r="B1670" s="2" t="s">
        <v>13</v>
      </c>
      <c r="C1670">
        <v>188.7321</v>
      </c>
      <c r="D1670">
        <v>194.65801999999999</v>
      </c>
      <c r="E1670">
        <v>182.36876000000001</v>
      </c>
      <c r="F1670">
        <v>182.54156</v>
      </c>
      <c r="G1670">
        <f>_xlfn.MAXIFS(Crypto[Close],Crypto[Name],Crypto[[#This Row],[Name]],Crypto[Date],"&lt;="&amp;Crypto[[#This Row],[Date]])</f>
        <v>261.86975000000001</v>
      </c>
      <c r="H1670" s="3">
        <f>(Crypto[[#This Row],[Close]]/Crypto[[#This Row],[Peak Close]])-1</f>
        <v>-0.30292994895363057</v>
      </c>
      <c r="I1670">
        <v>188.73348999999999</v>
      </c>
      <c r="J1670" s="1">
        <v>45865</v>
      </c>
      <c r="K1670" s="3">
        <v>-3.2807796856826998E-2</v>
      </c>
      <c r="L1670">
        <v>7456216270</v>
      </c>
      <c r="M1670" s="2" t="s">
        <v>14</v>
      </c>
    </row>
    <row r="1671" spans="1:13" x14ac:dyDescent="0.3">
      <c r="A1671" s="1">
        <v>45867</v>
      </c>
      <c r="B1671" s="2" t="s">
        <v>13</v>
      </c>
      <c r="C1671">
        <v>182.55849000000001</v>
      </c>
      <c r="D1671">
        <v>186.48845</v>
      </c>
      <c r="E1671">
        <v>178.57059000000001</v>
      </c>
      <c r="F1671">
        <v>181.33530999999999</v>
      </c>
      <c r="G1671">
        <f>_xlfn.MAXIFS(Crypto[Close],Crypto[Name],Crypto[[#This Row],[Name]],Crypto[Date],"&lt;="&amp;Crypto[[#This Row],[Date]])</f>
        <v>261.86975000000001</v>
      </c>
      <c r="H1671" s="3">
        <f>(Crypto[[#This Row],[Close]]/Crypto[[#This Row],[Peak Close]])-1</f>
        <v>-0.30753624655005019</v>
      </c>
      <c r="I1671">
        <v>182.54156</v>
      </c>
      <c r="J1671" s="1">
        <v>45866</v>
      </c>
      <c r="K1671" s="3">
        <v>-6.6080842083304798E-3</v>
      </c>
      <c r="L1671">
        <v>5430304723</v>
      </c>
      <c r="M1671" s="2" t="s">
        <v>14</v>
      </c>
    </row>
    <row r="1672" spans="1:13" x14ac:dyDescent="0.3">
      <c r="A1672" s="1">
        <v>45868</v>
      </c>
      <c r="B1672" s="2" t="s">
        <v>13</v>
      </c>
      <c r="C1672">
        <v>181.33530999999999</v>
      </c>
      <c r="D1672">
        <v>182.37952000000001</v>
      </c>
      <c r="E1672">
        <v>172.34227000000001</v>
      </c>
      <c r="F1672">
        <v>177.69401999999999</v>
      </c>
      <c r="G1672">
        <f>_xlfn.MAXIFS(Crypto[Close],Crypto[Name],Crypto[[#This Row],[Name]],Crypto[Date],"&lt;="&amp;Crypto[[#This Row],[Date]])</f>
        <v>261.86975000000001</v>
      </c>
      <c r="H1672" s="3">
        <f>(Crypto[[#This Row],[Close]]/Crypto[[#This Row],[Peak Close]])-1</f>
        <v>-0.32144121266392933</v>
      </c>
      <c r="I1672">
        <v>181.33530999999999</v>
      </c>
      <c r="J1672" s="1">
        <v>45867</v>
      </c>
      <c r="K1672" s="3">
        <v>-2.0080424490961001E-2</v>
      </c>
      <c r="L1672">
        <v>6074764559</v>
      </c>
      <c r="M1672" s="2" t="s">
        <v>14</v>
      </c>
    </row>
    <row r="1673" spans="1:13" x14ac:dyDescent="0.3">
      <c r="A1673" s="1">
        <v>45869</v>
      </c>
      <c r="B1673" s="2" t="s">
        <v>13</v>
      </c>
      <c r="C1673">
        <v>177.69379000000001</v>
      </c>
      <c r="D1673">
        <v>182.48248000000001</v>
      </c>
      <c r="E1673">
        <v>171.8528</v>
      </c>
      <c r="F1673">
        <v>172.42435</v>
      </c>
      <c r="G1673">
        <f>_xlfn.MAXIFS(Crypto[Close],Crypto[Name],Crypto[[#This Row],[Name]],Crypto[Date],"&lt;="&amp;Crypto[[#This Row],[Date]])</f>
        <v>261.86975000000001</v>
      </c>
      <c r="H1673" s="3">
        <f>(Crypto[[#This Row],[Close]]/Crypto[[#This Row],[Peak Close]])-1</f>
        <v>-0.34156446095816717</v>
      </c>
      <c r="I1673">
        <v>177.69401999999999</v>
      </c>
      <c r="J1673" s="1">
        <v>45868</v>
      </c>
      <c r="K1673" s="3">
        <v>-2.9655865740445202E-2</v>
      </c>
      <c r="L1673">
        <v>5443530167</v>
      </c>
      <c r="M1673" s="2" t="s">
        <v>14</v>
      </c>
    </row>
    <row r="1674" spans="1:13" x14ac:dyDescent="0.3">
      <c r="A1674" s="1">
        <v>45870</v>
      </c>
      <c r="B1674" s="2" t="s">
        <v>13</v>
      </c>
      <c r="C1674">
        <v>172.41711000000001</v>
      </c>
      <c r="D1674">
        <v>172.41711000000001</v>
      </c>
      <c r="E1674">
        <v>159.78856999999999</v>
      </c>
      <c r="F1674">
        <v>162.87709000000001</v>
      </c>
      <c r="G1674">
        <f>_xlfn.MAXIFS(Crypto[Close],Crypto[Name],Crypto[[#This Row],[Name]],Crypto[Date],"&lt;="&amp;Crypto[[#This Row],[Date]])</f>
        <v>261.86975000000001</v>
      </c>
      <c r="H1674" s="3">
        <f>(Crypto[[#This Row],[Close]]/Crypto[[#This Row],[Peak Close]])-1</f>
        <v>-0.37802250928180903</v>
      </c>
      <c r="I1674">
        <v>172.42435</v>
      </c>
      <c r="J1674" s="1">
        <v>45869</v>
      </c>
      <c r="K1674" s="3">
        <v>-5.5370717650958197E-2</v>
      </c>
      <c r="L1674">
        <v>8200357157</v>
      </c>
      <c r="M1674" s="2" t="s">
        <v>14</v>
      </c>
    </row>
    <row r="1675" spans="1:13" x14ac:dyDescent="0.3">
      <c r="A1675" s="1">
        <v>45871</v>
      </c>
      <c r="B1675" s="2" t="s">
        <v>13</v>
      </c>
      <c r="C1675">
        <v>162.87709000000001</v>
      </c>
      <c r="D1675">
        <v>165.10701</v>
      </c>
      <c r="E1675">
        <v>156.08435</v>
      </c>
      <c r="F1675">
        <v>158.48302000000001</v>
      </c>
      <c r="G1675">
        <f>_xlfn.MAXIFS(Crypto[Close],Crypto[Name],Crypto[[#This Row],[Name]],Crypto[Date],"&lt;="&amp;Crypto[[#This Row],[Date]])</f>
        <v>261.86975000000001</v>
      </c>
      <c r="H1675" s="3">
        <f>(Crypto[[#This Row],[Close]]/Crypto[[#This Row],[Peak Close]])-1</f>
        <v>-0.3948021105912386</v>
      </c>
      <c r="I1675">
        <v>162.87709000000001</v>
      </c>
      <c r="J1675" s="1">
        <v>45870</v>
      </c>
      <c r="K1675" s="3">
        <v>-2.6977827268402199E-2</v>
      </c>
      <c r="L1675">
        <v>4455060056</v>
      </c>
      <c r="M1675" s="2" t="s">
        <v>14</v>
      </c>
    </row>
    <row r="1676" spans="1:13" x14ac:dyDescent="0.3">
      <c r="A1676" s="1">
        <v>45872</v>
      </c>
      <c r="B1676" s="2" t="s">
        <v>13</v>
      </c>
      <c r="C1676">
        <v>158.48340999999999</v>
      </c>
      <c r="D1676">
        <v>162.82405</v>
      </c>
      <c r="E1676">
        <v>156.87166999999999</v>
      </c>
      <c r="F1676">
        <v>161.95497</v>
      </c>
      <c r="G1676">
        <f>_xlfn.MAXIFS(Crypto[Close],Crypto[Name],Crypto[[#This Row],[Name]],Crypto[Date],"&lt;="&amp;Crypto[[#This Row],[Date]])</f>
        <v>261.86975000000001</v>
      </c>
      <c r="H1676" s="3">
        <f>(Crypto[[#This Row],[Close]]/Crypto[[#This Row],[Peak Close]])-1</f>
        <v>-0.38154380183278136</v>
      </c>
      <c r="I1676">
        <v>158.48302000000001</v>
      </c>
      <c r="J1676" s="1">
        <v>45871</v>
      </c>
      <c r="K1676" s="3">
        <v>2.19073942432444E-2</v>
      </c>
      <c r="L1676">
        <v>3702562222</v>
      </c>
      <c r="M1676" s="2" t="s">
        <v>14</v>
      </c>
    </row>
    <row r="1677" spans="1:13" x14ac:dyDescent="0.3">
      <c r="A1677" s="1">
        <v>45873</v>
      </c>
      <c r="B1677" s="2" t="s">
        <v>13</v>
      </c>
      <c r="C1677">
        <v>161.96297000000001</v>
      </c>
      <c r="D1677">
        <v>169.71172999999999</v>
      </c>
      <c r="E1677">
        <v>161.43700000000001</v>
      </c>
      <c r="F1677">
        <v>169.42569</v>
      </c>
      <c r="G1677">
        <f>_xlfn.MAXIFS(Crypto[Close],Crypto[Name],Crypto[[#This Row],[Name]],Crypto[Date],"&lt;="&amp;Crypto[[#This Row],[Date]])</f>
        <v>261.86975000000001</v>
      </c>
      <c r="H1677" s="3">
        <f>(Crypto[[#This Row],[Close]]/Crypto[[#This Row],[Peak Close]])-1</f>
        <v>-0.35301542083421245</v>
      </c>
      <c r="I1677">
        <v>161.95497</v>
      </c>
      <c r="J1677" s="1">
        <v>45872</v>
      </c>
      <c r="K1677" s="3">
        <v>4.6128377536052201E-2</v>
      </c>
      <c r="L1677">
        <v>4977909460</v>
      </c>
      <c r="M1677" s="2" t="s">
        <v>14</v>
      </c>
    </row>
    <row r="1678" spans="1:13" x14ac:dyDescent="0.3">
      <c r="A1678" s="1">
        <v>45874</v>
      </c>
      <c r="B1678" s="2" t="s">
        <v>13</v>
      </c>
      <c r="C1678">
        <v>169.42778000000001</v>
      </c>
      <c r="D1678">
        <v>171.56014999999999</v>
      </c>
      <c r="E1678">
        <v>161.64089999999999</v>
      </c>
      <c r="F1678">
        <v>164.09644</v>
      </c>
      <c r="G1678">
        <f>_xlfn.MAXIFS(Crypto[Close],Crypto[Name],Crypto[[#This Row],[Name]],Crypto[Date],"&lt;="&amp;Crypto[[#This Row],[Date]])</f>
        <v>261.86975000000001</v>
      </c>
      <c r="H1678" s="3">
        <f>(Crypto[[#This Row],[Close]]/Crypto[[#This Row],[Peak Close]])-1</f>
        <v>-0.37336618681615574</v>
      </c>
      <c r="I1678">
        <v>169.42569</v>
      </c>
      <c r="J1678" s="1">
        <v>45873</v>
      </c>
      <c r="K1678" s="3">
        <v>-3.1454792953772202E-2</v>
      </c>
      <c r="L1678">
        <v>4979304041</v>
      </c>
      <c r="M1678" s="2" t="s">
        <v>14</v>
      </c>
    </row>
    <row r="1679" spans="1:13" x14ac:dyDescent="0.3">
      <c r="A1679" s="1">
        <v>45875</v>
      </c>
      <c r="B1679" s="2" t="s">
        <v>13</v>
      </c>
      <c r="C1679">
        <v>164.09857</v>
      </c>
      <c r="D1679">
        <v>169.86183</v>
      </c>
      <c r="E1679">
        <v>161.40118000000001</v>
      </c>
      <c r="F1679">
        <v>168.17573999999999</v>
      </c>
      <c r="G1679">
        <f>_xlfn.MAXIFS(Crypto[Close],Crypto[Name],Crypto[[#This Row],[Name]],Crypto[Date],"&lt;="&amp;Crypto[[#This Row],[Date]])</f>
        <v>261.86975000000001</v>
      </c>
      <c r="H1679" s="3">
        <f>(Crypto[[#This Row],[Close]]/Crypto[[#This Row],[Peak Close]])-1</f>
        <v>-0.35778859528448792</v>
      </c>
      <c r="I1679">
        <v>164.09644</v>
      </c>
      <c r="J1679" s="1">
        <v>45874</v>
      </c>
      <c r="K1679" s="3">
        <v>2.4859162087855099E-2</v>
      </c>
      <c r="L1679">
        <v>3851544154</v>
      </c>
      <c r="M1679" s="2" t="s">
        <v>14</v>
      </c>
    </row>
    <row r="1680" spans="1:13" x14ac:dyDescent="0.3">
      <c r="A1680" s="1">
        <v>45876</v>
      </c>
      <c r="B1680" s="2" t="s">
        <v>13</v>
      </c>
      <c r="C1680">
        <v>168.17543000000001</v>
      </c>
      <c r="D1680">
        <v>175.48871</v>
      </c>
      <c r="E1680">
        <v>166.89455000000001</v>
      </c>
      <c r="F1680">
        <v>175.48543000000001</v>
      </c>
      <c r="G1680">
        <f>_xlfn.MAXIFS(Crypto[Close],Crypto[Name],Crypto[[#This Row],[Name]],Crypto[Date],"&lt;="&amp;Crypto[[#This Row],[Date]])</f>
        <v>261.86975000000001</v>
      </c>
      <c r="H1680" s="3">
        <f>(Crypto[[#This Row],[Close]]/Crypto[[#This Row],[Peak Close]])-1</f>
        <v>-0.32987513830826198</v>
      </c>
      <c r="I1680">
        <v>168.17573999999999</v>
      </c>
      <c r="J1680" s="1">
        <v>45875</v>
      </c>
      <c r="K1680" s="3">
        <v>4.3464592455487401E-2</v>
      </c>
      <c r="L1680">
        <v>5177005321</v>
      </c>
      <c r="M1680" s="2" t="s">
        <v>14</v>
      </c>
    </row>
    <row r="1681" spans="1:13" x14ac:dyDescent="0.3">
      <c r="A1681" s="1">
        <v>45877</v>
      </c>
      <c r="B1681" s="2" t="s">
        <v>13</v>
      </c>
      <c r="C1681">
        <v>175.48545999999999</v>
      </c>
      <c r="D1681">
        <v>179.35963000000001</v>
      </c>
      <c r="E1681">
        <v>173.70160000000001</v>
      </c>
      <c r="F1681">
        <v>176.76329000000001</v>
      </c>
      <c r="G1681">
        <f>_xlfn.MAXIFS(Crypto[Close],Crypto[Name],Crypto[[#This Row],[Name]],Crypto[Date],"&lt;="&amp;Crypto[[#This Row],[Date]])</f>
        <v>261.86975000000001</v>
      </c>
      <c r="H1681" s="3">
        <f>(Crypto[[#This Row],[Close]]/Crypto[[#This Row],[Peak Close]])-1</f>
        <v>-0.32499538415567275</v>
      </c>
      <c r="I1681">
        <v>175.48543000000001</v>
      </c>
      <c r="J1681" s="1">
        <v>45876</v>
      </c>
      <c r="K1681" s="3">
        <v>7.2818581006981803E-3</v>
      </c>
      <c r="L1681">
        <v>6565011386</v>
      </c>
      <c r="M1681" s="2" t="s">
        <v>14</v>
      </c>
    </row>
    <row r="1682" spans="1:13" x14ac:dyDescent="0.3">
      <c r="A1682" s="1">
        <v>45878</v>
      </c>
      <c r="B1682" s="2" t="s">
        <v>13</v>
      </c>
      <c r="C1682">
        <v>176.76311999999999</v>
      </c>
      <c r="D1682">
        <v>183.14249000000001</v>
      </c>
      <c r="E1682">
        <v>176.75984</v>
      </c>
      <c r="F1682">
        <v>180.18234000000001</v>
      </c>
      <c r="G1682">
        <f>_xlfn.MAXIFS(Crypto[Close],Crypto[Name],Crypto[[#This Row],[Name]],Crypto[Date],"&lt;="&amp;Crypto[[#This Row],[Date]])</f>
        <v>261.86975000000001</v>
      </c>
      <c r="H1682" s="3">
        <f>(Crypto[[#This Row],[Close]]/Crypto[[#This Row],[Peak Close]])-1</f>
        <v>-0.31193908422030414</v>
      </c>
      <c r="I1682">
        <v>176.76329000000001</v>
      </c>
      <c r="J1682" s="1">
        <v>45877</v>
      </c>
      <c r="K1682" s="3">
        <v>1.9342534301098401E-2</v>
      </c>
      <c r="L1682">
        <v>5297615193</v>
      </c>
      <c r="M1682" s="2" t="s">
        <v>14</v>
      </c>
    </row>
    <row r="1683" spans="1:13" x14ac:dyDescent="0.3">
      <c r="A1683" s="1">
        <v>45879</v>
      </c>
      <c r="B1683" s="2" t="s">
        <v>13</v>
      </c>
      <c r="C1683">
        <v>180.18288999999999</v>
      </c>
      <c r="D1683">
        <v>185.91675000000001</v>
      </c>
      <c r="E1683">
        <v>177.99512999999999</v>
      </c>
      <c r="F1683">
        <v>182.90302</v>
      </c>
      <c r="G1683">
        <f>_xlfn.MAXIFS(Crypto[Close],Crypto[Name],Crypto[[#This Row],[Name]],Crypto[Date],"&lt;="&amp;Crypto[[#This Row],[Date]])</f>
        <v>261.86975000000001</v>
      </c>
      <c r="H1683" s="3">
        <f>(Crypto[[#This Row],[Close]]/Crypto[[#This Row],[Peak Close]])-1</f>
        <v>-0.30154964443201249</v>
      </c>
      <c r="I1683">
        <v>180.18234000000001</v>
      </c>
      <c r="J1683" s="1">
        <v>45878</v>
      </c>
      <c r="K1683" s="3">
        <v>1.50995930011786E-2</v>
      </c>
      <c r="L1683">
        <v>6719478867</v>
      </c>
      <c r="M1683" s="2" t="s">
        <v>14</v>
      </c>
    </row>
    <row r="1684" spans="1:13" x14ac:dyDescent="0.3">
      <c r="A1684" s="1">
        <v>45880</v>
      </c>
      <c r="B1684" s="2" t="s">
        <v>13</v>
      </c>
      <c r="C1684">
        <v>182.90303</v>
      </c>
      <c r="D1684">
        <v>186.65729999999999</v>
      </c>
      <c r="E1684">
        <v>173.68668</v>
      </c>
      <c r="F1684">
        <v>174.97781000000001</v>
      </c>
      <c r="G1684">
        <f>_xlfn.MAXIFS(Crypto[Close],Crypto[Name],Crypto[[#This Row],[Name]],Crypto[Date],"&lt;="&amp;Crypto[[#This Row],[Date]])</f>
        <v>261.86975000000001</v>
      </c>
      <c r="H1684" s="3">
        <f>(Crypto[[#This Row],[Close]]/Crypto[[#This Row],[Peak Close]])-1</f>
        <v>-0.33181358289760465</v>
      </c>
      <c r="I1684">
        <v>182.90302</v>
      </c>
      <c r="J1684" s="1">
        <v>45879</v>
      </c>
      <c r="K1684" s="3">
        <v>-4.3330121066344297E-2</v>
      </c>
      <c r="L1684">
        <v>7353962794</v>
      </c>
      <c r="M1684" s="2" t="s">
        <v>14</v>
      </c>
    </row>
    <row r="1685" spans="1:13" x14ac:dyDescent="0.3">
      <c r="A1685" s="1">
        <v>45881</v>
      </c>
      <c r="B1685" s="2" t="s">
        <v>13</v>
      </c>
      <c r="C1685">
        <v>174.97783000000001</v>
      </c>
      <c r="D1685">
        <v>193.44084000000001</v>
      </c>
      <c r="E1685">
        <v>173.83562000000001</v>
      </c>
      <c r="F1685">
        <v>191.85683</v>
      </c>
      <c r="G1685">
        <f>_xlfn.MAXIFS(Crypto[Close],Crypto[Name],Crypto[[#This Row],[Name]],Crypto[Date],"&lt;="&amp;Crypto[[#This Row],[Date]])</f>
        <v>261.86975000000001</v>
      </c>
      <c r="H1685" s="3">
        <f>(Crypto[[#This Row],[Close]]/Crypto[[#This Row],[Peak Close]])-1</f>
        <v>-0.26735779905850143</v>
      </c>
      <c r="I1685">
        <v>174.97781000000001</v>
      </c>
      <c r="J1685" s="1">
        <v>45880</v>
      </c>
      <c r="K1685" s="3">
        <v>9.6463774463744795E-2</v>
      </c>
      <c r="L1685">
        <v>8611505118</v>
      </c>
      <c r="M1685" s="2" t="s">
        <v>14</v>
      </c>
    </row>
    <row r="1686" spans="1:13" x14ac:dyDescent="0.3">
      <c r="A1686" s="1">
        <v>45882</v>
      </c>
      <c r="B1686" s="2" t="s">
        <v>13</v>
      </c>
      <c r="C1686">
        <v>191.85683</v>
      </c>
      <c r="D1686">
        <v>204.47002000000001</v>
      </c>
      <c r="E1686">
        <v>191.49545000000001</v>
      </c>
      <c r="F1686">
        <v>201.59041999999999</v>
      </c>
      <c r="G1686">
        <f>_xlfn.MAXIFS(Crypto[Close],Crypto[Name],Crypto[[#This Row],[Name]],Crypto[Date],"&lt;="&amp;Crypto[[#This Row],[Date]])</f>
        <v>261.86975000000001</v>
      </c>
      <c r="H1686" s="3">
        <f>(Crypto[[#This Row],[Close]]/Crypto[[#This Row],[Peak Close]])-1</f>
        <v>-0.23018821379712628</v>
      </c>
      <c r="I1686">
        <v>191.85683</v>
      </c>
      <c r="J1686" s="1">
        <v>45881</v>
      </c>
      <c r="K1686" s="3">
        <v>5.0733612141928897E-2</v>
      </c>
      <c r="L1686">
        <v>11831412257</v>
      </c>
      <c r="M1686" s="2" t="s">
        <v>14</v>
      </c>
    </row>
    <row r="1687" spans="1:13" x14ac:dyDescent="0.3">
      <c r="A1687" s="1">
        <v>45883</v>
      </c>
      <c r="B1687" s="2" t="s">
        <v>13</v>
      </c>
      <c r="C1687">
        <v>201.58672999999999</v>
      </c>
      <c r="D1687">
        <v>209.66685000000001</v>
      </c>
      <c r="E1687">
        <v>187.78336999999999</v>
      </c>
      <c r="F1687">
        <v>192.58595</v>
      </c>
      <c r="G1687">
        <f>_xlfn.MAXIFS(Crypto[Close],Crypto[Name],Crypto[[#This Row],[Name]],Crypto[Date],"&lt;="&amp;Crypto[[#This Row],[Date]])</f>
        <v>261.86975000000001</v>
      </c>
      <c r="H1687" s="3">
        <f>(Crypto[[#This Row],[Close]]/Crypto[[#This Row],[Peak Close]])-1</f>
        <v>-0.26457351412295615</v>
      </c>
      <c r="I1687">
        <v>201.59041999999999</v>
      </c>
      <c r="J1687" s="1">
        <v>45882</v>
      </c>
      <c r="K1687" s="3">
        <v>-4.4667152337893798E-2</v>
      </c>
      <c r="L1687">
        <v>14664456934</v>
      </c>
      <c r="M1687" s="2" t="s">
        <v>14</v>
      </c>
    </row>
    <row r="1688" spans="1:13" x14ac:dyDescent="0.3">
      <c r="A1688" s="1">
        <v>45884</v>
      </c>
      <c r="B1688" s="2" t="s">
        <v>13</v>
      </c>
      <c r="C1688">
        <v>192.58777000000001</v>
      </c>
      <c r="D1688">
        <v>198.13831999999999</v>
      </c>
      <c r="E1688">
        <v>183.76401000000001</v>
      </c>
      <c r="F1688">
        <v>185.74126000000001</v>
      </c>
      <c r="G1688">
        <f>_xlfn.MAXIFS(Crypto[Close],Crypto[Name],Crypto[[#This Row],[Name]],Crypto[Date],"&lt;="&amp;Crypto[[#This Row],[Date]])</f>
        <v>261.86975000000001</v>
      </c>
      <c r="H1688" s="3">
        <f>(Crypto[[#This Row],[Close]]/Crypto[[#This Row],[Peak Close]])-1</f>
        <v>-0.29071127917600259</v>
      </c>
      <c r="I1688">
        <v>192.58595</v>
      </c>
      <c r="J1688" s="1">
        <v>45883</v>
      </c>
      <c r="K1688" s="3">
        <v>-3.5540962359922899E-2</v>
      </c>
      <c r="L1688">
        <v>7685764515</v>
      </c>
      <c r="M1688" s="2" t="s">
        <v>14</v>
      </c>
    </row>
    <row r="1689" spans="1:13" x14ac:dyDescent="0.3">
      <c r="A1689" s="1">
        <v>45885</v>
      </c>
      <c r="B1689" s="2" t="s">
        <v>13</v>
      </c>
      <c r="C1689">
        <v>185.73955000000001</v>
      </c>
      <c r="D1689">
        <v>189.98114000000001</v>
      </c>
      <c r="E1689">
        <v>185.45778000000001</v>
      </c>
      <c r="F1689">
        <v>189.767</v>
      </c>
      <c r="G1689">
        <f>_xlfn.MAXIFS(Crypto[Close],Crypto[Name],Crypto[[#This Row],[Name]],Crypto[Date],"&lt;="&amp;Crypto[[#This Row],[Date]])</f>
        <v>261.86975000000001</v>
      </c>
      <c r="H1689" s="3">
        <f>(Crypto[[#This Row],[Close]]/Crypto[[#This Row],[Peak Close]])-1</f>
        <v>-0.27533821680434645</v>
      </c>
      <c r="I1689">
        <v>185.74126000000001</v>
      </c>
      <c r="J1689" s="1">
        <v>45884</v>
      </c>
      <c r="K1689" s="3">
        <v>2.1673913485888801E-2</v>
      </c>
      <c r="L1689">
        <v>3716008732</v>
      </c>
      <c r="M1689" s="2" t="s">
        <v>14</v>
      </c>
    </row>
    <row r="1690" spans="1:13" x14ac:dyDescent="0.3">
      <c r="A1690" s="1">
        <v>45886</v>
      </c>
      <c r="B1690" s="2" t="s">
        <v>13</v>
      </c>
      <c r="C1690">
        <v>189.76585</v>
      </c>
      <c r="D1690">
        <v>195.4408</v>
      </c>
      <c r="E1690">
        <v>187.72368</v>
      </c>
      <c r="F1690">
        <v>191.16482999999999</v>
      </c>
      <c r="G1690">
        <f>_xlfn.MAXIFS(Crypto[Close],Crypto[Name],Crypto[[#This Row],[Name]],Crypto[Date],"&lt;="&amp;Crypto[[#This Row],[Date]])</f>
        <v>261.86975000000001</v>
      </c>
      <c r="H1690" s="3">
        <f>(Crypto[[#This Row],[Close]]/Crypto[[#This Row],[Peak Close]])-1</f>
        <v>-0.270000334135577</v>
      </c>
      <c r="I1690">
        <v>189.767</v>
      </c>
      <c r="J1690" s="1">
        <v>45885</v>
      </c>
      <c r="K1690" s="3">
        <v>7.3660330826750596E-3</v>
      </c>
      <c r="L1690">
        <v>4221788171</v>
      </c>
      <c r="M1690" s="2" t="s">
        <v>14</v>
      </c>
    </row>
    <row r="1691" spans="1:13" x14ac:dyDescent="0.3">
      <c r="A1691" s="1">
        <v>45887</v>
      </c>
      <c r="B1691" s="2" t="s">
        <v>13</v>
      </c>
      <c r="C1691">
        <v>191.16449</v>
      </c>
      <c r="D1691">
        <v>191.35416000000001</v>
      </c>
      <c r="E1691">
        <v>180.41410999999999</v>
      </c>
      <c r="F1691">
        <v>183.06987000000001</v>
      </c>
      <c r="G1691">
        <f>_xlfn.MAXIFS(Crypto[Close],Crypto[Name],Crypto[[#This Row],[Name]],Crypto[Date],"&lt;="&amp;Crypto[[#This Row],[Date]])</f>
        <v>261.86975000000001</v>
      </c>
      <c r="H1691" s="3">
        <f>(Crypto[[#This Row],[Close]]/Crypto[[#This Row],[Peak Close]])-1</f>
        <v>-0.3009124956204372</v>
      </c>
      <c r="I1691">
        <v>191.16482999999999</v>
      </c>
      <c r="J1691" s="1">
        <v>45886</v>
      </c>
      <c r="K1691" s="3">
        <v>-4.2345446073945602E-2</v>
      </c>
      <c r="L1691">
        <v>6328028844</v>
      </c>
      <c r="M1691" s="2" t="s">
        <v>14</v>
      </c>
    </row>
    <row r="1692" spans="1:13" x14ac:dyDescent="0.3">
      <c r="A1692" s="1">
        <v>45888</v>
      </c>
      <c r="B1692" s="2" t="s">
        <v>13</v>
      </c>
      <c r="C1692">
        <v>183.06969000000001</v>
      </c>
      <c r="D1692">
        <v>185.78373999999999</v>
      </c>
      <c r="E1692">
        <v>175.99242000000001</v>
      </c>
      <c r="F1692">
        <v>176.11227</v>
      </c>
      <c r="G1692">
        <f>_xlfn.MAXIFS(Crypto[Close],Crypto[Name],Crypto[[#This Row],[Name]],Crypto[Date],"&lt;="&amp;Crypto[[#This Row],[Date]])</f>
        <v>261.86975000000001</v>
      </c>
      <c r="H1692" s="3">
        <f>(Crypto[[#This Row],[Close]]/Crypto[[#This Row],[Peak Close]])-1</f>
        <v>-0.3274814292219701</v>
      </c>
      <c r="I1692">
        <v>183.06987000000001</v>
      </c>
      <c r="J1692" s="1">
        <v>45887</v>
      </c>
      <c r="K1692" s="3">
        <v>-3.8005161635827997E-2</v>
      </c>
      <c r="L1692">
        <v>5990636025</v>
      </c>
      <c r="M1692" s="2" t="s">
        <v>14</v>
      </c>
    </row>
    <row r="1693" spans="1:13" x14ac:dyDescent="0.3">
      <c r="A1693" s="1">
        <v>45889</v>
      </c>
      <c r="B1693" s="2" t="s">
        <v>13</v>
      </c>
      <c r="C1693">
        <v>176.11387999999999</v>
      </c>
      <c r="D1693">
        <v>187.68953999999999</v>
      </c>
      <c r="E1693">
        <v>176.10101</v>
      </c>
      <c r="F1693">
        <v>187.58629999999999</v>
      </c>
      <c r="G1693">
        <f>_xlfn.MAXIFS(Crypto[Close],Crypto[Name],Crypto[[#This Row],[Name]],Crypto[Date],"&lt;="&amp;Crypto[[#This Row],[Date]])</f>
        <v>261.86975000000001</v>
      </c>
      <c r="H1693" s="3">
        <f>(Crypto[[#This Row],[Close]]/Crypto[[#This Row],[Peak Close]])-1</f>
        <v>-0.28366563912021148</v>
      </c>
      <c r="I1693">
        <v>176.11227</v>
      </c>
      <c r="J1693" s="1">
        <v>45888</v>
      </c>
      <c r="K1693" s="3">
        <v>6.5151792092623603E-2</v>
      </c>
      <c r="L1693">
        <v>6283111574</v>
      </c>
      <c r="M1693" s="2" t="s">
        <v>14</v>
      </c>
    </row>
    <row r="1694" spans="1:13" x14ac:dyDescent="0.3">
      <c r="A1694" s="1">
        <v>45890</v>
      </c>
      <c r="B1694" s="2" t="s">
        <v>13</v>
      </c>
      <c r="C1694">
        <v>187.58629999999999</v>
      </c>
      <c r="D1694">
        <v>189.40053</v>
      </c>
      <c r="E1694">
        <v>179.71333000000001</v>
      </c>
      <c r="F1694">
        <v>180.28062</v>
      </c>
      <c r="G1694">
        <f>_xlfn.MAXIFS(Crypto[Close],Crypto[Name],Crypto[[#This Row],[Name]],Crypto[Date],"&lt;="&amp;Crypto[[#This Row],[Date]])</f>
        <v>261.86975000000001</v>
      </c>
      <c r="H1694" s="3">
        <f>(Crypto[[#This Row],[Close]]/Crypto[[#This Row],[Peak Close]])-1</f>
        <v>-0.31156378314028255</v>
      </c>
      <c r="I1694">
        <v>187.58629999999999</v>
      </c>
      <c r="J1694" s="1">
        <v>45889</v>
      </c>
      <c r="K1694" s="3">
        <v>-3.8945701258567403E-2</v>
      </c>
      <c r="L1694">
        <v>5379108039</v>
      </c>
      <c r="M1694" s="2" t="s">
        <v>14</v>
      </c>
    </row>
    <row r="1695" spans="1:13" x14ac:dyDescent="0.3">
      <c r="A1695" s="1">
        <v>45891</v>
      </c>
      <c r="B1695" s="2" t="s">
        <v>13</v>
      </c>
      <c r="C1695">
        <v>180.27968999999999</v>
      </c>
      <c r="D1695">
        <v>201.93735000000001</v>
      </c>
      <c r="E1695">
        <v>177.47476</v>
      </c>
      <c r="F1695">
        <v>200.64744999999999</v>
      </c>
      <c r="G1695">
        <f>_xlfn.MAXIFS(Crypto[Close],Crypto[Name],Crypto[[#This Row],[Name]],Crypto[Date],"&lt;="&amp;Crypto[[#This Row],[Date]])</f>
        <v>261.86975000000001</v>
      </c>
      <c r="H1695" s="3">
        <f>(Crypto[[#This Row],[Close]]/Crypto[[#This Row],[Peak Close]])-1</f>
        <v>-0.23378912608271862</v>
      </c>
      <c r="I1695">
        <v>180.28062</v>
      </c>
      <c r="J1695" s="1">
        <v>45890</v>
      </c>
      <c r="K1695" s="3">
        <v>0.112972930756506</v>
      </c>
      <c r="L1695">
        <v>10256417346</v>
      </c>
      <c r="M1695" s="2" t="s">
        <v>14</v>
      </c>
    </row>
    <row r="1696" spans="1:13" x14ac:dyDescent="0.3">
      <c r="A1696" s="1">
        <v>45892</v>
      </c>
      <c r="B1696" s="2" t="s">
        <v>13</v>
      </c>
      <c r="C1696">
        <v>200.64616000000001</v>
      </c>
      <c r="D1696">
        <v>207.839</v>
      </c>
      <c r="E1696">
        <v>195.37183999999999</v>
      </c>
      <c r="F1696">
        <v>203.93673999999999</v>
      </c>
      <c r="G1696">
        <f>_xlfn.MAXIFS(Crypto[Close],Crypto[Name],Crypto[[#This Row],[Name]],Crypto[Date],"&lt;="&amp;Crypto[[#This Row],[Date]])</f>
        <v>261.86975000000001</v>
      </c>
      <c r="H1696" s="3">
        <f>(Crypto[[#This Row],[Close]]/Crypto[[#This Row],[Peak Close]])-1</f>
        <v>-0.22122833966122479</v>
      </c>
      <c r="I1696">
        <v>200.64744999999999</v>
      </c>
      <c r="J1696" s="1">
        <v>45891</v>
      </c>
      <c r="K1696" s="3">
        <v>1.6393380528882801E-2</v>
      </c>
      <c r="L1696">
        <v>7845395369</v>
      </c>
      <c r="M1696" s="2" t="s">
        <v>14</v>
      </c>
    </row>
    <row r="1697" spans="1:13" x14ac:dyDescent="0.3">
      <c r="A1697" s="1">
        <v>45893</v>
      </c>
      <c r="B1697" s="2" t="s">
        <v>13</v>
      </c>
      <c r="C1697">
        <v>203.93715</v>
      </c>
      <c r="D1697">
        <v>211.76024000000001</v>
      </c>
      <c r="E1697">
        <v>201.7072</v>
      </c>
      <c r="F1697">
        <v>205.85237000000001</v>
      </c>
      <c r="G1697">
        <f>_xlfn.MAXIFS(Crypto[Close],Crypto[Name],Crypto[[#This Row],[Name]],Crypto[Date],"&lt;="&amp;Crypto[[#This Row],[Date]])</f>
        <v>261.86975000000001</v>
      </c>
      <c r="H1697" s="3">
        <f>(Crypto[[#This Row],[Close]]/Crypto[[#This Row],[Peak Close]])-1</f>
        <v>-0.21391313811541812</v>
      </c>
      <c r="I1697">
        <v>203.93673999999999</v>
      </c>
      <c r="J1697" s="1">
        <v>45892</v>
      </c>
      <c r="K1697" s="3">
        <v>9.3932559675123806E-3</v>
      </c>
      <c r="L1697">
        <v>11456987571</v>
      </c>
      <c r="M1697" s="2" t="s">
        <v>14</v>
      </c>
    </row>
    <row r="1698" spans="1:13" x14ac:dyDescent="0.3">
      <c r="A1698" s="1">
        <v>45894</v>
      </c>
      <c r="B1698" s="2" t="s">
        <v>13</v>
      </c>
      <c r="C1698">
        <v>205.85543999999999</v>
      </c>
      <c r="D1698">
        <v>213.00613000000001</v>
      </c>
      <c r="E1698">
        <v>186.02504999999999</v>
      </c>
      <c r="F1698">
        <v>187.27843999999999</v>
      </c>
      <c r="G1698">
        <f>_xlfn.MAXIFS(Crypto[Close],Crypto[Name],Crypto[[#This Row],[Name]],Crypto[Date],"&lt;="&amp;Crypto[[#This Row],[Date]])</f>
        <v>261.86975000000001</v>
      </c>
      <c r="H1698" s="3">
        <f>(Crypto[[#This Row],[Close]]/Crypto[[#This Row],[Peak Close]])-1</f>
        <v>-0.28484126173412549</v>
      </c>
      <c r="I1698">
        <v>205.85237000000001</v>
      </c>
      <c r="J1698" s="1">
        <v>45893</v>
      </c>
      <c r="K1698" s="3">
        <v>-9.0229371660865601E-2</v>
      </c>
      <c r="L1698">
        <v>13048248034</v>
      </c>
      <c r="M1698" s="2" t="s">
        <v>14</v>
      </c>
    </row>
    <row r="1699" spans="1:13" x14ac:dyDescent="0.3">
      <c r="A1699" s="1">
        <v>45895</v>
      </c>
      <c r="B1699" s="2" t="s">
        <v>13</v>
      </c>
      <c r="C1699">
        <v>187.26841999999999</v>
      </c>
      <c r="D1699">
        <v>197.84653</v>
      </c>
      <c r="E1699">
        <v>186.17345</v>
      </c>
      <c r="F1699">
        <v>195.90509</v>
      </c>
      <c r="G1699">
        <f>_xlfn.MAXIFS(Crypto[Close],Crypto[Name],Crypto[[#This Row],[Name]],Crypto[Date],"&lt;="&amp;Crypto[[#This Row],[Date]])</f>
        <v>261.86975000000001</v>
      </c>
      <c r="H1699" s="3">
        <f>(Crypto[[#This Row],[Close]]/Crypto[[#This Row],[Peak Close]])-1</f>
        <v>-0.25189873973607113</v>
      </c>
      <c r="I1699">
        <v>187.27843999999999</v>
      </c>
      <c r="J1699" s="1">
        <v>45894</v>
      </c>
      <c r="K1699" s="3">
        <v>4.6063230770183802E-2</v>
      </c>
      <c r="L1699">
        <v>8032115173</v>
      </c>
      <c r="M1699" s="2" t="s">
        <v>14</v>
      </c>
    </row>
    <row r="1700" spans="1:13" x14ac:dyDescent="0.3">
      <c r="A1700" s="1">
        <v>45896</v>
      </c>
      <c r="B1700" s="2" t="s">
        <v>13</v>
      </c>
      <c r="C1700">
        <v>195.90601000000001</v>
      </c>
      <c r="D1700">
        <v>211.85757000000001</v>
      </c>
      <c r="E1700">
        <v>194.06310999999999</v>
      </c>
      <c r="F1700">
        <v>202.92337000000001</v>
      </c>
      <c r="G1700">
        <f>_xlfn.MAXIFS(Crypto[Close],Crypto[Name],Crypto[[#This Row],[Name]],Crypto[Date],"&lt;="&amp;Crypto[[#This Row],[Date]])</f>
        <v>261.86975000000001</v>
      </c>
      <c r="H1700" s="3">
        <f>(Crypto[[#This Row],[Close]]/Crypto[[#This Row],[Peak Close]])-1</f>
        <v>-0.22509808788529417</v>
      </c>
      <c r="I1700">
        <v>195.90509</v>
      </c>
      <c r="J1700" s="1">
        <v>45895</v>
      </c>
      <c r="K1700" s="3">
        <v>3.58248986792533E-2</v>
      </c>
      <c r="L1700">
        <v>12883119559</v>
      </c>
      <c r="M1700" s="2" t="s">
        <v>14</v>
      </c>
    </row>
    <row r="1701" spans="1:13" x14ac:dyDescent="0.3">
      <c r="A1701" s="1">
        <v>45897</v>
      </c>
      <c r="B1701" s="2" t="s">
        <v>13</v>
      </c>
      <c r="C1701">
        <v>202.92571000000001</v>
      </c>
      <c r="D1701">
        <v>216.0874</v>
      </c>
      <c r="E1701">
        <v>202.00713999999999</v>
      </c>
      <c r="F1701">
        <v>214.40564000000001</v>
      </c>
      <c r="G1701">
        <f>_xlfn.MAXIFS(Crypto[Close],Crypto[Name],Crypto[[#This Row],[Name]],Crypto[Date],"&lt;="&amp;Crypto[[#This Row],[Date]])</f>
        <v>261.86975000000001</v>
      </c>
      <c r="H1701" s="3">
        <f>(Crypto[[#This Row],[Close]]/Crypto[[#This Row],[Peak Close]])-1</f>
        <v>-0.18125083175891832</v>
      </c>
      <c r="I1701">
        <v>202.92337000000001</v>
      </c>
      <c r="J1701" s="1">
        <v>45896</v>
      </c>
      <c r="K1701" s="3">
        <v>5.6584266267606299E-2</v>
      </c>
      <c r="L1701">
        <v>12079041801</v>
      </c>
      <c r="M1701" s="2" t="s">
        <v>14</v>
      </c>
    </row>
    <row r="1702" spans="1:13" x14ac:dyDescent="0.3">
      <c r="A1702" s="1">
        <v>45898</v>
      </c>
      <c r="B1702" s="2" t="s">
        <v>13</v>
      </c>
      <c r="C1702">
        <v>214.40134</v>
      </c>
      <c r="D1702">
        <v>217.83670000000001</v>
      </c>
      <c r="E1702">
        <v>200.43593999999999</v>
      </c>
      <c r="F1702">
        <v>205.22</v>
      </c>
      <c r="G1702">
        <f>_xlfn.MAXIFS(Crypto[Close],Crypto[Name],Crypto[[#This Row],[Name]],Crypto[Date],"&lt;="&amp;Crypto[[#This Row],[Date]])</f>
        <v>261.86975000000001</v>
      </c>
      <c r="H1702" s="3">
        <f>(Crypto[[#This Row],[Close]]/Crypto[[#This Row],[Peak Close]])-1</f>
        <v>-0.21632796457017278</v>
      </c>
      <c r="I1702">
        <v>214.40564000000001</v>
      </c>
      <c r="J1702" s="1">
        <v>45897</v>
      </c>
      <c r="K1702" s="3">
        <v>-4.2842343139854001E-2</v>
      </c>
      <c r="L1702">
        <v>14055051455</v>
      </c>
      <c r="M1702" s="2" t="s">
        <v>14</v>
      </c>
    </row>
    <row r="1703" spans="1:13" x14ac:dyDescent="0.3">
      <c r="A1703" s="1">
        <v>45899</v>
      </c>
      <c r="B1703" s="2" t="s">
        <v>13</v>
      </c>
      <c r="C1703">
        <v>205.21448000000001</v>
      </c>
      <c r="D1703">
        <v>206.8004</v>
      </c>
      <c r="E1703">
        <v>197.89420000000001</v>
      </c>
      <c r="F1703">
        <v>202.86014</v>
      </c>
      <c r="G1703">
        <f>_xlfn.MAXIFS(Crypto[Close],Crypto[Name],Crypto[[#This Row],[Name]],Crypto[Date],"&lt;="&amp;Crypto[[#This Row],[Date]])</f>
        <v>261.86975000000001</v>
      </c>
      <c r="H1703" s="3">
        <f>(Crypto[[#This Row],[Close]]/Crypto[[#This Row],[Peak Close]])-1</f>
        <v>-0.22533954379992349</v>
      </c>
      <c r="I1703">
        <v>205.22</v>
      </c>
      <c r="J1703" s="1">
        <v>45898</v>
      </c>
      <c r="K1703" s="3">
        <v>-1.1499171620699701E-2</v>
      </c>
      <c r="L1703">
        <v>5828701739</v>
      </c>
      <c r="M1703" s="2" t="s">
        <v>14</v>
      </c>
    </row>
    <row r="1704" spans="1:13" x14ac:dyDescent="0.3">
      <c r="A1704" s="1">
        <v>45900</v>
      </c>
      <c r="B1704" s="2" t="s">
        <v>13</v>
      </c>
      <c r="C1704">
        <v>202.85719</v>
      </c>
      <c r="D1704">
        <v>206.50695999999999</v>
      </c>
      <c r="E1704">
        <v>200.65669</v>
      </c>
      <c r="F1704">
        <v>200.86354</v>
      </c>
      <c r="G1704">
        <f>_xlfn.MAXIFS(Crypto[Close],Crypto[Name],Crypto[[#This Row],[Name]],Crypto[Date],"&lt;="&amp;Crypto[[#This Row],[Date]])</f>
        <v>261.86975000000001</v>
      </c>
      <c r="H1704" s="3">
        <f>(Crypto[[#This Row],[Close]]/Crypto[[#This Row],[Peak Close]])-1</f>
        <v>-0.23296394486190175</v>
      </c>
      <c r="I1704">
        <v>202.86014</v>
      </c>
      <c r="J1704" s="1">
        <v>45899</v>
      </c>
      <c r="K1704" s="3">
        <v>-9.8422489504345293E-3</v>
      </c>
      <c r="L1704">
        <v>5028997406</v>
      </c>
      <c r="M1704" s="2" t="s">
        <v>14</v>
      </c>
    </row>
    <row r="1705" spans="1:13" x14ac:dyDescent="0.3">
      <c r="A1705" s="1">
        <v>45901</v>
      </c>
      <c r="B1705" s="2" t="s">
        <v>13</v>
      </c>
      <c r="C1705">
        <v>200.86186000000001</v>
      </c>
      <c r="D1705">
        <v>204.21785</v>
      </c>
      <c r="E1705">
        <v>194.37801999999999</v>
      </c>
      <c r="F1705">
        <v>197.10834</v>
      </c>
      <c r="G1705">
        <f>_xlfn.MAXIFS(Crypto[Close],Crypto[Name],Crypto[[#This Row],[Name]],Crypto[Date],"&lt;="&amp;Crypto[[#This Row],[Date]])</f>
        <v>261.86975000000001</v>
      </c>
      <c r="H1705" s="3">
        <f>(Crypto[[#This Row],[Close]]/Crypto[[#This Row],[Peak Close]])-1</f>
        <v>-0.24730389821657528</v>
      </c>
      <c r="I1705">
        <v>200.86354</v>
      </c>
      <c r="J1705" s="1">
        <v>45900</v>
      </c>
      <c r="K1705" s="3">
        <v>-1.8695279392168401E-2</v>
      </c>
      <c r="L1705">
        <v>7253329838</v>
      </c>
      <c r="M1705" s="2" t="s">
        <v>14</v>
      </c>
    </row>
    <row r="1706" spans="1:13" x14ac:dyDescent="0.3">
      <c r="A1706" s="1">
        <v>45902</v>
      </c>
      <c r="B1706" s="2" t="s">
        <v>13</v>
      </c>
      <c r="C1706">
        <v>197.10959</v>
      </c>
      <c r="D1706">
        <v>209.48154</v>
      </c>
      <c r="E1706">
        <v>197.09366</v>
      </c>
      <c r="F1706">
        <v>209.48154</v>
      </c>
      <c r="G1706">
        <f>_xlfn.MAXIFS(Crypto[Close],Crypto[Name],Crypto[[#This Row],[Name]],Crypto[Date],"&lt;="&amp;Crypto[[#This Row],[Date]])</f>
        <v>261.86975000000001</v>
      </c>
      <c r="H1706" s="3">
        <f>(Crypto[[#This Row],[Close]]/Crypto[[#This Row],[Peak Close]])-1</f>
        <v>-0.20005445455231086</v>
      </c>
      <c r="I1706">
        <v>197.10834</v>
      </c>
      <c r="J1706" s="1">
        <v>45901</v>
      </c>
      <c r="K1706" s="3">
        <v>6.2773599534144506E-2</v>
      </c>
      <c r="L1706">
        <v>8625200488</v>
      </c>
      <c r="M1706" s="2" t="s">
        <v>14</v>
      </c>
    </row>
    <row r="1707" spans="1:13" x14ac:dyDescent="0.3">
      <c r="A1707" s="1">
        <v>45903</v>
      </c>
      <c r="B1707" s="2" t="s">
        <v>13</v>
      </c>
      <c r="C1707">
        <v>209.48278999999999</v>
      </c>
      <c r="D1707">
        <v>212.82352</v>
      </c>
      <c r="E1707">
        <v>207.58408</v>
      </c>
      <c r="F1707">
        <v>210.74630999999999</v>
      </c>
      <c r="G1707">
        <f>_xlfn.MAXIFS(Crypto[Close],Crypto[Name],Crypto[[#This Row],[Name]],Crypto[Date],"&lt;="&amp;Crypto[[#This Row],[Date]])</f>
        <v>261.86975000000001</v>
      </c>
      <c r="H1707" s="3">
        <f>(Crypto[[#This Row],[Close]]/Crypto[[#This Row],[Peak Close]])-1</f>
        <v>-0.19522468708203222</v>
      </c>
      <c r="I1707">
        <v>209.48154</v>
      </c>
      <c r="J1707" s="1">
        <v>45902</v>
      </c>
      <c r="K1707" s="3">
        <v>6.0376203077368998E-3</v>
      </c>
      <c r="L1707">
        <v>6966454259</v>
      </c>
      <c r="M1707" s="2" t="s">
        <v>14</v>
      </c>
    </row>
    <row r="1708" spans="1:13" x14ac:dyDescent="0.3">
      <c r="A1708" s="1">
        <v>45904</v>
      </c>
      <c r="B1708" s="2" t="s">
        <v>13</v>
      </c>
      <c r="C1708">
        <v>210.74630999999999</v>
      </c>
      <c r="D1708">
        <v>211.79500999999999</v>
      </c>
      <c r="E1708">
        <v>202.12701000000001</v>
      </c>
      <c r="F1708">
        <v>202.56018</v>
      </c>
      <c r="G1708">
        <f>_xlfn.MAXIFS(Crypto[Close],Crypto[Name],Crypto[[#This Row],[Name]],Crypto[Date],"&lt;="&amp;Crypto[[#This Row],[Date]])</f>
        <v>261.86975000000001</v>
      </c>
      <c r="H1708" s="3">
        <f>(Crypto[[#This Row],[Close]]/Crypto[[#This Row],[Peak Close]])-1</f>
        <v>-0.22648499874460493</v>
      </c>
      <c r="I1708">
        <v>210.74630999999999</v>
      </c>
      <c r="J1708" s="1">
        <v>45903</v>
      </c>
      <c r="K1708" s="3">
        <v>-3.8843527082395801E-2</v>
      </c>
      <c r="L1708">
        <v>5241887525</v>
      </c>
      <c r="M1708" s="2" t="s">
        <v>14</v>
      </c>
    </row>
    <row r="1709" spans="1:13" x14ac:dyDescent="0.3">
      <c r="A1709" s="1">
        <v>45905</v>
      </c>
      <c r="B1709" s="2" t="s">
        <v>13</v>
      </c>
      <c r="C1709">
        <v>202.54674</v>
      </c>
      <c r="D1709">
        <v>209.86006</v>
      </c>
      <c r="E1709">
        <v>201.18001000000001</v>
      </c>
      <c r="F1709">
        <v>203.49852000000001</v>
      </c>
      <c r="G1709">
        <f>_xlfn.MAXIFS(Crypto[Close],Crypto[Name],Crypto[[#This Row],[Name]],Crypto[Date],"&lt;="&amp;Crypto[[#This Row],[Date]])</f>
        <v>261.86975000000001</v>
      </c>
      <c r="H1709" s="3">
        <f>(Crypto[[#This Row],[Close]]/Crypto[[#This Row],[Peak Close]])-1</f>
        <v>-0.22290176700439812</v>
      </c>
      <c r="I1709">
        <v>202.56018</v>
      </c>
      <c r="J1709" s="1">
        <v>45904</v>
      </c>
      <c r="K1709" s="3">
        <v>4.6324010968000302E-3</v>
      </c>
      <c r="L1709">
        <v>7780086538</v>
      </c>
      <c r="M1709" s="2" t="s">
        <v>14</v>
      </c>
    </row>
    <row r="1710" spans="1:13" x14ac:dyDescent="0.3">
      <c r="A1710" s="1">
        <v>45906</v>
      </c>
      <c r="B1710" s="2" t="s">
        <v>13</v>
      </c>
      <c r="C1710">
        <v>203.49852000000001</v>
      </c>
      <c r="D1710">
        <v>204.55753999999999</v>
      </c>
      <c r="E1710">
        <v>199.6404</v>
      </c>
      <c r="F1710">
        <v>200.24630999999999</v>
      </c>
      <c r="G1710">
        <f>_xlfn.MAXIFS(Crypto[Close],Crypto[Name],Crypto[[#This Row],[Name]],Crypto[Date],"&lt;="&amp;Crypto[[#This Row],[Date]])</f>
        <v>261.86975000000001</v>
      </c>
      <c r="H1710" s="3">
        <f>(Crypto[[#This Row],[Close]]/Crypto[[#This Row],[Peak Close]])-1</f>
        <v>-0.23532095631511474</v>
      </c>
      <c r="I1710">
        <v>203.49852000000001</v>
      </c>
      <c r="J1710" s="1">
        <v>45905</v>
      </c>
      <c r="K1710" s="3">
        <v>-1.5981492150409799E-2</v>
      </c>
      <c r="L1710">
        <v>3057210360</v>
      </c>
      <c r="M1710" s="2" t="s">
        <v>14</v>
      </c>
    </row>
    <row r="1711" spans="1:13" x14ac:dyDescent="0.3">
      <c r="A1711" s="1">
        <v>45907</v>
      </c>
      <c r="B1711" s="2" t="s">
        <v>13</v>
      </c>
      <c r="C1711">
        <v>200.24735999999999</v>
      </c>
      <c r="D1711">
        <v>207.86734000000001</v>
      </c>
      <c r="E1711">
        <v>200.2285</v>
      </c>
      <c r="F1711">
        <v>206.46818999999999</v>
      </c>
      <c r="G1711">
        <f>_xlfn.MAXIFS(Crypto[Close],Crypto[Name],Crypto[[#This Row],[Name]],Crypto[Date],"&lt;="&amp;Crypto[[#This Row],[Date]])</f>
        <v>261.86975000000001</v>
      </c>
      <c r="H1711" s="3">
        <f>(Crypto[[#This Row],[Close]]/Crypto[[#This Row],[Peak Close]])-1</f>
        <v>-0.2115615110183594</v>
      </c>
      <c r="I1711">
        <v>200.24630999999999</v>
      </c>
      <c r="J1711" s="1">
        <v>45906</v>
      </c>
      <c r="K1711" s="3">
        <v>3.1071134344498E-2</v>
      </c>
      <c r="L1711">
        <v>4153166545</v>
      </c>
      <c r="M1711" s="2" t="s">
        <v>14</v>
      </c>
    </row>
    <row r="1712" spans="1:13" x14ac:dyDescent="0.3">
      <c r="A1712" s="1">
        <v>45908</v>
      </c>
      <c r="B1712" s="2" t="s">
        <v>13</v>
      </c>
      <c r="C1712">
        <v>206.46454</v>
      </c>
      <c r="D1712">
        <v>216.89977999999999</v>
      </c>
      <c r="E1712">
        <v>205.71736000000001</v>
      </c>
      <c r="F1712">
        <v>214.18639999999999</v>
      </c>
      <c r="G1712">
        <f>_xlfn.MAXIFS(Crypto[Close],Crypto[Name],Crypto[[#This Row],[Name]],Crypto[Date],"&lt;="&amp;Crypto[[#This Row],[Date]])</f>
        <v>261.86975000000001</v>
      </c>
      <c r="H1712" s="3">
        <f>(Crypto[[#This Row],[Close]]/Crypto[[#This Row],[Peak Close]])-1</f>
        <v>-0.18208804186050509</v>
      </c>
      <c r="I1712">
        <v>206.46818999999999</v>
      </c>
      <c r="J1712" s="1">
        <v>45907</v>
      </c>
      <c r="K1712" s="3">
        <v>3.7382078081858498E-2</v>
      </c>
      <c r="L1712">
        <v>10019366594</v>
      </c>
      <c r="M1712" s="2" t="s">
        <v>14</v>
      </c>
    </row>
    <row r="1713" spans="1:13" x14ac:dyDescent="0.3">
      <c r="A1713" s="1">
        <v>45909</v>
      </c>
      <c r="B1713" s="2" t="s">
        <v>13</v>
      </c>
      <c r="C1713">
        <v>214.18654000000001</v>
      </c>
      <c r="D1713">
        <v>219.52350000000001</v>
      </c>
      <c r="E1713">
        <v>211.15825000000001</v>
      </c>
      <c r="F1713">
        <v>217.25068999999999</v>
      </c>
      <c r="G1713">
        <f>_xlfn.MAXIFS(Crypto[Close],Crypto[Name],Crypto[[#This Row],[Name]],Crypto[Date],"&lt;="&amp;Crypto[[#This Row],[Date]])</f>
        <v>261.86975000000001</v>
      </c>
      <c r="H1713" s="3">
        <f>(Crypto[[#This Row],[Close]]/Crypto[[#This Row],[Peak Close]])-1</f>
        <v>-0.1703864612082916</v>
      </c>
      <c r="I1713">
        <v>214.18639999999999</v>
      </c>
      <c r="J1713" s="1">
        <v>45908</v>
      </c>
      <c r="K1713" s="3">
        <v>1.43066506556906E-2</v>
      </c>
      <c r="L1713">
        <v>8798692220</v>
      </c>
      <c r="M1713" s="2" t="s">
        <v>14</v>
      </c>
    </row>
    <row r="1714" spans="1:13" x14ac:dyDescent="0.3">
      <c r="A1714" s="1">
        <v>45910</v>
      </c>
      <c r="B1714" s="2" t="s">
        <v>13</v>
      </c>
      <c r="C1714">
        <v>217.25040000000001</v>
      </c>
      <c r="D1714">
        <v>225.51247000000001</v>
      </c>
      <c r="E1714">
        <v>215.27251999999999</v>
      </c>
      <c r="F1714">
        <v>223.98690999999999</v>
      </c>
      <c r="G1714">
        <f>_xlfn.MAXIFS(Crypto[Close],Crypto[Name],Crypto[[#This Row],[Name]],Crypto[Date],"&lt;="&amp;Crypto[[#This Row],[Date]])</f>
        <v>261.86975000000001</v>
      </c>
      <c r="H1714" s="3">
        <f>(Crypto[[#This Row],[Close]]/Crypto[[#This Row],[Peak Close]])-1</f>
        <v>-0.14466290970988449</v>
      </c>
      <c r="I1714">
        <v>217.25068999999999</v>
      </c>
      <c r="J1714" s="1">
        <v>45909</v>
      </c>
      <c r="K1714" s="3">
        <v>3.1006667918983401E-2</v>
      </c>
      <c r="L1714">
        <v>9070263027</v>
      </c>
      <c r="M1714" s="2" t="s">
        <v>14</v>
      </c>
    </row>
    <row r="1715" spans="1:13" x14ac:dyDescent="0.3">
      <c r="A1715" s="1">
        <v>45911</v>
      </c>
      <c r="B1715" s="2" t="s">
        <v>13</v>
      </c>
      <c r="C1715">
        <v>223.98569000000001</v>
      </c>
      <c r="D1715">
        <v>228.90882999999999</v>
      </c>
      <c r="E1715">
        <v>222.02515</v>
      </c>
      <c r="F1715">
        <v>228.75618</v>
      </c>
      <c r="G1715">
        <f>_xlfn.MAXIFS(Crypto[Close],Crypto[Name],Crypto[[#This Row],[Name]],Crypto[Date],"&lt;="&amp;Crypto[[#This Row],[Date]])</f>
        <v>261.86975000000001</v>
      </c>
      <c r="H1715" s="3">
        <f>(Crypto[[#This Row],[Close]]/Crypto[[#This Row],[Peak Close]])-1</f>
        <v>-0.12645053504652604</v>
      </c>
      <c r="I1715">
        <v>223.98690999999999</v>
      </c>
      <c r="J1715" s="1">
        <v>45910</v>
      </c>
      <c r="K1715" s="3">
        <v>2.12926282165329E-2</v>
      </c>
      <c r="L1715">
        <v>9580815361</v>
      </c>
      <c r="M1715" s="2" t="s">
        <v>14</v>
      </c>
    </row>
    <row r="1716" spans="1:13" x14ac:dyDescent="0.3">
      <c r="A1716" s="1">
        <v>45912</v>
      </c>
      <c r="B1716" s="2" t="s">
        <v>13</v>
      </c>
      <c r="C1716">
        <v>228.75623999999999</v>
      </c>
      <c r="D1716">
        <v>243.78890999999999</v>
      </c>
      <c r="E1716">
        <v>228.26355000000001</v>
      </c>
      <c r="F1716">
        <v>242.30328</v>
      </c>
      <c r="G1716">
        <f>_xlfn.MAXIFS(Crypto[Close],Crypto[Name],Crypto[[#This Row],[Name]],Crypto[Date],"&lt;="&amp;Crypto[[#This Row],[Date]])</f>
        <v>261.86975000000001</v>
      </c>
      <c r="H1716" s="3">
        <f>(Crypto[[#This Row],[Close]]/Crypto[[#This Row],[Peak Close]])-1</f>
        <v>-7.4718328482002994E-2</v>
      </c>
      <c r="I1716">
        <v>228.75618</v>
      </c>
      <c r="J1716" s="1">
        <v>45911</v>
      </c>
      <c r="K1716" s="3">
        <v>5.9220695152366998E-2</v>
      </c>
      <c r="L1716">
        <v>13008621197</v>
      </c>
      <c r="M1716" s="2" t="s">
        <v>14</v>
      </c>
    </row>
    <row r="1717" spans="1:13" x14ac:dyDescent="0.3">
      <c r="A1717" s="1">
        <v>45913</v>
      </c>
      <c r="B1717" s="2" t="s">
        <v>13</v>
      </c>
      <c r="C1717">
        <v>242.30098000000001</v>
      </c>
      <c r="D1717">
        <v>244.14328</v>
      </c>
      <c r="E1717">
        <v>236.47329999999999</v>
      </c>
      <c r="F1717">
        <v>242.5959</v>
      </c>
      <c r="G1717">
        <f>_xlfn.MAXIFS(Crypto[Close],Crypto[Name],Crypto[[#This Row],[Name]],Crypto[Date],"&lt;="&amp;Crypto[[#This Row],[Date]])</f>
        <v>261.86975000000001</v>
      </c>
      <c r="H1717" s="3">
        <f>(Crypto[[#This Row],[Close]]/Crypto[[#This Row],[Peak Close]])-1</f>
        <v>-7.3600902738861662E-2</v>
      </c>
      <c r="I1717">
        <v>242.30328</v>
      </c>
      <c r="J1717" s="1">
        <v>45912</v>
      </c>
      <c r="K1717" s="3">
        <v>1.20766008615319E-3</v>
      </c>
      <c r="L1717">
        <v>7478581447</v>
      </c>
      <c r="M1717" s="2" t="s">
        <v>14</v>
      </c>
    </row>
    <row r="1718" spans="1:13" x14ac:dyDescent="0.3">
      <c r="A1718" s="1">
        <v>45914</v>
      </c>
      <c r="B1718" s="2" t="s">
        <v>13</v>
      </c>
      <c r="C1718">
        <v>242.59559999999999</v>
      </c>
      <c r="D1718">
        <v>249.12413000000001</v>
      </c>
      <c r="E1718">
        <v>240.21393</v>
      </c>
      <c r="F1718">
        <v>240.55769000000001</v>
      </c>
      <c r="G1718">
        <f>_xlfn.MAXIFS(Crypto[Close],Crypto[Name],Crypto[[#This Row],[Name]],Crypto[Date],"&lt;="&amp;Crypto[[#This Row],[Date]])</f>
        <v>261.86975000000001</v>
      </c>
      <c r="H1718" s="3">
        <f>(Crypto[[#This Row],[Close]]/Crypto[[#This Row],[Peak Close]])-1</f>
        <v>-8.138419958777221E-2</v>
      </c>
      <c r="I1718">
        <v>242.5959</v>
      </c>
      <c r="J1718" s="1">
        <v>45913</v>
      </c>
      <c r="K1718" s="3">
        <v>-8.4016671345228493E-3</v>
      </c>
      <c r="L1718">
        <v>9358190854</v>
      </c>
      <c r="M1718" s="2" t="s">
        <v>14</v>
      </c>
    </row>
    <row r="1719" spans="1:13" x14ac:dyDescent="0.3">
      <c r="A1719" s="1">
        <v>45915</v>
      </c>
      <c r="B1719" s="2" t="s">
        <v>13</v>
      </c>
      <c r="C1719">
        <v>240.54810000000001</v>
      </c>
      <c r="D1719">
        <v>244.00040999999999</v>
      </c>
      <c r="E1719">
        <v>230.48401000000001</v>
      </c>
      <c r="F1719">
        <v>234.35756000000001</v>
      </c>
      <c r="G1719">
        <f>_xlfn.MAXIFS(Crypto[Close],Crypto[Name],Crypto[[#This Row],[Name]],Crypto[Date],"&lt;="&amp;Crypto[[#This Row],[Date]])</f>
        <v>261.86975000000001</v>
      </c>
      <c r="H1719" s="3">
        <f>(Crypto[[#This Row],[Close]]/Crypto[[#This Row],[Peak Close]])-1</f>
        <v>-0.10506058832683041</v>
      </c>
      <c r="I1719">
        <v>240.55769000000001</v>
      </c>
      <c r="J1719" s="1">
        <v>45914</v>
      </c>
      <c r="K1719" s="3">
        <v>-2.5773983779109302E-2</v>
      </c>
      <c r="L1719">
        <v>10017744936</v>
      </c>
      <c r="M1719" s="2" t="s">
        <v>14</v>
      </c>
    </row>
    <row r="1720" spans="1:13" x14ac:dyDescent="0.3">
      <c r="A1720" s="1">
        <v>45916</v>
      </c>
      <c r="B1720" s="2" t="s">
        <v>13</v>
      </c>
      <c r="C1720">
        <v>234.35921999999999</v>
      </c>
      <c r="D1720">
        <v>240.68351999999999</v>
      </c>
      <c r="E1720">
        <v>231.87297000000001</v>
      </c>
      <c r="F1720">
        <v>236.98957999999999</v>
      </c>
      <c r="G1720">
        <f>_xlfn.MAXIFS(Crypto[Close],Crypto[Name],Crypto[[#This Row],[Name]],Crypto[Date],"&lt;="&amp;Crypto[[#This Row],[Date]])</f>
        <v>261.86975000000001</v>
      </c>
      <c r="H1720" s="3">
        <f>(Crypto[[#This Row],[Close]]/Crypto[[#This Row],[Peak Close]])-1</f>
        <v>-9.5009713798558382E-2</v>
      </c>
      <c r="I1720">
        <v>234.35756000000001</v>
      </c>
      <c r="J1720" s="1">
        <v>45915</v>
      </c>
      <c r="K1720" s="3">
        <v>1.12307876903992E-2</v>
      </c>
      <c r="L1720">
        <v>7521208086</v>
      </c>
      <c r="M1720" s="2" t="s">
        <v>14</v>
      </c>
    </row>
    <row r="1721" spans="1:13" x14ac:dyDescent="0.3">
      <c r="A1721" s="1">
        <v>45917</v>
      </c>
      <c r="B1721" s="2" t="s">
        <v>13</v>
      </c>
      <c r="C1721">
        <v>236.97752</v>
      </c>
      <c r="D1721">
        <v>246.46394000000001</v>
      </c>
      <c r="E1721">
        <v>232.77396999999999</v>
      </c>
      <c r="F1721">
        <v>244.85745</v>
      </c>
      <c r="G1721">
        <f>_xlfn.MAXIFS(Crypto[Close],Crypto[Name],Crypto[[#This Row],[Name]],Crypto[Date],"&lt;="&amp;Crypto[[#This Row],[Date]])</f>
        <v>261.86975000000001</v>
      </c>
      <c r="H1721" s="3">
        <f>(Crypto[[#This Row],[Close]]/Crypto[[#This Row],[Peak Close]])-1</f>
        <v>-6.4964739149901862E-2</v>
      </c>
      <c r="I1721">
        <v>236.98957999999999</v>
      </c>
      <c r="J1721" s="1">
        <v>45916</v>
      </c>
      <c r="K1721" s="3">
        <v>3.3199223358259103E-2</v>
      </c>
      <c r="L1721">
        <v>10420751509</v>
      </c>
      <c r="M1721" s="2" t="s">
        <v>14</v>
      </c>
    </row>
    <row r="1722" spans="1:13" x14ac:dyDescent="0.3">
      <c r="A1722" s="1">
        <v>45918</v>
      </c>
      <c r="B1722" s="2" t="s">
        <v>13</v>
      </c>
      <c r="C1722">
        <v>244.85130000000001</v>
      </c>
      <c r="D1722">
        <v>253.2099</v>
      </c>
      <c r="E1722">
        <v>242.90658999999999</v>
      </c>
      <c r="F1722">
        <v>247.63713000000001</v>
      </c>
      <c r="G1722">
        <f>_xlfn.MAXIFS(Crypto[Close],Crypto[Name],Crypto[[#This Row],[Name]],Crypto[Date],"&lt;="&amp;Crypto[[#This Row],[Date]])</f>
        <v>261.86975000000001</v>
      </c>
      <c r="H1722" s="3">
        <f>(Crypto[[#This Row],[Close]]/Crypto[[#This Row],[Peak Close]])-1</f>
        <v>-5.4349996515443255E-2</v>
      </c>
      <c r="I1722">
        <v>244.85745</v>
      </c>
      <c r="J1722" s="1">
        <v>45917</v>
      </c>
      <c r="K1722" s="3">
        <v>1.13522378020355E-2</v>
      </c>
      <c r="L1722">
        <v>9258651570</v>
      </c>
      <c r="M1722" s="2" t="s">
        <v>14</v>
      </c>
    </row>
    <row r="1723" spans="1:13" x14ac:dyDescent="0.3">
      <c r="A1723" s="1">
        <v>45919</v>
      </c>
      <c r="B1723" s="2" t="s">
        <v>13</v>
      </c>
      <c r="C1723">
        <v>247.63824</v>
      </c>
      <c r="D1723">
        <v>248.50660999999999</v>
      </c>
      <c r="E1723">
        <v>235.87192999999999</v>
      </c>
      <c r="F1723">
        <v>238.55269999999999</v>
      </c>
      <c r="G1723">
        <f>_xlfn.MAXIFS(Crypto[Close],Crypto[Name],Crypto[[#This Row],[Name]],Crypto[Date],"&lt;="&amp;Crypto[[#This Row],[Date]])</f>
        <v>261.86975000000001</v>
      </c>
      <c r="H1723" s="3">
        <f>(Crypto[[#This Row],[Close]]/Crypto[[#This Row],[Peak Close]])-1</f>
        <v>-8.9040639478213945E-2</v>
      </c>
      <c r="I1723">
        <v>247.63713000000001</v>
      </c>
      <c r="J1723" s="1">
        <v>45918</v>
      </c>
      <c r="K1723" s="3">
        <v>-3.6684442272449297E-2</v>
      </c>
      <c r="L1723">
        <v>7513642552</v>
      </c>
      <c r="M1723" s="2" t="s">
        <v>14</v>
      </c>
    </row>
    <row r="1724" spans="1:13" x14ac:dyDescent="0.3">
      <c r="A1724" s="1">
        <v>45920</v>
      </c>
      <c r="B1724" s="2" t="s">
        <v>13</v>
      </c>
      <c r="C1724">
        <v>238.54975999999999</v>
      </c>
      <c r="D1724">
        <v>240.99896000000001</v>
      </c>
      <c r="E1724">
        <v>237.17776000000001</v>
      </c>
      <c r="F1724">
        <v>239.59247999999999</v>
      </c>
      <c r="G1724">
        <f>_xlfn.MAXIFS(Crypto[Close],Crypto[Name],Crypto[[#This Row],[Name]],Crypto[Date],"&lt;="&amp;Crypto[[#This Row],[Date]])</f>
        <v>261.86975000000001</v>
      </c>
      <c r="H1724" s="3">
        <f>(Crypto[[#This Row],[Close]]/Crypto[[#This Row],[Peak Close]])-1</f>
        <v>-8.5070039590292579E-2</v>
      </c>
      <c r="I1724">
        <v>238.55269999999999</v>
      </c>
      <c r="J1724" s="1">
        <v>45919</v>
      </c>
      <c r="K1724" s="3">
        <v>4.3587014525511896E-3</v>
      </c>
      <c r="L1724">
        <v>3518711912</v>
      </c>
      <c r="M1724" s="2" t="s">
        <v>14</v>
      </c>
    </row>
    <row r="1725" spans="1:13" x14ac:dyDescent="0.3">
      <c r="A1725" s="1">
        <v>45921</v>
      </c>
      <c r="B1725" s="2" t="s">
        <v>13</v>
      </c>
      <c r="C1725">
        <v>239.59331</v>
      </c>
      <c r="D1725">
        <v>241.80893</v>
      </c>
      <c r="E1725">
        <v>235.71669</v>
      </c>
      <c r="F1725">
        <v>236.57544999999999</v>
      </c>
      <c r="G1725">
        <f>_xlfn.MAXIFS(Crypto[Close],Crypto[Name],Crypto[[#This Row],[Name]],Crypto[Date],"&lt;="&amp;Crypto[[#This Row],[Date]])</f>
        <v>261.86975000000001</v>
      </c>
      <c r="H1725" s="3">
        <f>(Crypto[[#This Row],[Close]]/Crypto[[#This Row],[Peak Close]])-1</f>
        <v>-9.6591148844034191E-2</v>
      </c>
      <c r="I1725">
        <v>239.59247999999999</v>
      </c>
      <c r="J1725" s="1">
        <v>45920</v>
      </c>
      <c r="K1725" s="3">
        <v>-1.2592340126868801E-2</v>
      </c>
      <c r="L1725">
        <v>3513052984</v>
      </c>
      <c r="M1725" s="2" t="s">
        <v>14</v>
      </c>
    </row>
    <row r="1726" spans="1:13" x14ac:dyDescent="0.3">
      <c r="A1726" s="1">
        <v>45922</v>
      </c>
      <c r="B1726" s="2" t="s">
        <v>13</v>
      </c>
      <c r="C1726">
        <v>236.57422</v>
      </c>
      <c r="D1726">
        <v>236.86926</v>
      </c>
      <c r="E1726">
        <v>216.91776999999999</v>
      </c>
      <c r="F1726">
        <v>220.49644000000001</v>
      </c>
      <c r="G1726">
        <f>_xlfn.MAXIFS(Crypto[Close],Crypto[Name],Crypto[[#This Row],[Name]],Crypto[Date],"&lt;="&amp;Crypto[[#This Row],[Date]])</f>
        <v>261.86975000000001</v>
      </c>
      <c r="H1726" s="3">
        <f>(Crypto[[#This Row],[Close]]/Crypto[[#This Row],[Peak Close]])-1</f>
        <v>-0.1579919406498842</v>
      </c>
      <c r="I1726">
        <v>236.57544999999999</v>
      </c>
      <c r="J1726" s="1">
        <v>45921</v>
      </c>
      <c r="K1726" s="3">
        <v>-6.7965674375764604E-2</v>
      </c>
      <c r="L1726">
        <v>12102727916</v>
      </c>
      <c r="M1726" s="2" t="s">
        <v>14</v>
      </c>
    </row>
    <row r="1727" spans="1:13" x14ac:dyDescent="0.3">
      <c r="A1727" s="1">
        <v>45923</v>
      </c>
      <c r="B1727" s="2" t="s">
        <v>13</v>
      </c>
      <c r="C1727">
        <v>220.50390999999999</v>
      </c>
      <c r="D1727">
        <v>221.35005000000001</v>
      </c>
      <c r="E1727">
        <v>212.80286000000001</v>
      </c>
      <c r="F1727">
        <v>213.71729999999999</v>
      </c>
      <c r="G1727">
        <f>_xlfn.MAXIFS(Crypto[Close],Crypto[Name],Crypto[[#This Row],[Name]],Crypto[Date],"&lt;="&amp;Crypto[[#This Row],[Date]])</f>
        <v>261.86975000000001</v>
      </c>
      <c r="H1727" s="3">
        <f>(Crypto[[#This Row],[Close]]/Crypto[[#This Row],[Peak Close]])-1</f>
        <v>-0.18387939042214696</v>
      </c>
      <c r="I1727">
        <v>220.49644000000001</v>
      </c>
      <c r="J1727" s="1">
        <v>45922</v>
      </c>
      <c r="K1727" s="3">
        <v>-3.0744895473142402E-2</v>
      </c>
      <c r="L1727">
        <v>7373425460</v>
      </c>
      <c r="M1727" s="2" t="s">
        <v>14</v>
      </c>
    </row>
    <row r="1728" spans="1:13" x14ac:dyDescent="0.3">
      <c r="A1728" s="1">
        <v>45924</v>
      </c>
      <c r="B1728" s="2" t="s">
        <v>13</v>
      </c>
      <c r="C1728">
        <v>213.71072000000001</v>
      </c>
      <c r="D1728">
        <v>216.38019</v>
      </c>
      <c r="E1728">
        <v>206.04060000000001</v>
      </c>
      <c r="F1728">
        <v>211.75626</v>
      </c>
      <c r="G1728">
        <f>_xlfn.MAXIFS(Crypto[Close],Crypto[Name],Crypto[[#This Row],[Name]],Crypto[Date],"&lt;="&amp;Crypto[[#This Row],[Date]])</f>
        <v>261.86975000000001</v>
      </c>
      <c r="H1728" s="3">
        <f>(Crypto[[#This Row],[Close]]/Crypto[[#This Row],[Peak Close]])-1</f>
        <v>-0.19136799878565591</v>
      </c>
      <c r="I1728">
        <v>213.71729999999999</v>
      </c>
      <c r="J1728" s="1">
        <v>45923</v>
      </c>
      <c r="K1728" s="3">
        <v>-9.1758598859334097E-3</v>
      </c>
      <c r="L1728">
        <v>8377116522</v>
      </c>
      <c r="M1728" s="2" t="s">
        <v>14</v>
      </c>
    </row>
    <row r="1729" spans="1:13" x14ac:dyDescent="0.3">
      <c r="A1729" s="1">
        <v>45925</v>
      </c>
      <c r="B1729" s="2" t="s">
        <v>13</v>
      </c>
      <c r="C1729">
        <v>211.75344999999999</v>
      </c>
      <c r="D1729">
        <v>212.40075999999999</v>
      </c>
      <c r="E1729">
        <v>192.08314999999999</v>
      </c>
      <c r="F1729">
        <v>192.38077000000001</v>
      </c>
      <c r="G1729">
        <f>_xlfn.MAXIFS(Crypto[Close],Crypto[Name],Crypto[[#This Row],[Name]],Crypto[Date],"&lt;="&amp;Crypto[[#This Row],[Date]])</f>
        <v>261.86975000000001</v>
      </c>
      <c r="H1729" s="3">
        <f>(Crypto[[#This Row],[Close]]/Crypto[[#This Row],[Peak Close]])-1</f>
        <v>-0.26535703341069361</v>
      </c>
      <c r="I1729">
        <v>211.75626</v>
      </c>
      <c r="J1729" s="1">
        <v>45924</v>
      </c>
      <c r="K1729" s="3">
        <v>-9.1499018730308093E-2</v>
      </c>
      <c r="L1729">
        <v>12314273479</v>
      </c>
      <c r="M1729" s="2" t="s">
        <v>14</v>
      </c>
    </row>
    <row r="1730" spans="1:13" x14ac:dyDescent="0.3">
      <c r="A1730" s="1">
        <v>45926</v>
      </c>
      <c r="B1730" s="2" t="s">
        <v>13</v>
      </c>
      <c r="C1730">
        <v>192.39796000000001</v>
      </c>
      <c r="D1730">
        <v>205.41528</v>
      </c>
      <c r="E1730">
        <v>191.12665000000001</v>
      </c>
      <c r="F1730">
        <v>205.35255000000001</v>
      </c>
      <c r="G1730">
        <f>_xlfn.MAXIFS(Crypto[Close],Crypto[Name],Crypto[[#This Row],[Name]],Crypto[Date],"&lt;="&amp;Crypto[[#This Row],[Date]])</f>
        <v>261.86975000000001</v>
      </c>
      <c r="H1730" s="3">
        <f>(Crypto[[#This Row],[Close]]/Crypto[[#This Row],[Peak Close]])-1</f>
        <v>-0.215821796904759</v>
      </c>
      <c r="I1730">
        <v>192.38077000000001</v>
      </c>
      <c r="J1730" s="1">
        <v>45925</v>
      </c>
      <c r="K1730" s="3">
        <v>6.7427633229662207E-2</v>
      </c>
      <c r="L1730">
        <v>10334548744</v>
      </c>
      <c r="M1730" s="2" t="s">
        <v>14</v>
      </c>
    </row>
    <row r="1731" spans="1:13" x14ac:dyDescent="0.3">
      <c r="A1731" s="1">
        <v>45927</v>
      </c>
      <c r="B1731" s="2" t="s">
        <v>13</v>
      </c>
      <c r="C1731">
        <v>205.34518</v>
      </c>
      <c r="D1731">
        <v>205.39913999999999</v>
      </c>
      <c r="E1731">
        <v>200.26909000000001</v>
      </c>
      <c r="F1731">
        <v>203.58332999999999</v>
      </c>
      <c r="G1731">
        <f>_xlfn.MAXIFS(Crypto[Close],Crypto[Name],Crypto[[#This Row],[Name]],Crypto[Date],"&lt;="&amp;Crypto[[#This Row],[Date]])</f>
        <v>261.86975000000001</v>
      </c>
      <c r="H1731" s="3">
        <f>(Crypto[[#This Row],[Close]]/Crypto[[#This Row],[Peak Close]])-1</f>
        <v>-0.22257790370976416</v>
      </c>
      <c r="I1731">
        <v>205.35255000000001</v>
      </c>
      <c r="J1731" s="1">
        <v>45926</v>
      </c>
      <c r="K1731" s="3">
        <v>-8.61552486199961E-3</v>
      </c>
      <c r="L1731">
        <v>4016294139</v>
      </c>
      <c r="M1731" s="2" t="s">
        <v>14</v>
      </c>
    </row>
    <row r="1732" spans="1:13" x14ac:dyDescent="0.3">
      <c r="A1732" s="1">
        <v>45928</v>
      </c>
      <c r="B1732" s="2" t="s">
        <v>13</v>
      </c>
      <c r="C1732">
        <v>203.58323999999999</v>
      </c>
      <c r="D1732">
        <v>210.89623</v>
      </c>
      <c r="E1732">
        <v>198.32042999999999</v>
      </c>
      <c r="F1732">
        <v>210.73775000000001</v>
      </c>
      <c r="G1732">
        <f>_xlfn.MAXIFS(Crypto[Close],Crypto[Name],Crypto[[#This Row],[Name]],Crypto[Date],"&lt;="&amp;Crypto[[#This Row],[Date]])</f>
        <v>261.86975000000001</v>
      </c>
      <c r="H1732" s="3">
        <f>(Crypto[[#This Row],[Close]]/Crypto[[#This Row],[Peak Close]])-1</f>
        <v>-0.19525737508818797</v>
      </c>
      <c r="I1732">
        <v>203.58332999999999</v>
      </c>
      <c r="J1732" s="1">
        <v>45927</v>
      </c>
      <c r="K1732" s="3">
        <v>3.5142464758779697E-2</v>
      </c>
      <c r="L1732">
        <v>4467879569</v>
      </c>
      <c r="M1732" s="2" t="s">
        <v>14</v>
      </c>
    </row>
    <row r="1733" spans="1:13" x14ac:dyDescent="0.3">
      <c r="A1733" s="1">
        <v>45929</v>
      </c>
      <c r="B1733" s="2" t="s">
        <v>13</v>
      </c>
      <c r="C1733">
        <v>210.73973000000001</v>
      </c>
      <c r="D1733">
        <v>214.68810999999999</v>
      </c>
      <c r="E1733">
        <v>205.13081</v>
      </c>
      <c r="F1733">
        <v>213.05341000000001</v>
      </c>
      <c r="G1733">
        <f>_xlfn.MAXIFS(Crypto[Close],Crypto[Name],Crypto[[#This Row],[Name]],Crypto[Date],"&lt;="&amp;Crypto[[#This Row],[Date]])</f>
        <v>261.86975000000001</v>
      </c>
      <c r="H1733" s="3">
        <f>(Crypto[[#This Row],[Close]]/Crypto[[#This Row],[Peak Close]])-1</f>
        <v>-0.18641458205844696</v>
      </c>
      <c r="I1733">
        <v>210.73775000000001</v>
      </c>
      <c r="J1733" s="1">
        <v>45928</v>
      </c>
      <c r="K1733" s="3">
        <v>1.09883492634804E-2</v>
      </c>
      <c r="L1733">
        <v>6886600486</v>
      </c>
      <c r="M1733" s="2" t="s">
        <v>14</v>
      </c>
    </row>
    <row r="1734" spans="1:13" x14ac:dyDescent="0.3">
      <c r="A1734" s="1">
        <v>45930</v>
      </c>
      <c r="B1734" s="2" t="s">
        <v>13</v>
      </c>
      <c r="C1734">
        <v>213.04497000000001</v>
      </c>
      <c r="D1734">
        <v>213.50681</v>
      </c>
      <c r="E1734">
        <v>204.56564</v>
      </c>
      <c r="F1734">
        <v>208.74312</v>
      </c>
      <c r="G1734">
        <f>_xlfn.MAXIFS(Crypto[Close],Crypto[Name],Crypto[[#This Row],[Name]],Crypto[Date],"&lt;="&amp;Crypto[[#This Row],[Date]])</f>
        <v>261.86975000000001</v>
      </c>
      <c r="H1734" s="3">
        <f>(Crypto[[#This Row],[Close]]/Crypto[[#This Row],[Peak Close]])-1</f>
        <v>-0.2028742533263197</v>
      </c>
      <c r="I1734">
        <v>213.05341000000001</v>
      </c>
      <c r="J1734" s="1">
        <v>45929</v>
      </c>
      <c r="K1734" s="3">
        <v>-2.0231030331784E-2</v>
      </c>
      <c r="L1734">
        <v>6873718512</v>
      </c>
      <c r="M1734" s="2" t="s">
        <v>14</v>
      </c>
    </row>
    <row r="1735" spans="1:13" x14ac:dyDescent="0.3">
      <c r="A1735" s="1">
        <v>45931</v>
      </c>
      <c r="B1735" s="2" t="s">
        <v>13</v>
      </c>
      <c r="C1735">
        <v>208.74223000000001</v>
      </c>
      <c r="D1735">
        <v>221.67587</v>
      </c>
      <c r="E1735">
        <v>206.62066999999999</v>
      </c>
      <c r="F1735">
        <v>221.67587</v>
      </c>
      <c r="G1735">
        <f>_xlfn.MAXIFS(Crypto[Close],Crypto[Name],Crypto[[#This Row],[Name]],Crypto[Date],"&lt;="&amp;Crypto[[#This Row],[Date]])</f>
        <v>261.86975000000001</v>
      </c>
      <c r="H1735" s="3">
        <f>(Crypto[[#This Row],[Close]]/Crypto[[#This Row],[Peak Close]])-1</f>
        <v>-0.15348806038116281</v>
      </c>
      <c r="I1735">
        <v>208.74312</v>
      </c>
      <c r="J1735" s="1">
        <v>45930</v>
      </c>
      <c r="K1735" s="3">
        <v>6.1955335342309702E-2</v>
      </c>
      <c r="L1735">
        <v>8264703260</v>
      </c>
      <c r="M1735" s="2" t="s">
        <v>14</v>
      </c>
    </row>
    <row r="1736" spans="1:13" x14ac:dyDescent="0.3">
      <c r="A1736" s="1">
        <v>45932</v>
      </c>
      <c r="B1736" s="2" t="s">
        <v>13</v>
      </c>
      <c r="C1736">
        <v>221.69472999999999</v>
      </c>
      <c r="D1736">
        <v>234.86058</v>
      </c>
      <c r="E1736">
        <v>219.85984999999999</v>
      </c>
      <c r="F1736">
        <v>234.85686999999999</v>
      </c>
      <c r="G1736">
        <f>_xlfn.MAXIFS(Crypto[Close],Crypto[Name],Crypto[[#This Row],[Name]],Crypto[Date],"&lt;="&amp;Crypto[[#This Row],[Date]])</f>
        <v>261.86975000000001</v>
      </c>
      <c r="H1736" s="3">
        <f>(Crypto[[#This Row],[Close]]/Crypto[[#This Row],[Peak Close]])-1</f>
        <v>-0.10315387707056667</v>
      </c>
      <c r="I1736">
        <v>221.67587</v>
      </c>
      <c r="J1736" s="1">
        <v>45931</v>
      </c>
      <c r="K1736" s="3">
        <v>5.9460689158454601E-2</v>
      </c>
      <c r="L1736">
        <v>9665302715</v>
      </c>
      <c r="M1736" s="2" t="s">
        <v>14</v>
      </c>
    </row>
    <row r="1737" spans="1:13" x14ac:dyDescent="0.3">
      <c r="A1737" s="1">
        <v>45933</v>
      </c>
      <c r="B1737" s="2" t="s">
        <v>13</v>
      </c>
      <c r="C1737">
        <v>234.85399000000001</v>
      </c>
      <c r="D1737">
        <v>236.79118</v>
      </c>
      <c r="E1737">
        <v>227.67674</v>
      </c>
      <c r="F1737">
        <v>233.00197</v>
      </c>
      <c r="G1737">
        <f>_xlfn.MAXIFS(Crypto[Close],Crypto[Name],Crypto[[#This Row],[Name]],Crypto[Date],"&lt;="&amp;Crypto[[#This Row],[Date]])</f>
        <v>261.86975000000001</v>
      </c>
      <c r="H1737" s="3">
        <f>(Crypto[[#This Row],[Close]]/Crypto[[#This Row],[Peak Close]])-1</f>
        <v>-0.11023716943251372</v>
      </c>
      <c r="I1737">
        <v>234.85686999999999</v>
      </c>
      <c r="J1737" s="1">
        <v>45932</v>
      </c>
      <c r="K1737" s="3">
        <v>-7.8980018766322893E-3</v>
      </c>
      <c r="L1737">
        <v>9289248668</v>
      </c>
      <c r="M1737" s="2" t="s">
        <v>14</v>
      </c>
    </row>
    <row r="1738" spans="1:13" x14ac:dyDescent="0.3">
      <c r="A1738" s="1">
        <v>45934</v>
      </c>
      <c r="B1738" s="2" t="s">
        <v>13</v>
      </c>
      <c r="C1738">
        <v>233.00098</v>
      </c>
      <c r="D1738">
        <v>233.90084999999999</v>
      </c>
      <c r="E1738">
        <v>224.47382999999999</v>
      </c>
      <c r="F1738">
        <v>228.00319999999999</v>
      </c>
      <c r="G1738">
        <f>_xlfn.MAXIFS(Crypto[Close],Crypto[Name],Crypto[[#This Row],[Name]],Crypto[Date],"&lt;="&amp;Crypto[[#This Row],[Date]])</f>
        <v>261.86975000000001</v>
      </c>
      <c r="H1738" s="3">
        <f>(Crypto[[#This Row],[Close]]/Crypto[[#This Row],[Peak Close]])-1</f>
        <v>-0.12932593398053804</v>
      </c>
      <c r="I1738">
        <v>233.00197</v>
      </c>
      <c r="J1738" s="1">
        <v>45933</v>
      </c>
      <c r="K1738" s="3">
        <v>-2.14537671076344E-2</v>
      </c>
      <c r="L1738">
        <v>4553115834</v>
      </c>
      <c r="M1738" s="2" t="s">
        <v>14</v>
      </c>
    </row>
    <row r="1739" spans="1:13" x14ac:dyDescent="0.3">
      <c r="A1739" s="1">
        <v>45935</v>
      </c>
      <c r="B1739" s="2" t="s">
        <v>13</v>
      </c>
      <c r="C1739">
        <v>228.0025</v>
      </c>
      <c r="D1739">
        <v>236.77724000000001</v>
      </c>
      <c r="E1739">
        <v>226.89815999999999</v>
      </c>
      <c r="F1739">
        <v>228.60120000000001</v>
      </c>
      <c r="G1739">
        <f>_xlfn.MAXIFS(Crypto[Close],Crypto[Name],Crypto[[#This Row],[Name]],Crypto[Date],"&lt;="&amp;Crypto[[#This Row],[Date]])</f>
        <v>261.86975000000001</v>
      </c>
      <c r="H1739" s="3">
        <f>(Crypto[[#This Row],[Close]]/Crypto[[#This Row],[Peak Close]])-1</f>
        <v>-0.12704235598040625</v>
      </c>
      <c r="I1739">
        <v>228.00319999999999</v>
      </c>
      <c r="J1739" s="1">
        <v>45934</v>
      </c>
      <c r="K1739" s="3">
        <v>2.6227702067340001E-3</v>
      </c>
      <c r="L1739">
        <v>7132874650</v>
      </c>
      <c r="M1739" s="2" t="s">
        <v>14</v>
      </c>
    </row>
    <row r="1740" spans="1:13" x14ac:dyDescent="0.3">
      <c r="A1740" s="1">
        <v>45936</v>
      </c>
      <c r="B1740" s="2" t="s">
        <v>13</v>
      </c>
      <c r="C1740">
        <v>228.6011</v>
      </c>
      <c r="D1740">
        <v>237.32254</v>
      </c>
      <c r="E1740">
        <v>227.99805000000001</v>
      </c>
      <c r="F1740">
        <v>232.51604</v>
      </c>
      <c r="G1740">
        <f>_xlfn.MAXIFS(Crypto[Close],Crypto[Name],Crypto[[#This Row],[Name]],Crypto[Date],"&lt;="&amp;Crypto[[#This Row],[Date]])</f>
        <v>261.86975000000001</v>
      </c>
      <c r="H1740" s="3">
        <f>(Crypto[[#This Row],[Close]]/Crypto[[#This Row],[Peak Close]])-1</f>
        <v>-0.11209278658569766</v>
      </c>
      <c r="I1740">
        <v>228.60120000000001</v>
      </c>
      <c r="J1740" s="1">
        <v>45935</v>
      </c>
      <c r="K1740" s="3">
        <v>1.71251944434237E-2</v>
      </c>
      <c r="L1740">
        <v>7521265450</v>
      </c>
      <c r="M1740" s="2" t="s">
        <v>14</v>
      </c>
    </row>
    <row r="1741" spans="1:13" x14ac:dyDescent="0.3">
      <c r="A1741" s="1">
        <v>45937</v>
      </c>
      <c r="B1741" s="2" t="s">
        <v>13</v>
      </c>
      <c r="C1741">
        <v>232.51477</v>
      </c>
      <c r="D1741">
        <v>235.08649</v>
      </c>
      <c r="E1741">
        <v>220.4547</v>
      </c>
      <c r="F1741">
        <v>220.48271</v>
      </c>
      <c r="G1741">
        <f>_xlfn.MAXIFS(Crypto[Close],Crypto[Name],Crypto[[#This Row],[Name]],Crypto[Date],"&lt;="&amp;Crypto[[#This Row],[Date]])</f>
        <v>261.86975000000001</v>
      </c>
      <c r="H1741" s="3">
        <f>(Crypto[[#This Row],[Close]]/Crypto[[#This Row],[Peak Close]])-1</f>
        <v>-0.15804437129527182</v>
      </c>
      <c r="I1741">
        <v>232.51604</v>
      </c>
      <c r="J1741" s="1">
        <v>45936</v>
      </c>
      <c r="K1741" s="3">
        <v>-5.1752687685546403E-2</v>
      </c>
      <c r="L1741">
        <v>9339230314</v>
      </c>
      <c r="M1741" s="2" t="s">
        <v>14</v>
      </c>
    </row>
    <row r="1742" spans="1:13" x14ac:dyDescent="0.3">
      <c r="A1742" s="1">
        <v>45938</v>
      </c>
      <c r="B1742" s="2" t="s">
        <v>13</v>
      </c>
      <c r="C1742">
        <v>220.48554999999999</v>
      </c>
      <c r="D1742">
        <v>229.56433000000001</v>
      </c>
      <c r="E1742">
        <v>218.18419</v>
      </c>
      <c r="F1742">
        <v>229.10121000000001</v>
      </c>
      <c r="G1742">
        <f>_xlfn.MAXIFS(Crypto[Close],Crypto[Name],Crypto[[#This Row],[Name]],Crypto[Date],"&lt;="&amp;Crypto[[#This Row],[Date]])</f>
        <v>261.86975000000001</v>
      </c>
      <c r="H1742" s="3">
        <f>(Crypto[[#This Row],[Close]]/Crypto[[#This Row],[Peak Close]])-1</f>
        <v>-0.12513297163952686</v>
      </c>
      <c r="I1742">
        <v>220.48271</v>
      </c>
      <c r="J1742" s="1">
        <v>45937</v>
      </c>
      <c r="K1742" s="3">
        <v>3.9089232892683602E-2</v>
      </c>
      <c r="L1742">
        <v>7198664384</v>
      </c>
      <c r="M1742" s="2" t="s">
        <v>14</v>
      </c>
    </row>
    <row r="1743" spans="1:13" x14ac:dyDescent="0.3">
      <c r="A1743" s="1">
        <v>45939</v>
      </c>
      <c r="B1743" s="2" t="s">
        <v>13</v>
      </c>
      <c r="C1743">
        <v>229.09688</v>
      </c>
      <c r="D1743">
        <v>229.31577999999999</v>
      </c>
      <c r="E1743">
        <v>217.19893999999999</v>
      </c>
      <c r="F1743">
        <v>220.99107000000001</v>
      </c>
      <c r="G1743">
        <f>_xlfn.MAXIFS(Crypto[Close],Crypto[Name],Crypto[[#This Row],[Name]],Crypto[Date],"&lt;="&amp;Crypto[[#This Row],[Date]])</f>
        <v>261.86975000000001</v>
      </c>
      <c r="H1743" s="3">
        <f>(Crypto[[#This Row],[Close]]/Crypto[[#This Row],[Peak Close]])-1</f>
        <v>-0.15610310087362134</v>
      </c>
      <c r="I1743">
        <v>229.10121000000001</v>
      </c>
      <c r="J1743" s="1">
        <v>45938</v>
      </c>
      <c r="K1743" s="3">
        <v>-3.5399813034597202E-2</v>
      </c>
      <c r="L1743">
        <v>7901186012</v>
      </c>
      <c r="M1743" s="2" t="s">
        <v>14</v>
      </c>
    </row>
    <row r="1744" spans="1:13" x14ac:dyDescent="0.3">
      <c r="A1744" s="1">
        <v>45940</v>
      </c>
      <c r="B1744" s="2" t="s">
        <v>13</v>
      </c>
      <c r="C1744">
        <v>220.99306000000001</v>
      </c>
      <c r="D1744">
        <v>224.25441000000001</v>
      </c>
      <c r="E1744">
        <v>174.06972999999999</v>
      </c>
      <c r="F1744">
        <v>188.66386</v>
      </c>
      <c r="G1744">
        <f>_xlfn.MAXIFS(Crypto[Close],Crypto[Name],Crypto[[#This Row],[Name]],Crypto[Date],"&lt;="&amp;Crypto[[#This Row],[Date]])</f>
        <v>261.86975000000001</v>
      </c>
      <c r="H1744" s="3">
        <f>(Crypto[[#This Row],[Close]]/Crypto[[#This Row],[Peak Close]])-1</f>
        <v>-0.27955076903689724</v>
      </c>
      <c r="I1744">
        <v>220.99107000000001</v>
      </c>
      <c r="J1744" s="1">
        <v>45939</v>
      </c>
      <c r="K1744" s="3">
        <v>-0.14628287921317401</v>
      </c>
      <c r="L1744">
        <v>16784427014</v>
      </c>
      <c r="M1744" s="2" t="s">
        <v>14</v>
      </c>
    </row>
    <row r="1745" spans="1:13" x14ac:dyDescent="0.3">
      <c r="A1745" s="1">
        <v>45941</v>
      </c>
      <c r="B1745" s="2" t="s">
        <v>13</v>
      </c>
      <c r="C1745">
        <v>188.63890000000001</v>
      </c>
      <c r="D1745">
        <v>190.87914000000001</v>
      </c>
      <c r="E1745">
        <v>173.75479000000001</v>
      </c>
      <c r="F1745">
        <v>178.05417</v>
      </c>
      <c r="G1745">
        <f>_xlfn.MAXIFS(Crypto[Close],Crypto[Name],Crypto[[#This Row],[Name]],Crypto[Date],"&lt;="&amp;Crypto[[#This Row],[Date]])</f>
        <v>261.86975000000001</v>
      </c>
      <c r="H1745" s="3">
        <f>(Crypto[[#This Row],[Close]]/Crypto[[#This Row],[Peak Close]])-1</f>
        <v>-0.32006591062923462</v>
      </c>
      <c r="I1745">
        <v>188.66386</v>
      </c>
      <c r="J1745" s="1">
        <v>45940</v>
      </c>
      <c r="K1745" s="3">
        <v>-5.6235942591230798E-2</v>
      </c>
      <c r="L1745">
        <v>12850012618</v>
      </c>
      <c r="M1745" s="2" t="s">
        <v>14</v>
      </c>
    </row>
    <row r="1746" spans="1:13" x14ac:dyDescent="0.3">
      <c r="A1746" s="1">
        <v>45942</v>
      </c>
      <c r="B1746" s="2" t="s">
        <v>13</v>
      </c>
      <c r="C1746">
        <v>178.05619999999999</v>
      </c>
      <c r="D1746">
        <v>198.87397999999999</v>
      </c>
      <c r="E1746">
        <v>173.52139</v>
      </c>
      <c r="F1746">
        <v>197.50854000000001</v>
      </c>
      <c r="G1746">
        <f>_xlfn.MAXIFS(Crypto[Close],Crypto[Name],Crypto[[#This Row],[Name]],Crypto[Date],"&lt;="&amp;Crypto[[#This Row],[Date]])</f>
        <v>261.86975000000001</v>
      </c>
      <c r="H1746" s="3">
        <f>(Crypto[[#This Row],[Close]]/Crypto[[#This Row],[Peak Close]])-1</f>
        <v>-0.24577565755494857</v>
      </c>
      <c r="I1746">
        <v>178.05417</v>
      </c>
      <c r="J1746" s="1">
        <v>45941</v>
      </c>
      <c r="K1746" s="3">
        <v>0.10926096254864499</v>
      </c>
      <c r="L1746">
        <v>11797041281</v>
      </c>
      <c r="M1746" s="2" t="s">
        <v>14</v>
      </c>
    </row>
    <row r="1747" spans="1:13" x14ac:dyDescent="0.3">
      <c r="A1747" s="1">
        <v>45943</v>
      </c>
      <c r="B1747" s="2" t="s">
        <v>13</v>
      </c>
      <c r="C1747">
        <v>197.51219</v>
      </c>
      <c r="D1747">
        <v>209.24919</v>
      </c>
      <c r="E1747">
        <v>191.94417000000001</v>
      </c>
      <c r="F1747">
        <v>208.36729</v>
      </c>
      <c r="G1747">
        <f>_xlfn.MAXIFS(Crypto[Close],Crypto[Name],Crypto[[#This Row],[Name]],Crypto[Date],"&lt;="&amp;Crypto[[#This Row],[Date]])</f>
        <v>261.86975000000001</v>
      </c>
      <c r="H1747" s="3">
        <f>(Crypto[[#This Row],[Close]]/Crypto[[#This Row],[Peak Close]])-1</f>
        <v>-0.20430943245640254</v>
      </c>
      <c r="I1747">
        <v>197.50854000000001</v>
      </c>
      <c r="J1747" s="1">
        <v>45942</v>
      </c>
      <c r="K1747" s="3">
        <v>5.4978635354197801E-2</v>
      </c>
      <c r="L1747">
        <v>11469454798</v>
      </c>
      <c r="M1747" s="2" t="s">
        <v>14</v>
      </c>
    </row>
    <row r="1748" spans="1:13" x14ac:dyDescent="0.3">
      <c r="A1748" s="1">
        <v>45944</v>
      </c>
      <c r="B1748" s="2" t="s">
        <v>13</v>
      </c>
      <c r="C1748">
        <v>208.36356000000001</v>
      </c>
      <c r="D1748">
        <v>211.10504</v>
      </c>
      <c r="E1748">
        <v>191.67102</v>
      </c>
      <c r="F1748">
        <v>202.46034</v>
      </c>
      <c r="G1748">
        <f>_xlfn.MAXIFS(Crypto[Close],Crypto[Name],Crypto[[#This Row],[Name]],Crypto[Date],"&lt;="&amp;Crypto[[#This Row],[Date]])</f>
        <v>261.86975000000001</v>
      </c>
      <c r="H1748" s="3">
        <f>(Crypto[[#This Row],[Close]]/Crypto[[#This Row],[Peak Close]])-1</f>
        <v>-0.22686625698462692</v>
      </c>
      <c r="I1748">
        <v>208.36729</v>
      </c>
      <c r="J1748" s="1">
        <v>45943</v>
      </c>
      <c r="K1748" s="3">
        <v>-2.8348739382270598E-2</v>
      </c>
      <c r="L1748">
        <v>13600198608</v>
      </c>
      <c r="M1748" s="2" t="s">
        <v>14</v>
      </c>
    </row>
    <row r="1749" spans="1:13" x14ac:dyDescent="0.3">
      <c r="A1749" s="1">
        <v>45945</v>
      </c>
      <c r="B1749" s="2" t="s">
        <v>13</v>
      </c>
      <c r="C1749">
        <v>202.46187</v>
      </c>
      <c r="D1749">
        <v>208.33116000000001</v>
      </c>
      <c r="E1749">
        <v>192.70006000000001</v>
      </c>
      <c r="F1749">
        <v>194.02187000000001</v>
      </c>
      <c r="G1749">
        <f>_xlfn.MAXIFS(Crypto[Close],Crypto[Name],Crypto[[#This Row],[Name]],Crypto[Date],"&lt;="&amp;Crypto[[#This Row],[Date]])</f>
        <v>261.86975000000001</v>
      </c>
      <c r="H1749" s="3">
        <f>(Crypto[[#This Row],[Close]]/Crypto[[#This Row],[Peak Close]])-1</f>
        <v>-0.25909017746417828</v>
      </c>
      <c r="I1749">
        <v>202.46034</v>
      </c>
      <c r="J1749" s="1">
        <v>45944</v>
      </c>
      <c r="K1749" s="3">
        <v>-4.1679619820849799E-2</v>
      </c>
      <c r="L1749">
        <v>9867608882</v>
      </c>
      <c r="M1749" s="2" t="s">
        <v>14</v>
      </c>
    </row>
    <row r="1750" spans="1:13" x14ac:dyDescent="0.3">
      <c r="A1750" s="1">
        <v>45946</v>
      </c>
      <c r="B1750" s="2" t="s">
        <v>13</v>
      </c>
      <c r="C1750">
        <v>194.02187000000001</v>
      </c>
      <c r="D1750">
        <v>197.95574999999999</v>
      </c>
      <c r="E1750">
        <v>182.25134</v>
      </c>
      <c r="F1750">
        <v>184.68895000000001</v>
      </c>
      <c r="G1750">
        <f>_xlfn.MAXIFS(Crypto[Close],Crypto[Name],Crypto[[#This Row],[Name]],Crypto[Date],"&lt;="&amp;Crypto[[#This Row],[Date]])</f>
        <v>261.86975000000001</v>
      </c>
      <c r="H1750" s="3">
        <f>(Crypto[[#This Row],[Close]]/Crypto[[#This Row],[Peak Close]])-1</f>
        <v>-0.29472972727854208</v>
      </c>
      <c r="I1750">
        <v>194.02187000000001</v>
      </c>
      <c r="J1750" s="1">
        <v>45945</v>
      </c>
      <c r="K1750" s="3">
        <v>-4.8102412372378403E-2</v>
      </c>
      <c r="L1750">
        <v>10042886154</v>
      </c>
      <c r="M1750" s="2" t="s">
        <v>14</v>
      </c>
    </row>
    <row r="1751" spans="1:13" x14ac:dyDescent="0.3">
      <c r="A1751" s="1">
        <v>45947</v>
      </c>
      <c r="B1751" s="2" t="s">
        <v>13</v>
      </c>
      <c r="C1751">
        <v>184.68620000000001</v>
      </c>
      <c r="D1751">
        <v>187.42857000000001</v>
      </c>
      <c r="E1751">
        <v>174.74417</v>
      </c>
      <c r="F1751">
        <v>182.03478999999999</v>
      </c>
      <c r="G1751">
        <f>_xlfn.MAXIFS(Crypto[Close],Crypto[Name],Crypto[[#This Row],[Name]],Crypto[Date],"&lt;="&amp;Crypto[[#This Row],[Date]])</f>
        <v>261.86975000000001</v>
      </c>
      <c r="H1751" s="3">
        <f>(Crypto[[#This Row],[Close]]/Crypto[[#This Row],[Peak Close]])-1</f>
        <v>-0.30486514765451156</v>
      </c>
      <c r="I1751">
        <v>184.68895000000001</v>
      </c>
      <c r="J1751" s="1">
        <v>45946</v>
      </c>
      <c r="K1751" s="3">
        <v>-1.4370973466468999E-2</v>
      </c>
      <c r="L1751">
        <v>10401735741</v>
      </c>
      <c r="M1751" s="2" t="s">
        <v>14</v>
      </c>
    </row>
    <row r="1752" spans="1:13" x14ac:dyDescent="0.3">
      <c r="A1752" s="1">
        <v>45948</v>
      </c>
      <c r="B1752" s="2" t="s">
        <v>13</v>
      </c>
      <c r="C1752">
        <v>182.03616</v>
      </c>
      <c r="D1752">
        <v>188.26787999999999</v>
      </c>
      <c r="E1752">
        <v>182.02399</v>
      </c>
      <c r="F1752">
        <v>187.66029</v>
      </c>
      <c r="G1752">
        <f>_xlfn.MAXIFS(Crypto[Close],Crypto[Name],Crypto[[#This Row],[Name]],Crypto[Date],"&lt;="&amp;Crypto[[#This Row],[Date]])</f>
        <v>261.86975000000001</v>
      </c>
      <c r="H1752" s="3">
        <f>(Crypto[[#This Row],[Close]]/Crypto[[#This Row],[Peak Close]])-1</f>
        <v>-0.2833830940763491</v>
      </c>
      <c r="I1752">
        <v>182.03478999999999</v>
      </c>
      <c r="J1752" s="1">
        <v>45947</v>
      </c>
      <c r="K1752" s="3">
        <v>3.09034333491967E-2</v>
      </c>
      <c r="L1752">
        <v>4108902789</v>
      </c>
      <c r="M1752" s="2" t="s">
        <v>14</v>
      </c>
    </row>
    <row r="1753" spans="1:13" x14ac:dyDescent="0.3">
      <c r="A1753" s="1">
        <v>45949</v>
      </c>
      <c r="B1753" s="2" t="s">
        <v>13</v>
      </c>
      <c r="C1753">
        <v>187.66029</v>
      </c>
      <c r="D1753">
        <v>192.20061000000001</v>
      </c>
      <c r="E1753">
        <v>183.45824999999999</v>
      </c>
      <c r="F1753">
        <v>187.79820000000001</v>
      </c>
      <c r="G1753">
        <f>_xlfn.MAXIFS(Crypto[Close],Crypto[Name],Crypto[[#This Row],[Name]],Crypto[Date],"&lt;="&amp;Crypto[[#This Row],[Date]])</f>
        <v>261.86975000000001</v>
      </c>
      <c r="H1753" s="3">
        <f>(Crypto[[#This Row],[Close]]/Crypto[[#This Row],[Peak Close]])-1</f>
        <v>-0.28285645822016481</v>
      </c>
      <c r="I1753">
        <v>187.66029</v>
      </c>
      <c r="J1753" s="1">
        <v>45948</v>
      </c>
      <c r="K1753" s="3">
        <v>7.3489175573588402E-4</v>
      </c>
      <c r="L1753">
        <v>4863227045</v>
      </c>
      <c r="M1753" s="2" t="s">
        <v>14</v>
      </c>
    </row>
    <row r="1754" spans="1:13" x14ac:dyDescent="0.3">
      <c r="A1754" s="1">
        <v>45950</v>
      </c>
      <c r="B1754" s="2" t="s">
        <v>13</v>
      </c>
      <c r="C1754">
        <v>187.79830999999999</v>
      </c>
      <c r="D1754">
        <v>194.34116</v>
      </c>
      <c r="E1754">
        <v>184.04662999999999</v>
      </c>
      <c r="F1754">
        <v>189.75067000000001</v>
      </c>
      <c r="G1754">
        <f>_xlfn.MAXIFS(Crypto[Close],Crypto[Name],Crypto[[#This Row],[Name]],Crypto[Date],"&lt;="&amp;Crypto[[#This Row],[Date]])</f>
        <v>261.86975000000001</v>
      </c>
      <c r="H1754" s="3">
        <f>(Crypto[[#This Row],[Close]]/Crypto[[#This Row],[Peak Close]])-1</f>
        <v>-0.27540057604973467</v>
      </c>
      <c r="I1754">
        <v>187.79820000000001</v>
      </c>
      <c r="J1754" s="1">
        <v>45949</v>
      </c>
      <c r="K1754" s="3">
        <v>1.0396638519432099E-2</v>
      </c>
      <c r="L1754">
        <v>6103945646</v>
      </c>
      <c r="M1754" s="2" t="s">
        <v>14</v>
      </c>
    </row>
    <row r="1755" spans="1:13" x14ac:dyDescent="0.3">
      <c r="A1755" s="1">
        <v>45951</v>
      </c>
      <c r="B1755" s="2" t="s">
        <v>13</v>
      </c>
      <c r="C1755">
        <v>189.76204000000001</v>
      </c>
      <c r="D1755">
        <v>197.37448000000001</v>
      </c>
      <c r="E1755">
        <v>183.31325000000001</v>
      </c>
      <c r="F1755">
        <v>185.66628</v>
      </c>
      <c r="G1755">
        <f>_xlfn.MAXIFS(Crypto[Close],Crypto[Name],Crypto[[#This Row],[Name]],Crypto[Date],"&lt;="&amp;Crypto[[#This Row],[Date]])</f>
        <v>261.86975000000001</v>
      </c>
      <c r="H1755" s="3">
        <f>(Crypto[[#This Row],[Close]]/Crypto[[#This Row],[Peak Close]])-1</f>
        <v>-0.29099760472524994</v>
      </c>
      <c r="I1755">
        <v>189.75067000000001</v>
      </c>
      <c r="J1755" s="1">
        <v>45950</v>
      </c>
      <c r="K1755" s="3">
        <v>-2.1525035985380199E-2</v>
      </c>
      <c r="L1755">
        <v>8186574439</v>
      </c>
      <c r="M1755" s="2" t="s">
        <v>14</v>
      </c>
    </row>
    <row r="1756" spans="1:13" x14ac:dyDescent="0.3">
      <c r="A1756" s="1">
        <v>45952</v>
      </c>
      <c r="B1756" s="2" t="s">
        <v>13</v>
      </c>
      <c r="C1756">
        <v>185.66732999999999</v>
      </c>
      <c r="D1756">
        <v>187.32662999999999</v>
      </c>
      <c r="E1756">
        <v>177.67313999999999</v>
      </c>
      <c r="F1756">
        <v>180.14813000000001</v>
      </c>
      <c r="G1756">
        <f>_xlfn.MAXIFS(Crypto[Close],Crypto[Name],Crypto[[#This Row],[Name]],Crypto[Date],"&lt;="&amp;Crypto[[#This Row],[Date]])</f>
        <v>261.86975000000001</v>
      </c>
      <c r="H1756" s="3">
        <f>(Crypto[[#This Row],[Close]]/Crypto[[#This Row],[Peak Close]])-1</f>
        <v>-0.31206972168415781</v>
      </c>
      <c r="I1756">
        <v>185.66628</v>
      </c>
      <c r="J1756" s="1">
        <v>45951</v>
      </c>
      <c r="K1756" s="3">
        <v>-2.9720797982272201E-2</v>
      </c>
      <c r="L1756">
        <v>7337365275</v>
      </c>
      <c r="M1756" s="2" t="s">
        <v>14</v>
      </c>
    </row>
    <row r="1757" spans="1:13" x14ac:dyDescent="0.3">
      <c r="A1757" s="1">
        <v>45953</v>
      </c>
      <c r="B1757" s="2" t="s">
        <v>13</v>
      </c>
      <c r="C1757">
        <v>180.14813000000001</v>
      </c>
      <c r="D1757">
        <v>193.17556999999999</v>
      </c>
      <c r="E1757">
        <v>179.80087</v>
      </c>
      <c r="F1757">
        <v>191.38828000000001</v>
      </c>
      <c r="G1757">
        <f>_xlfn.MAXIFS(Crypto[Close],Crypto[Name],Crypto[[#This Row],[Name]],Crypto[Date],"&lt;="&amp;Crypto[[#This Row],[Date]])</f>
        <v>261.86975000000001</v>
      </c>
      <c r="H1757" s="3">
        <f>(Crypto[[#This Row],[Close]]/Crypto[[#This Row],[Peak Close]])-1</f>
        <v>-0.26914704733937389</v>
      </c>
      <c r="I1757">
        <v>180.14813000000001</v>
      </c>
      <c r="J1757" s="1">
        <v>45952</v>
      </c>
      <c r="K1757" s="3">
        <v>6.2393931038862302E-2</v>
      </c>
      <c r="L1757">
        <v>6358339771</v>
      </c>
      <c r="M1757" s="2" t="s">
        <v>14</v>
      </c>
    </row>
    <row r="1758" spans="1:13" x14ac:dyDescent="0.3">
      <c r="A1758" s="1">
        <v>45954</v>
      </c>
      <c r="B1758" s="2" t="s">
        <v>13</v>
      </c>
      <c r="C1758">
        <v>191.3886</v>
      </c>
      <c r="D1758">
        <v>195.31233</v>
      </c>
      <c r="E1758">
        <v>189.10889</v>
      </c>
      <c r="F1758">
        <v>193.56022999999999</v>
      </c>
      <c r="G1758">
        <f>_xlfn.MAXIFS(Crypto[Close],Crypto[Name],Crypto[[#This Row],[Name]],Crypto[Date],"&lt;="&amp;Crypto[[#This Row],[Date]])</f>
        <v>261.86975000000001</v>
      </c>
      <c r="H1758" s="3">
        <f>(Crypto[[#This Row],[Close]]/Crypto[[#This Row],[Peak Close]])-1</f>
        <v>-0.26085303858120312</v>
      </c>
      <c r="I1758">
        <v>191.38828000000001</v>
      </c>
      <c r="J1758" s="1">
        <v>45953</v>
      </c>
      <c r="K1758" s="3">
        <v>1.1348396045985599E-2</v>
      </c>
      <c r="L1758">
        <v>5855077941</v>
      </c>
      <c r="M1758" s="2" t="s">
        <v>14</v>
      </c>
    </row>
    <row r="1759" spans="1:13" x14ac:dyDescent="0.3">
      <c r="A1759" s="1">
        <v>45955</v>
      </c>
      <c r="B1759" s="2" t="s">
        <v>13</v>
      </c>
      <c r="C1759">
        <v>193.56082000000001</v>
      </c>
      <c r="D1759">
        <v>195.08336</v>
      </c>
      <c r="E1759">
        <v>191.60333</v>
      </c>
      <c r="F1759">
        <v>194.04037</v>
      </c>
      <c r="G1759">
        <f>_xlfn.MAXIFS(Crypto[Close],Crypto[Name],Crypto[[#This Row],[Name]],Crypto[Date],"&lt;="&amp;Crypto[[#This Row],[Date]])</f>
        <v>261.86975000000001</v>
      </c>
      <c r="H1759" s="3">
        <f>(Crypto[[#This Row],[Close]]/Crypto[[#This Row],[Peak Close]])-1</f>
        <v>-0.25901953165648195</v>
      </c>
      <c r="I1759">
        <v>193.56022999999999</v>
      </c>
      <c r="J1759" s="1">
        <v>45954</v>
      </c>
      <c r="K1759" s="3">
        <v>2.4805715512944298E-3</v>
      </c>
      <c r="L1759">
        <v>3170047006</v>
      </c>
      <c r="M1759" s="2" t="s">
        <v>14</v>
      </c>
    </row>
    <row r="1760" spans="1:13" x14ac:dyDescent="0.3">
      <c r="A1760" s="1">
        <v>45956</v>
      </c>
      <c r="B1760" s="2" t="s">
        <v>13</v>
      </c>
      <c r="C1760">
        <v>194.03757999999999</v>
      </c>
      <c r="D1760">
        <v>200.62121999999999</v>
      </c>
      <c r="E1760">
        <v>192.16077000000001</v>
      </c>
      <c r="F1760">
        <v>200.02862999999999</v>
      </c>
      <c r="G1760">
        <f>_xlfn.MAXIFS(Crypto[Close],Crypto[Name],Crypto[[#This Row],[Name]],Crypto[Date],"&lt;="&amp;Crypto[[#This Row],[Date]])</f>
        <v>261.86975000000001</v>
      </c>
      <c r="H1760" s="3">
        <f>(Crypto[[#This Row],[Close]]/Crypto[[#This Row],[Peak Close]])-1</f>
        <v>-0.23615220925670111</v>
      </c>
      <c r="I1760">
        <v>194.04037</v>
      </c>
      <c r="J1760" s="1">
        <v>45955</v>
      </c>
      <c r="K1760" s="3">
        <v>3.08608976575338E-2</v>
      </c>
      <c r="L1760">
        <v>4753310567</v>
      </c>
      <c r="M1760" s="2" t="s">
        <v>14</v>
      </c>
    </row>
    <row r="1761" spans="1:13" x14ac:dyDescent="0.3">
      <c r="A1761" s="1">
        <v>45957</v>
      </c>
      <c r="B1761" s="2" t="s">
        <v>13</v>
      </c>
      <c r="C1761">
        <v>200.02748</v>
      </c>
      <c r="D1761">
        <v>205.02005</v>
      </c>
      <c r="E1761">
        <v>197.59854000000001</v>
      </c>
      <c r="F1761">
        <v>198.74171000000001</v>
      </c>
      <c r="G1761">
        <f>_xlfn.MAXIFS(Crypto[Close],Crypto[Name],Crypto[[#This Row],[Name]],Crypto[Date],"&lt;="&amp;Crypto[[#This Row],[Date]])</f>
        <v>261.86975000000001</v>
      </c>
      <c r="H1761" s="3">
        <f>(Crypto[[#This Row],[Close]]/Crypto[[#This Row],[Peak Close]])-1</f>
        <v>-0.24106656076159994</v>
      </c>
      <c r="I1761">
        <v>200.02862999999999</v>
      </c>
      <c r="J1761" s="1">
        <v>45956</v>
      </c>
      <c r="K1761" s="3">
        <v>-6.4336790188483598E-3</v>
      </c>
      <c r="L1761">
        <v>6714497027</v>
      </c>
      <c r="M1761" s="2" t="s">
        <v>14</v>
      </c>
    </row>
    <row r="1762" spans="1:13" x14ac:dyDescent="0.3">
      <c r="A1762" s="1">
        <v>45958</v>
      </c>
      <c r="B1762" s="2" t="s">
        <v>13</v>
      </c>
      <c r="C1762">
        <v>198.74100000000001</v>
      </c>
      <c r="D1762">
        <v>203.83176</v>
      </c>
      <c r="E1762">
        <v>191.38518999999999</v>
      </c>
      <c r="F1762">
        <v>194.44279</v>
      </c>
      <c r="G1762">
        <f>_xlfn.MAXIFS(Crypto[Close],Crypto[Name],Crypto[[#This Row],[Name]],Crypto[Date],"&lt;="&amp;Crypto[[#This Row],[Date]])</f>
        <v>261.86975000000001</v>
      </c>
      <c r="H1762" s="3">
        <f>(Crypto[[#This Row],[Close]]/Crypto[[#This Row],[Peak Close]])-1</f>
        <v>-0.25748281349793167</v>
      </c>
      <c r="I1762">
        <v>198.74171000000001</v>
      </c>
      <c r="J1762" s="1">
        <v>45957</v>
      </c>
      <c r="K1762" s="3">
        <v>-2.1630688394499602E-2</v>
      </c>
      <c r="L1762">
        <v>8093133805</v>
      </c>
      <c r="M1762" s="2" t="s">
        <v>14</v>
      </c>
    </row>
    <row r="1763" spans="1:13" x14ac:dyDescent="0.3">
      <c r="A1763" s="1">
        <v>45959</v>
      </c>
      <c r="B1763" s="2" t="s">
        <v>13</v>
      </c>
      <c r="C1763">
        <v>194.43361999999999</v>
      </c>
      <c r="D1763">
        <v>201.67743999999999</v>
      </c>
      <c r="E1763">
        <v>190.60920999999999</v>
      </c>
      <c r="F1763">
        <v>194.41086999999999</v>
      </c>
      <c r="G1763">
        <f>_xlfn.MAXIFS(Crypto[Close],Crypto[Name],Crypto[[#This Row],[Name]],Crypto[Date],"&lt;="&amp;Crypto[[#This Row],[Date]])</f>
        <v>261.86975000000001</v>
      </c>
      <c r="H1763" s="3">
        <f>(Crypto[[#This Row],[Close]]/Crypto[[#This Row],[Peak Close]])-1</f>
        <v>-0.2576047061564003</v>
      </c>
      <c r="I1763">
        <v>194.44279</v>
      </c>
      <c r="J1763" s="1">
        <v>45958</v>
      </c>
      <c r="K1763" s="3">
        <v>-1.6416139677904101E-4</v>
      </c>
      <c r="L1763">
        <v>8057327834</v>
      </c>
      <c r="M1763" s="2" t="s">
        <v>14</v>
      </c>
    </row>
    <row r="1764" spans="1:13" x14ac:dyDescent="0.3">
      <c r="A1764" s="1">
        <v>45960</v>
      </c>
      <c r="B1764" s="2" t="s">
        <v>13</v>
      </c>
      <c r="C1764">
        <v>194.40018000000001</v>
      </c>
      <c r="D1764">
        <v>198.03946999999999</v>
      </c>
      <c r="E1764">
        <v>179.22173000000001</v>
      </c>
      <c r="F1764">
        <v>184.62441999999999</v>
      </c>
      <c r="G1764">
        <f>_xlfn.MAXIFS(Crypto[Close],Crypto[Name],Crypto[[#This Row],[Name]],Crypto[Date],"&lt;="&amp;Crypto[[#This Row],[Date]])</f>
        <v>261.86975000000001</v>
      </c>
      <c r="H1764" s="3">
        <f>(Crypto[[#This Row],[Close]]/Crypto[[#This Row],[Peak Close]])-1</f>
        <v>-0.2949761474931718</v>
      </c>
      <c r="I1764">
        <v>194.41086999999999</v>
      </c>
      <c r="J1764" s="1">
        <v>45959</v>
      </c>
      <c r="K1764" s="3">
        <v>-5.0339006250010601E-2</v>
      </c>
      <c r="L1764">
        <v>8688393422</v>
      </c>
      <c r="M1764" s="2" t="s">
        <v>14</v>
      </c>
    </row>
    <row r="1765" spans="1:13" x14ac:dyDescent="0.3">
      <c r="A1765" s="1">
        <v>45961</v>
      </c>
      <c r="B1765" s="2" t="s">
        <v>13</v>
      </c>
      <c r="C1765">
        <v>184.62895</v>
      </c>
      <c r="D1765">
        <v>189.85353000000001</v>
      </c>
      <c r="E1765">
        <v>184.02078</v>
      </c>
      <c r="F1765">
        <v>187.20947000000001</v>
      </c>
      <c r="G1765">
        <f>_xlfn.MAXIFS(Crypto[Close],Crypto[Name],Crypto[[#This Row],[Name]],Crypto[Date],"&lt;="&amp;Crypto[[#This Row],[Date]])</f>
        <v>261.86975000000001</v>
      </c>
      <c r="H1765" s="3">
        <f>(Crypto[[#This Row],[Close]]/Crypto[[#This Row],[Peak Close]])-1</f>
        <v>-0.28510463694260213</v>
      </c>
      <c r="I1765">
        <v>184.62441999999999</v>
      </c>
      <c r="J1765" s="1">
        <v>45960</v>
      </c>
      <c r="K1765" s="3">
        <v>1.40016689016546E-2</v>
      </c>
      <c r="L1765">
        <v>5699604751</v>
      </c>
      <c r="M1765" s="2" t="s">
        <v>14</v>
      </c>
    </row>
    <row r="1766" spans="1:13" x14ac:dyDescent="0.3">
      <c r="A1766" s="1">
        <v>45962</v>
      </c>
      <c r="B1766" s="2" t="s">
        <v>13</v>
      </c>
      <c r="C1766">
        <v>187.20926</v>
      </c>
      <c r="D1766">
        <v>187.34557000000001</v>
      </c>
      <c r="E1766">
        <v>184.06209000000001</v>
      </c>
      <c r="F1766">
        <v>186.38005000000001</v>
      </c>
      <c r="G1766">
        <f>_xlfn.MAXIFS(Crypto[Close],Crypto[Name],Crypto[[#This Row],[Name]],Crypto[Date],"&lt;="&amp;Crypto[[#This Row],[Date]])</f>
        <v>261.86975000000001</v>
      </c>
      <c r="H1766" s="3">
        <f>(Crypto[[#This Row],[Close]]/Crypto[[#This Row],[Peak Close]])-1</f>
        <v>-0.28827193671663109</v>
      </c>
      <c r="I1766">
        <v>187.20947000000001</v>
      </c>
      <c r="J1766" s="1">
        <v>45961</v>
      </c>
      <c r="K1766" s="3">
        <v>-4.4304382678931704E-3</v>
      </c>
      <c r="L1766">
        <v>2742470897</v>
      </c>
      <c r="M1766" s="2" t="s">
        <v>14</v>
      </c>
    </row>
    <row r="1767" spans="1:13" x14ac:dyDescent="0.3">
      <c r="A1767" s="1">
        <v>45963</v>
      </c>
      <c r="B1767" s="2" t="s">
        <v>13</v>
      </c>
      <c r="C1767">
        <v>186.37965</v>
      </c>
      <c r="D1767">
        <v>188.14152999999999</v>
      </c>
      <c r="E1767">
        <v>182.82925</v>
      </c>
      <c r="F1767">
        <v>187.82597000000001</v>
      </c>
      <c r="G1767">
        <f>_xlfn.MAXIFS(Crypto[Close],Crypto[Name],Crypto[[#This Row],[Name]],Crypto[Date],"&lt;="&amp;Crypto[[#This Row],[Date]])</f>
        <v>261.86975000000001</v>
      </c>
      <c r="H1767" s="3">
        <f>(Crypto[[#This Row],[Close]]/Crypto[[#This Row],[Peak Close]])-1</f>
        <v>-0.282750413134774</v>
      </c>
      <c r="I1767">
        <v>186.38005000000001</v>
      </c>
      <c r="J1767" s="1">
        <v>45962</v>
      </c>
      <c r="K1767" s="3">
        <v>7.7579118580556302E-3</v>
      </c>
      <c r="L1767">
        <v>3213989849</v>
      </c>
      <c r="M1767" s="2" t="s">
        <v>14</v>
      </c>
    </row>
    <row r="1768" spans="1:13" x14ac:dyDescent="0.3">
      <c r="A1768" s="1">
        <v>45964</v>
      </c>
      <c r="B1768" s="2" t="s">
        <v>13</v>
      </c>
      <c r="C1768">
        <v>187.82605000000001</v>
      </c>
      <c r="D1768">
        <v>188.74121</v>
      </c>
      <c r="E1768">
        <v>163.54528999999999</v>
      </c>
      <c r="F1768">
        <v>166.0907</v>
      </c>
      <c r="G1768">
        <f>_xlfn.MAXIFS(Crypto[Close],Crypto[Name],Crypto[[#This Row],[Name]],Crypto[Date],"&lt;="&amp;Crypto[[#This Row],[Date]])</f>
        <v>261.86975000000001</v>
      </c>
      <c r="H1768" s="3">
        <f>(Crypto[[#This Row],[Close]]/Crypto[[#This Row],[Peak Close]])-1</f>
        <v>-0.36575072149417798</v>
      </c>
      <c r="I1768">
        <v>187.82597000000001</v>
      </c>
      <c r="J1768" s="1">
        <v>45963</v>
      </c>
      <c r="K1768" s="3">
        <v>-0.115720259557291</v>
      </c>
      <c r="L1768">
        <v>10083921329</v>
      </c>
      <c r="M1768" s="2" t="s">
        <v>14</v>
      </c>
    </row>
    <row r="1769" spans="1:13" x14ac:dyDescent="0.3">
      <c r="A1769" s="1">
        <v>45965</v>
      </c>
      <c r="B1769" s="2" t="s">
        <v>13</v>
      </c>
      <c r="C1769">
        <v>166.09554</v>
      </c>
      <c r="D1769">
        <v>168.2003</v>
      </c>
      <c r="E1769">
        <v>146.74956</v>
      </c>
      <c r="F1769">
        <v>155.40317999999999</v>
      </c>
      <c r="G1769">
        <f>_xlfn.MAXIFS(Crypto[Close],Crypto[Name],Crypto[[#This Row],[Name]],Crypto[Date],"&lt;="&amp;Crypto[[#This Row],[Date]])</f>
        <v>261.86975000000001</v>
      </c>
      <c r="H1769" s="3">
        <f>(Crypto[[#This Row],[Close]]/Crypto[[#This Row],[Peak Close]])-1</f>
        <v>-0.40656307190884022</v>
      </c>
      <c r="I1769">
        <v>166.0907</v>
      </c>
      <c r="J1769" s="1">
        <v>45964</v>
      </c>
      <c r="K1769" s="3">
        <v>-6.4347492063071596E-2</v>
      </c>
      <c r="L1769">
        <v>11720472283</v>
      </c>
      <c r="M1769" s="2" t="s">
        <v>14</v>
      </c>
    </row>
    <row r="1770" spans="1:13" x14ac:dyDescent="0.3">
      <c r="A1770" s="1">
        <v>45966</v>
      </c>
      <c r="B1770" s="2" t="s">
        <v>13</v>
      </c>
      <c r="C1770">
        <v>155.39946</v>
      </c>
      <c r="D1770">
        <v>163.65787</v>
      </c>
      <c r="E1770">
        <v>147.89247</v>
      </c>
      <c r="F1770">
        <v>162.56607</v>
      </c>
      <c r="G1770">
        <f>_xlfn.MAXIFS(Crypto[Close],Crypto[Name],Crypto[[#This Row],[Name]],Crypto[Date],"&lt;="&amp;Crypto[[#This Row],[Date]])</f>
        <v>261.86975000000001</v>
      </c>
      <c r="H1770" s="3">
        <f>(Crypto[[#This Row],[Close]]/Crypto[[#This Row],[Peak Close]])-1</f>
        <v>-0.37921019896341601</v>
      </c>
      <c r="I1770">
        <v>155.40317999999999</v>
      </c>
      <c r="J1770" s="1">
        <v>45965</v>
      </c>
      <c r="K1770" s="3">
        <v>4.6092300041736603E-2</v>
      </c>
      <c r="L1770">
        <v>7278004532</v>
      </c>
      <c r="M1770" s="2" t="s">
        <v>14</v>
      </c>
    </row>
    <row r="1771" spans="1:13" x14ac:dyDescent="0.3">
      <c r="A1771" s="1">
        <v>45967</v>
      </c>
      <c r="B1771" s="2" t="s">
        <v>13</v>
      </c>
      <c r="C1771">
        <v>162.56339</v>
      </c>
      <c r="D1771">
        <v>162.77930000000001</v>
      </c>
      <c r="E1771">
        <v>153.79433</v>
      </c>
      <c r="F1771">
        <v>155.06592000000001</v>
      </c>
      <c r="G1771">
        <f>_xlfn.MAXIFS(Crypto[Close],Crypto[Name],Crypto[[#This Row],[Name]],Crypto[Date],"&lt;="&amp;Crypto[[#This Row],[Date]])</f>
        <v>261.86975000000001</v>
      </c>
      <c r="H1771" s="3">
        <f>(Crypto[[#This Row],[Close]]/Crypto[[#This Row],[Peak Close]])-1</f>
        <v>-0.40785096407660681</v>
      </c>
      <c r="I1771">
        <v>162.56607</v>
      </c>
      <c r="J1771" s="1">
        <v>45966</v>
      </c>
      <c r="K1771" s="3">
        <v>-4.61360110384657E-2</v>
      </c>
      <c r="L1771">
        <v>5543550041</v>
      </c>
      <c r="M1771" s="2" t="s">
        <v>14</v>
      </c>
    </row>
    <row r="1772" spans="1:13" x14ac:dyDescent="0.3">
      <c r="A1772" s="1">
        <v>45968</v>
      </c>
      <c r="B1772" s="2" t="s">
        <v>13</v>
      </c>
      <c r="C1772">
        <v>155.06640999999999</v>
      </c>
      <c r="D1772">
        <v>164.09254000000001</v>
      </c>
      <c r="E1772">
        <v>150.44388000000001</v>
      </c>
      <c r="F1772">
        <v>161.70818</v>
      </c>
      <c r="G1772">
        <f>_xlfn.MAXIFS(Crypto[Close],Crypto[Name],Crypto[[#This Row],[Name]],Crypto[Date],"&lt;="&amp;Crypto[[#This Row],[Date]])</f>
        <v>261.86975000000001</v>
      </c>
      <c r="H1772" s="3">
        <f>(Crypto[[#This Row],[Close]]/Crypto[[#This Row],[Peak Close]])-1</f>
        <v>-0.3824862169074511</v>
      </c>
      <c r="I1772">
        <v>155.06592000000001</v>
      </c>
      <c r="J1772" s="1">
        <v>45967</v>
      </c>
      <c r="K1772" s="3">
        <v>4.2835072980574901E-2</v>
      </c>
      <c r="L1772">
        <v>6565811742</v>
      </c>
      <c r="M1772" s="2" t="s">
        <v>14</v>
      </c>
    </row>
    <row r="1773" spans="1:13" x14ac:dyDescent="0.3">
      <c r="A1773" s="1">
        <v>45969</v>
      </c>
      <c r="B1773" s="2" t="s">
        <v>13</v>
      </c>
      <c r="C1773">
        <v>161.70853</v>
      </c>
      <c r="D1773">
        <v>164.70510999999999</v>
      </c>
      <c r="E1773">
        <v>156.08547999999999</v>
      </c>
      <c r="F1773">
        <v>158.10251</v>
      </c>
      <c r="G1773">
        <f>_xlfn.MAXIFS(Crypto[Close],Crypto[Name],Crypto[[#This Row],[Name]],Crypto[Date],"&lt;="&amp;Crypto[[#This Row],[Date]])</f>
        <v>261.86975000000001</v>
      </c>
      <c r="H1773" s="3">
        <f>(Crypto[[#This Row],[Close]]/Crypto[[#This Row],[Peak Close]])-1</f>
        <v>-0.39625516120132243</v>
      </c>
      <c r="I1773">
        <v>161.70818</v>
      </c>
      <c r="J1773" s="1">
        <v>45968</v>
      </c>
      <c r="K1773" s="3">
        <v>-2.2297387800666601E-2</v>
      </c>
      <c r="L1773">
        <v>3777278818</v>
      </c>
      <c r="M1773" s="2" t="s">
        <v>14</v>
      </c>
    </row>
    <row r="1774" spans="1:13" x14ac:dyDescent="0.3">
      <c r="A1774" s="1">
        <v>45970</v>
      </c>
      <c r="B1774" s="2" t="s">
        <v>13</v>
      </c>
      <c r="C1774">
        <v>158.10298</v>
      </c>
      <c r="D1774">
        <v>166.23103</v>
      </c>
      <c r="E1774">
        <v>155.38453999999999</v>
      </c>
      <c r="F1774">
        <v>164.45384000000001</v>
      </c>
      <c r="G1774">
        <f>_xlfn.MAXIFS(Crypto[Close],Crypto[Name],Crypto[[#This Row],[Name]],Crypto[Date],"&lt;="&amp;Crypto[[#This Row],[Date]])</f>
        <v>261.86975000000001</v>
      </c>
      <c r="H1774" s="3">
        <f>(Crypto[[#This Row],[Close]]/Crypto[[#This Row],[Peak Close]])-1</f>
        <v>-0.37200138618530776</v>
      </c>
      <c r="I1774">
        <v>158.10251</v>
      </c>
      <c r="J1774" s="1">
        <v>45969</v>
      </c>
      <c r="K1774" s="3">
        <v>4.0172227499740601E-2</v>
      </c>
      <c r="L1774">
        <v>4538025398</v>
      </c>
      <c r="M1774" s="2" t="s">
        <v>14</v>
      </c>
    </row>
    <row r="1775" spans="1:13" x14ac:dyDescent="0.3">
      <c r="A1775" s="1">
        <v>45971</v>
      </c>
      <c r="B1775" s="2" t="s">
        <v>13</v>
      </c>
      <c r="C1775">
        <v>164.45125999999999</v>
      </c>
      <c r="D1775">
        <v>170.15529000000001</v>
      </c>
      <c r="E1775">
        <v>163.85640000000001</v>
      </c>
      <c r="F1775">
        <v>167.36699999999999</v>
      </c>
      <c r="G1775">
        <f>_xlfn.MAXIFS(Crypto[Close],Crypto[Name],Crypto[[#This Row],[Name]],Crypto[Date],"&lt;="&amp;Crypto[[#This Row],[Date]])</f>
        <v>261.86975000000001</v>
      </c>
      <c r="H1775" s="3">
        <f>(Crypto[[#This Row],[Close]]/Crypto[[#This Row],[Peak Close]])-1</f>
        <v>-0.36087692450158915</v>
      </c>
      <c r="I1775">
        <v>164.45384000000001</v>
      </c>
      <c r="J1775" s="1">
        <v>45970</v>
      </c>
      <c r="K1775" s="3">
        <v>1.77141500618044E-2</v>
      </c>
      <c r="L1775">
        <v>5424364139</v>
      </c>
      <c r="M1775" s="2" t="s">
        <v>14</v>
      </c>
    </row>
    <row r="1776" spans="1:13" x14ac:dyDescent="0.3">
      <c r="A1776" s="1">
        <v>45972</v>
      </c>
      <c r="B1776" s="2" t="s">
        <v>13</v>
      </c>
      <c r="C1776">
        <v>167.36734000000001</v>
      </c>
      <c r="D1776">
        <v>171.60735</v>
      </c>
      <c r="E1776">
        <v>154.26486</v>
      </c>
      <c r="F1776">
        <v>154.56833</v>
      </c>
      <c r="G1776">
        <f>_xlfn.MAXIFS(Crypto[Close],Crypto[Name],Crypto[[#This Row],[Name]],Crypto[Date],"&lt;="&amp;Crypto[[#This Row],[Date]])</f>
        <v>261.86975000000001</v>
      </c>
      <c r="H1776" s="3">
        <f>(Crypto[[#This Row],[Close]]/Crypto[[#This Row],[Peak Close]])-1</f>
        <v>-0.40975110718210106</v>
      </c>
      <c r="I1776">
        <v>167.36699999999999</v>
      </c>
      <c r="J1776" s="1">
        <v>45971</v>
      </c>
      <c r="K1776" s="3">
        <v>-7.6470690159947799E-2</v>
      </c>
      <c r="L1776">
        <v>6202061657</v>
      </c>
      <c r="M1776" s="2" t="s">
        <v>14</v>
      </c>
    </row>
    <row r="1777" spans="1:13" x14ac:dyDescent="0.3">
      <c r="A1777" s="1">
        <v>45973</v>
      </c>
      <c r="B1777" s="2" t="s">
        <v>13</v>
      </c>
      <c r="C1777">
        <v>154.56334000000001</v>
      </c>
      <c r="D1777">
        <v>161.01407</v>
      </c>
      <c r="E1777">
        <v>151.46877000000001</v>
      </c>
      <c r="F1777">
        <v>153.26204000000001</v>
      </c>
      <c r="G1777">
        <f>_xlfn.MAXIFS(Crypto[Close],Crypto[Name],Crypto[[#This Row],[Name]],Crypto[Date],"&lt;="&amp;Crypto[[#This Row],[Date]])</f>
        <v>261.86975000000001</v>
      </c>
      <c r="H1777" s="3">
        <f>(Crypto[[#This Row],[Close]]/Crypto[[#This Row],[Peak Close]])-1</f>
        <v>-0.41473942675700415</v>
      </c>
      <c r="I1777">
        <v>154.56833</v>
      </c>
      <c r="J1777" s="1">
        <v>45972</v>
      </c>
      <c r="K1777" s="3">
        <v>-8.4512137771042099E-3</v>
      </c>
      <c r="L1777">
        <v>5979682267</v>
      </c>
      <c r="M1777" s="2" t="s">
        <v>14</v>
      </c>
    </row>
    <row r="1778" spans="1:13" x14ac:dyDescent="0.3">
      <c r="A1778" s="1">
        <v>45974</v>
      </c>
      <c r="B1778" s="2" t="s">
        <v>13</v>
      </c>
      <c r="C1778">
        <v>153.26006000000001</v>
      </c>
      <c r="D1778">
        <v>156.98609999999999</v>
      </c>
      <c r="E1778">
        <v>141.39766</v>
      </c>
      <c r="F1778">
        <v>145.10847000000001</v>
      </c>
      <c r="G1778">
        <f>_xlfn.MAXIFS(Crypto[Close],Crypto[Name],Crypto[[#This Row],[Name]],Crypto[Date],"&lt;="&amp;Crypto[[#This Row],[Date]])</f>
        <v>261.86975000000001</v>
      </c>
      <c r="H1778" s="3">
        <f>(Crypto[[#This Row],[Close]]/Crypto[[#This Row],[Peak Close]])-1</f>
        <v>-0.4458754017980312</v>
      </c>
      <c r="I1778">
        <v>153.26204000000001</v>
      </c>
      <c r="J1778" s="1">
        <v>45973</v>
      </c>
      <c r="K1778" s="3">
        <v>-5.3200192298105901E-2</v>
      </c>
      <c r="L1778">
        <v>7354986019</v>
      </c>
      <c r="M1778" s="2" t="s">
        <v>14</v>
      </c>
    </row>
    <row r="1779" spans="1:13" x14ac:dyDescent="0.3">
      <c r="A1779" s="1">
        <v>45975</v>
      </c>
      <c r="B1779" s="2" t="s">
        <v>13</v>
      </c>
      <c r="C1779">
        <v>145.10847000000001</v>
      </c>
      <c r="D1779">
        <v>145.46722</v>
      </c>
      <c r="E1779">
        <v>136.04133999999999</v>
      </c>
      <c r="F1779">
        <v>138.67661000000001</v>
      </c>
      <c r="G1779">
        <f>_xlfn.MAXIFS(Crypto[Close],Crypto[Name],Crypto[[#This Row],[Name]],Crypto[Date],"&lt;="&amp;Crypto[[#This Row],[Date]])</f>
        <v>261.86975000000001</v>
      </c>
      <c r="H1779" s="3">
        <f>(Crypto[[#This Row],[Close]]/Crypto[[#This Row],[Peak Close]])-1</f>
        <v>-0.47043669610560213</v>
      </c>
      <c r="I1779">
        <v>145.10847000000001</v>
      </c>
      <c r="J1779" s="1">
        <v>45974</v>
      </c>
      <c r="K1779" s="3">
        <v>-4.4324497391503098E-2</v>
      </c>
      <c r="L1779">
        <v>8170562276</v>
      </c>
      <c r="M1779" s="2" t="s">
        <v>14</v>
      </c>
    </row>
    <row r="1780" spans="1:13" x14ac:dyDescent="0.3">
      <c r="A1780" s="1">
        <v>45976</v>
      </c>
      <c r="B1780" s="2" t="s">
        <v>13</v>
      </c>
      <c r="C1780">
        <v>138.67661000000001</v>
      </c>
      <c r="D1780">
        <v>143.59058999999999</v>
      </c>
      <c r="E1780">
        <v>138.67661000000001</v>
      </c>
      <c r="F1780">
        <v>139.5352</v>
      </c>
      <c r="G1780">
        <f>_xlfn.MAXIFS(Crypto[Close],Crypto[Name],Crypto[[#This Row],[Name]],Crypto[Date],"&lt;="&amp;Crypto[[#This Row],[Date]])</f>
        <v>261.86975000000001</v>
      </c>
      <c r="H1780" s="3">
        <f>(Crypto[[#This Row],[Close]]/Crypto[[#This Row],[Peak Close]])-1</f>
        <v>-0.46715800507695138</v>
      </c>
      <c r="I1780">
        <v>138.67661000000001</v>
      </c>
      <c r="J1780" s="1">
        <v>45975</v>
      </c>
      <c r="K1780" s="3">
        <v>6.1913108490320896E-3</v>
      </c>
      <c r="L1780">
        <v>3449336899</v>
      </c>
      <c r="M1780" s="2" t="s">
        <v>14</v>
      </c>
    </row>
    <row r="1781" spans="1:13" x14ac:dyDescent="0.3">
      <c r="A1781" s="1">
        <v>45977</v>
      </c>
      <c r="B1781" s="2" t="s">
        <v>13</v>
      </c>
      <c r="C1781">
        <v>139.53267</v>
      </c>
      <c r="D1781">
        <v>143.15944999999999</v>
      </c>
      <c r="E1781">
        <v>134.96566999999999</v>
      </c>
      <c r="F1781">
        <v>137.26572999999999</v>
      </c>
      <c r="G1781">
        <f>_xlfn.MAXIFS(Crypto[Close],Crypto[Name],Crypto[[#This Row],[Name]],Crypto[Date],"&lt;="&amp;Crypto[[#This Row],[Date]])</f>
        <v>261.86975000000001</v>
      </c>
      <c r="H1781" s="3">
        <f>(Crypto[[#This Row],[Close]]/Crypto[[#This Row],[Peak Close]])-1</f>
        <v>-0.4758244127089899</v>
      </c>
      <c r="I1781">
        <v>139.5352</v>
      </c>
      <c r="J1781" s="1">
        <v>45976</v>
      </c>
      <c r="K1781" s="3">
        <v>-1.62644981338043E-2</v>
      </c>
      <c r="L1781">
        <v>4722106857</v>
      </c>
      <c r="M1781" s="2" t="s">
        <v>14</v>
      </c>
    </row>
    <row r="1782" spans="1:13" x14ac:dyDescent="0.3">
      <c r="A1782" s="1">
        <v>45978</v>
      </c>
      <c r="B1782" s="2" t="s">
        <v>13</v>
      </c>
      <c r="C1782">
        <v>137.26535000000001</v>
      </c>
      <c r="D1782">
        <v>142.46754000000001</v>
      </c>
      <c r="E1782">
        <v>129.01918000000001</v>
      </c>
      <c r="F1782">
        <v>130.84827000000001</v>
      </c>
      <c r="G1782">
        <f>_xlfn.MAXIFS(Crypto[Close],Crypto[Name],Crypto[[#This Row],[Name]],Crypto[Date],"&lt;="&amp;Crypto[[#This Row],[Date]])</f>
        <v>261.86975000000001</v>
      </c>
      <c r="H1782" s="3">
        <f>(Crypto[[#This Row],[Close]]/Crypto[[#This Row],[Peak Close]])-1</f>
        <v>-0.50033071784732674</v>
      </c>
      <c r="I1782">
        <v>137.26572999999999</v>
      </c>
      <c r="J1782" s="1">
        <v>45977</v>
      </c>
      <c r="K1782" s="3">
        <v>-4.67520917274835E-2</v>
      </c>
      <c r="L1782">
        <v>7330608944</v>
      </c>
      <c r="M1782" s="2" t="s">
        <v>14</v>
      </c>
    </row>
    <row r="1783" spans="1:13" x14ac:dyDescent="0.3">
      <c r="A1783" s="1">
        <v>45979</v>
      </c>
      <c r="B1783" s="2" t="s">
        <v>13</v>
      </c>
      <c r="C1783">
        <v>130.84869</v>
      </c>
      <c r="D1783">
        <v>141.83172999999999</v>
      </c>
      <c r="E1783">
        <v>129.30940000000001</v>
      </c>
      <c r="F1783">
        <v>140.71439000000001</v>
      </c>
      <c r="G1783">
        <f>_xlfn.MAXIFS(Crypto[Close],Crypto[Name],Crypto[[#This Row],[Name]],Crypto[Date],"&lt;="&amp;Crypto[[#This Row],[Date]])</f>
        <v>261.86975000000001</v>
      </c>
      <c r="H1783" s="3">
        <f>(Crypto[[#This Row],[Close]]/Crypto[[#This Row],[Peak Close]])-1</f>
        <v>-0.46265504129438395</v>
      </c>
      <c r="I1783">
        <v>130.84827000000001</v>
      </c>
      <c r="J1783" s="1">
        <v>45978</v>
      </c>
      <c r="K1783" s="3">
        <v>7.5401226168294005E-2</v>
      </c>
      <c r="L1783">
        <v>7400753648</v>
      </c>
      <c r="M1783" s="2" t="s">
        <v>14</v>
      </c>
    </row>
    <row r="1784" spans="1:13" x14ac:dyDescent="0.3">
      <c r="A1784" s="1">
        <v>45980</v>
      </c>
      <c r="B1784" s="2" t="s">
        <v>13</v>
      </c>
      <c r="C1784">
        <v>140.71439000000001</v>
      </c>
      <c r="D1784">
        <v>142.47826000000001</v>
      </c>
      <c r="E1784">
        <v>130.64391000000001</v>
      </c>
      <c r="F1784">
        <v>136.76695000000001</v>
      </c>
      <c r="G1784">
        <f>_xlfn.MAXIFS(Crypto[Close],Crypto[Name],Crypto[[#This Row],[Name]],Crypto[Date],"&lt;="&amp;Crypto[[#This Row],[Date]])</f>
        <v>261.86975000000001</v>
      </c>
      <c r="H1784" s="3">
        <f>(Crypto[[#This Row],[Close]]/Crypto[[#This Row],[Peak Close]])-1</f>
        <v>-0.47772910005833047</v>
      </c>
      <c r="I1784">
        <v>140.71439000000001</v>
      </c>
      <c r="J1784" s="1">
        <v>45979</v>
      </c>
      <c r="K1784" s="3">
        <v>-2.8052852306007899E-2</v>
      </c>
      <c r="L1784">
        <v>6005404886</v>
      </c>
      <c r="M1784" s="2" t="s">
        <v>14</v>
      </c>
    </row>
    <row r="1785" spans="1:13" x14ac:dyDescent="0.3">
      <c r="A1785" s="1">
        <v>45981</v>
      </c>
      <c r="B1785" s="2" t="s">
        <v>13</v>
      </c>
      <c r="C1785">
        <v>136.76776000000001</v>
      </c>
      <c r="D1785">
        <v>144.33061000000001</v>
      </c>
      <c r="E1785">
        <v>131.38912999999999</v>
      </c>
      <c r="F1785">
        <v>133.51714999999999</v>
      </c>
      <c r="G1785">
        <f>_xlfn.MAXIFS(Crypto[Close],Crypto[Name],Crypto[[#This Row],[Name]],Crypto[Date],"&lt;="&amp;Crypto[[#This Row],[Date]])</f>
        <v>261.86975000000001</v>
      </c>
      <c r="H1785" s="3">
        <f>(Crypto[[#This Row],[Close]]/Crypto[[#This Row],[Peak Close]])-1</f>
        <v>-0.490139086320585</v>
      </c>
      <c r="I1785">
        <v>136.76695000000001</v>
      </c>
      <c r="J1785" s="1">
        <v>45980</v>
      </c>
      <c r="K1785" s="3">
        <v>-2.3761588600170001E-2</v>
      </c>
      <c r="L1785">
        <v>8497498957</v>
      </c>
      <c r="M1785" s="2" t="s">
        <v>14</v>
      </c>
    </row>
    <row r="1786" spans="1:13" x14ac:dyDescent="0.3">
      <c r="A1786" s="1">
        <v>45982</v>
      </c>
      <c r="B1786" s="2" t="s">
        <v>13</v>
      </c>
      <c r="C1786">
        <v>133.51396</v>
      </c>
      <c r="D1786">
        <v>134.78764000000001</v>
      </c>
      <c r="E1786">
        <v>122.27206</v>
      </c>
      <c r="F1786">
        <v>128.50049999999999</v>
      </c>
      <c r="G1786">
        <f>_xlfn.MAXIFS(Crypto[Close],Crypto[Name],Crypto[[#This Row],[Name]],Crypto[Date],"&lt;="&amp;Crypto[[#This Row],[Date]])</f>
        <v>261.86975000000001</v>
      </c>
      <c r="H1786" s="3">
        <f>(Crypto[[#This Row],[Close]]/Crypto[[#This Row],[Peak Close]])-1</f>
        <v>-0.50929612908707478</v>
      </c>
      <c r="I1786">
        <v>133.51714999999999</v>
      </c>
      <c r="J1786" s="1">
        <v>45981</v>
      </c>
      <c r="K1786" s="3">
        <v>-3.7573075818349899E-2</v>
      </c>
      <c r="L1786">
        <v>10081815694</v>
      </c>
      <c r="M1786" s="2" t="s">
        <v>14</v>
      </c>
    </row>
    <row r="1787" spans="1:13" x14ac:dyDescent="0.3">
      <c r="A1787" s="1">
        <v>45983</v>
      </c>
      <c r="B1787" s="2" t="s">
        <v>13</v>
      </c>
      <c r="C1787">
        <v>128.49857</v>
      </c>
      <c r="D1787">
        <v>129.64389</v>
      </c>
      <c r="E1787">
        <v>125.40488000000001</v>
      </c>
      <c r="F1787">
        <v>127.55119999999999</v>
      </c>
      <c r="G1787">
        <f>_xlfn.MAXIFS(Crypto[Close],Crypto[Name],Crypto[[#This Row],[Name]],Crypto[Date],"&lt;="&amp;Crypto[[#This Row],[Date]])</f>
        <v>261.86975000000001</v>
      </c>
      <c r="H1787" s="3">
        <f>(Crypto[[#This Row],[Close]]/Crypto[[#This Row],[Peak Close]])-1</f>
        <v>-0.51292121369497634</v>
      </c>
      <c r="I1787">
        <v>128.50049999999999</v>
      </c>
      <c r="J1787" s="1">
        <v>45982</v>
      </c>
      <c r="K1787" s="3">
        <v>-7.3875198929186604E-3</v>
      </c>
      <c r="L1787">
        <v>3490973210</v>
      </c>
      <c r="M1787" s="2" t="s">
        <v>14</v>
      </c>
    </row>
    <row r="1788" spans="1:13" x14ac:dyDescent="0.3">
      <c r="A1788" s="1">
        <v>45984</v>
      </c>
      <c r="B1788" s="2" t="s">
        <v>13</v>
      </c>
      <c r="C1788">
        <v>127.55113</v>
      </c>
      <c r="D1788">
        <v>133.32692</v>
      </c>
      <c r="E1788">
        <v>127.55113</v>
      </c>
      <c r="F1788">
        <v>130.70506</v>
      </c>
      <c r="G1788">
        <f>_xlfn.MAXIFS(Crypto[Close],Crypto[Name],Crypto[[#This Row],[Name]],Crypto[Date],"&lt;="&amp;Crypto[[#This Row],[Date]])</f>
        <v>261.86975000000001</v>
      </c>
      <c r="H1788" s="3">
        <f>(Crypto[[#This Row],[Close]]/Crypto[[#This Row],[Peak Close]])-1</f>
        <v>-0.50087759277274291</v>
      </c>
      <c r="I1788">
        <v>127.55119999999999</v>
      </c>
      <c r="J1788" s="1">
        <v>45983</v>
      </c>
      <c r="K1788" s="3">
        <v>2.4726227585471602E-2</v>
      </c>
      <c r="L1788">
        <v>3820042054</v>
      </c>
      <c r="M1788" s="2" t="s">
        <v>14</v>
      </c>
    </row>
    <row r="1789" spans="1:13" x14ac:dyDescent="0.3">
      <c r="A1789" s="1">
        <v>45985</v>
      </c>
      <c r="B1789" s="2" t="s">
        <v>13</v>
      </c>
      <c r="C1789">
        <v>130.70604</v>
      </c>
      <c r="D1789">
        <v>139.48390000000001</v>
      </c>
      <c r="E1789">
        <v>128.54151999999999</v>
      </c>
      <c r="F1789">
        <v>138.37135000000001</v>
      </c>
      <c r="G1789">
        <f>_xlfn.MAXIFS(Crypto[Close],Crypto[Name],Crypto[[#This Row],[Name]],Crypto[Date],"&lt;="&amp;Crypto[[#This Row],[Date]])</f>
        <v>261.86975000000001</v>
      </c>
      <c r="H1789" s="3">
        <f>(Crypto[[#This Row],[Close]]/Crypto[[#This Row],[Peak Close]])-1</f>
        <v>-0.47160239011951555</v>
      </c>
      <c r="I1789">
        <v>130.70506</v>
      </c>
      <c r="J1789" s="1">
        <v>45984</v>
      </c>
      <c r="K1789" s="3">
        <v>5.8653352823524997E-2</v>
      </c>
      <c r="L1789">
        <v>6046925667</v>
      </c>
      <c r="M1789" s="2" t="s">
        <v>14</v>
      </c>
    </row>
    <row r="1790" spans="1:13" x14ac:dyDescent="0.3">
      <c r="A1790" s="1">
        <v>45986</v>
      </c>
      <c r="B1790" s="2" t="s">
        <v>13</v>
      </c>
      <c r="C1790">
        <v>138.37889000000001</v>
      </c>
      <c r="D1790">
        <v>140.34663</v>
      </c>
      <c r="E1790">
        <v>133.50812999999999</v>
      </c>
      <c r="F1790">
        <v>138.89114000000001</v>
      </c>
      <c r="G1790">
        <f>_xlfn.MAXIFS(Crypto[Close],Crypto[Name],Crypto[[#This Row],[Name]],Crypto[Date],"&lt;="&amp;Crypto[[#This Row],[Date]])</f>
        <v>261.86975000000001</v>
      </c>
      <c r="H1790" s="3">
        <f>(Crypto[[#This Row],[Close]]/Crypto[[#This Row],[Peak Close]])-1</f>
        <v>-0.46961747204478566</v>
      </c>
      <c r="I1790">
        <v>138.37135000000001</v>
      </c>
      <c r="J1790" s="1">
        <v>45985</v>
      </c>
      <c r="K1790" s="3">
        <v>3.7564857175997799E-3</v>
      </c>
      <c r="L1790">
        <v>4512057787</v>
      </c>
      <c r="M1790" s="2" t="s">
        <v>14</v>
      </c>
    </row>
    <row r="1791" spans="1:13" x14ac:dyDescent="0.3">
      <c r="A1791" s="1">
        <v>45987</v>
      </c>
      <c r="B1791" s="2" t="s">
        <v>13</v>
      </c>
      <c r="C1791">
        <v>138.88988000000001</v>
      </c>
      <c r="D1791">
        <v>144.47103999999999</v>
      </c>
      <c r="E1791">
        <v>135.63246000000001</v>
      </c>
      <c r="F1791">
        <v>143.01219</v>
      </c>
      <c r="G1791">
        <f>_xlfn.MAXIFS(Crypto[Close],Crypto[Name],Crypto[[#This Row],[Name]],Crypto[Date],"&lt;="&amp;Crypto[[#This Row],[Date]])</f>
        <v>261.86975000000001</v>
      </c>
      <c r="H1791" s="3">
        <f>(Crypto[[#This Row],[Close]]/Crypto[[#This Row],[Peak Close]])-1</f>
        <v>-0.45388045010926237</v>
      </c>
      <c r="I1791">
        <v>138.89114000000001</v>
      </c>
      <c r="J1791" s="1">
        <v>45986</v>
      </c>
      <c r="K1791" s="3">
        <v>2.9671079091150101E-2</v>
      </c>
      <c r="L1791">
        <v>5361639551</v>
      </c>
      <c r="M1791" s="2" t="s">
        <v>14</v>
      </c>
    </row>
    <row r="1792" spans="1:13" x14ac:dyDescent="0.3">
      <c r="A1792" s="1">
        <v>45988</v>
      </c>
      <c r="B1792" s="2" t="s">
        <v>13</v>
      </c>
      <c r="C1792">
        <v>143.01253</v>
      </c>
      <c r="D1792">
        <v>144.17321999999999</v>
      </c>
      <c r="E1792">
        <v>140.69576000000001</v>
      </c>
      <c r="F1792">
        <v>140.84640999999999</v>
      </c>
      <c r="G1792">
        <f>_xlfn.MAXIFS(Crypto[Close],Crypto[Name],Crypto[[#This Row],[Name]],Crypto[Date],"&lt;="&amp;Crypto[[#This Row],[Date]])</f>
        <v>261.86975000000001</v>
      </c>
      <c r="H1792" s="3">
        <f>(Crypto[[#This Row],[Close]]/Crypto[[#This Row],[Peak Close]])-1</f>
        <v>-0.46215089753589333</v>
      </c>
      <c r="I1792">
        <v>143.01219</v>
      </c>
      <c r="J1792" s="1">
        <v>45987</v>
      </c>
      <c r="K1792" s="3">
        <v>-1.51440237367179E-2</v>
      </c>
      <c r="L1792">
        <v>3419017564</v>
      </c>
      <c r="M1792" s="2" t="s">
        <v>14</v>
      </c>
    </row>
    <row r="1793" spans="1:13" x14ac:dyDescent="0.3">
      <c r="A1793" s="1">
        <v>45989</v>
      </c>
      <c r="B1793" s="2" t="s">
        <v>13</v>
      </c>
      <c r="C1793">
        <v>140.84648000000001</v>
      </c>
      <c r="D1793">
        <v>143.30421000000001</v>
      </c>
      <c r="E1793">
        <v>136.28542999999999</v>
      </c>
      <c r="F1793">
        <v>137.39019999999999</v>
      </c>
      <c r="G1793">
        <f>_xlfn.MAXIFS(Crypto[Close],Crypto[Name],Crypto[[#This Row],[Name]],Crypto[Date],"&lt;="&amp;Crypto[[#This Row],[Date]])</f>
        <v>261.86975000000001</v>
      </c>
      <c r="H1793" s="3">
        <f>(Crypto[[#This Row],[Close]]/Crypto[[#This Row],[Peak Close]])-1</f>
        <v>-0.47534910007742404</v>
      </c>
      <c r="I1793">
        <v>140.84640999999999</v>
      </c>
      <c r="J1793" s="1">
        <v>45988</v>
      </c>
      <c r="K1793" s="3">
        <v>-2.4538857610925301E-2</v>
      </c>
      <c r="L1793">
        <v>4865188881</v>
      </c>
      <c r="M1793" s="2" t="s">
        <v>14</v>
      </c>
    </row>
    <row r="1794" spans="1:13" x14ac:dyDescent="0.3">
      <c r="A1794" s="1">
        <v>45990</v>
      </c>
      <c r="B1794" s="2" t="s">
        <v>13</v>
      </c>
      <c r="C1794">
        <v>137.39063999999999</v>
      </c>
      <c r="D1794">
        <v>137.88578999999999</v>
      </c>
      <c r="E1794">
        <v>135.12067999999999</v>
      </c>
      <c r="F1794">
        <v>136.08170999999999</v>
      </c>
      <c r="G1794">
        <f>_xlfn.MAXIFS(Crypto[Close],Crypto[Name],Crypto[[#This Row],[Name]],Crypto[Date],"&lt;="&amp;Crypto[[#This Row],[Date]])</f>
        <v>261.86975000000001</v>
      </c>
      <c r="H1794" s="3">
        <f>(Crypto[[#This Row],[Close]]/Crypto[[#This Row],[Peak Close]])-1</f>
        <v>-0.48034582077540466</v>
      </c>
      <c r="I1794">
        <v>137.39019999999999</v>
      </c>
      <c r="J1794" s="1">
        <v>45989</v>
      </c>
      <c r="K1794" s="3">
        <v>-9.5238961730895397E-3</v>
      </c>
      <c r="L1794">
        <v>2428334173</v>
      </c>
      <c r="M1794" s="2" t="s">
        <v>14</v>
      </c>
    </row>
    <row r="1795" spans="1:13" x14ac:dyDescent="0.3">
      <c r="A1795" s="1">
        <v>45991</v>
      </c>
      <c r="B1795" s="2" t="s">
        <v>13</v>
      </c>
      <c r="C1795">
        <v>136.08211</v>
      </c>
      <c r="D1795">
        <v>139.93711999999999</v>
      </c>
      <c r="E1795">
        <v>133.56482</v>
      </c>
      <c r="F1795">
        <v>133.56482</v>
      </c>
      <c r="G1795">
        <f>_xlfn.MAXIFS(Crypto[Close],Crypto[Name],Crypto[[#This Row],[Name]],Crypto[Date],"&lt;="&amp;Crypto[[#This Row],[Date]])</f>
        <v>261.86975000000001</v>
      </c>
      <c r="H1795" s="3">
        <f>(Crypto[[#This Row],[Close]]/Crypto[[#This Row],[Peak Close]])-1</f>
        <v>-0.48995704925826677</v>
      </c>
      <c r="I1795">
        <v>136.08170999999999</v>
      </c>
      <c r="J1795" s="1">
        <v>45990</v>
      </c>
      <c r="K1795" s="3">
        <v>-1.8495431898967098E-2</v>
      </c>
      <c r="L1795">
        <v>3123775023</v>
      </c>
      <c r="M1795" s="2" t="s">
        <v>14</v>
      </c>
    </row>
    <row r="1796" spans="1:13" x14ac:dyDescent="0.3">
      <c r="A1796" s="1">
        <v>45992</v>
      </c>
      <c r="B1796" s="2" t="s">
        <v>13</v>
      </c>
      <c r="C1796">
        <v>133.56482</v>
      </c>
      <c r="D1796">
        <v>133.60721000000001</v>
      </c>
      <c r="E1796">
        <v>123.31386999999999</v>
      </c>
      <c r="F1796">
        <v>126.70902</v>
      </c>
      <c r="G1796">
        <f>_xlfn.MAXIFS(Crypto[Close],Crypto[Name],Crypto[[#This Row],[Name]],Crypto[Date],"&lt;="&amp;Crypto[[#This Row],[Date]])</f>
        <v>261.86975000000001</v>
      </c>
      <c r="H1796" s="3">
        <f>(Crypto[[#This Row],[Close]]/Crypto[[#This Row],[Peak Close]])-1</f>
        <v>-0.5161372399828541</v>
      </c>
      <c r="I1796">
        <v>133.56482</v>
      </c>
      <c r="J1796" s="1">
        <v>45991</v>
      </c>
      <c r="K1796" s="3">
        <v>-5.1329384489119202E-2</v>
      </c>
      <c r="L1796">
        <v>6212210725</v>
      </c>
      <c r="M1796" s="2" t="s">
        <v>14</v>
      </c>
    </row>
    <row r="1797" spans="1:13" x14ac:dyDescent="0.3">
      <c r="A1797" s="1">
        <v>45993</v>
      </c>
      <c r="B1797" s="2" t="s">
        <v>13</v>
      </c>
      <c r="C1797">
        <v>126.70862</v>
      </c>
      <c r="D1797">
        <v>140.66482999999999</v>
      </c>
      <c r="E1797">
        <v>126.14126</v>
      </c>
      <c r="F1797">
        <v>138.67420999999999</v>
      </c>
      <c r="G1797">
        <f>_xlfn.MAXIFS(Crypto[Close],Crypto[Name],Crypto[[#This Row],[Name]],Crypto[Date],"&lt;="&amp;Crypto[[#This Row],[Date]])</f>
        <v>261.86975000000001</v>
      </c>
      <c r="H1797" s="3">
        <f>(Crypto[[#This Row],[Close]]/Crypto[[#This Row],[Peak Close]])-1</f>
        <v>-0.47044586096714114</v>
      </c>
      <c r="I1797">
        <v>126.70902</v>
      </c>
      <c r="J1797" s="1">
        <v>45992</v>
      </c>
      <c r="K1797" s="3">
        <v>9.4430451754736897E-2</v>
      </c>
      <c r="L1797">
        <v>6173683503</v>
      </c>
      <c r="M1797" s="2" t="s">
        <v>14</v>
      </c>
    </row>
    <row r="1798" spans="1:13" x14ac:dyDescent="0.3">
      <c r="A1798" s="1">
        <v>45994</v>
      </c>
      <c r="B1798" s="2" t="s">
        <v>13</v>
      </c>
      <c r="C1798">
        <v>138.67310000000001</v>
      </c>
      <c r="D1798">
        <v>145.73007000000001</v>
      </c>
      <c r="E1798">
        <v>137.94105999999999</v>
      </c>
      <c r="F1798">
        <v>144.89850000000001</v>
      </c>
      <c r="G1798">
        <f>_xlfn.MAXIFS(Crypto[Close],Crypto[Name],Crypto[[#This Row],[Name]],Crypto[Date],"&lt;="&amp;Crypto[[#This Row],[Date]])</f>
        <v>261.86975000000001</v>
      </c>
      <c r="H1798" s="3">
        <f>(Crypto[[#This Row],[Close]]/Crypto[[#This Row],[Peak Close]])-1</f>
        <v>-0.44667721262192361</v>
      </c>
      <c r="I1798">
        <v>138.67420999999999</v>
      </c>
      <c r="J1798" s="1">
        <v>45993</v>
      </c>
      <c r="K1798" s="3">
        <v>4.48842650699076E-2</v>
      </c>
      <c r="L1798">
        <v>5809364566</v>
      </c>
      <c r="M1798" s="2" t="s">
        <v>14</v>
      </c>
    </row>
    <row r="1799" spans="1:13" x14ac:dyDescent="0.3">
      <c r="A1799" s="1">
        <v>45995</v>
      </c>
      <c r="B1799" s="2" t="s">
        <v>13</v>
      </c>
      <c r="C1799">
        <v>144.89153999999999</v>
      </c>
      <c r="D1799">
        <v>146.72038000000001</v>
      </c>
      <c r="E1799">
        <v>138.06799000000001</v>
      </c>
      <c r="F1799">
        <v>139.01453000000001</v>
      </c>
      <c r="G1799">
        <f>_xlfn.MAXIFS(Crypto[Close],Crypto[Name],Crypto[[#This Row],[Name]],Crypto[Date],"&lt;="&amp;Crypto[[#This Row],[Date]])</f>
        <v>261.86975000000001</v>
      </c>
      <c r="H1799" s="3">
        <f>(Crypto[[#This Row],[Close]]/Crypto[[#This Row],[Peak Close]])-1</f>
        <v>-0.46914628360091226</v>
      </c>
      <c r="I1799">
        <v>144.89850000000001</v>
      </c>
      <c r="J1799" s="1">
        <v>45994</v>
      </c>
      <c r="K1799" s="3">
        <v>-4.0607528718378798E-2</v>
      </c>
      <c r="L1799">
        <v>4304817495</v>
      </c>
      <c r="M1799" s="2" t="s">
        <v>14</v>
      </c>
    </row>
    <row r="1800" spans="1:13" x14ac:dyDescent="0.3">
      <c r="A1800" s="1">
        <v>45996</v>
      </c>
      <c r="B1800" s="2" t="s">
        <v>13</v>
      </c>
      <c r="C1800">
        <v>139.01398</v>
      </c>
      <c r="D1800">
        <v>140.37988000000001</v>
      </c>
      <c r="E1800">
        <v>131.1353</v>
      </c>
      <c r="F1800">
        <v>133.32300000000001</v>
      </c>
      <c r="G1800">
        <f>_xlfn.MAXIFS(Crypto[Close],Crypto[Name],Crypto[[#This Row],[Name]],Crypto[Date],"&lt;="&amp;Crypto[[#This Row],[Date]])</f>
        <v>261.86975000000001</v>
      </c>
      <c r="H1800" s="3">
        <f>(Crypto[[#This Row],[Close]]/Crypto[[#This Row],[Peak Close]])-1</f>
        <v>-0.49088048543216622</v>
      </c>
      <c r="I1800">
        <v>139.01453000000001</v>
      </c>
      <c r="J1800" s="1">
        <v>45995</v>
      </c>
      <c r="K1800" s="3">
        <v>-4.0941979230516401E-2</v>
      </c>
      <c r="L1800">
        <v>4557254539</v>
      </c>
      <c r="M1800" s="2" t="s">
        <v>14</v>
      </c>
    </row>
    <row r="1801" spans="1:13" x14ac:dyDescent="0.3">
      <c r="A1801" s="1">
        <v>45997</v>
      </c>
      <c r="B1801" s="2" t="s">
        <v>13</v>
      </c>
      <c r="C1801">
        <v>133.32436999999999</v>
      </c>
      <c r="D1801">
        <v>134.06984</v>
      </c>
      <c r="E1801">
        <v>131.50658000000001</v>
      </c>
      <c r="F1801">
        <v>132.34845000000001</v>
      </c>
      <c r="G1801">
        <f>_xlfn.MAXIFS(Crypto[Close],Crypto[Name],Crypto[[#This Row],[Name]],Crypto[Date],"&lt;="&amp;Crypto[[#This Row],[Date]])</f>
        <v>261.86975000000001</v>
      </c>
      <c r="H1801" s="3">
        <f>(Crypto[[#This Row],[Close]]/Crypto[[#This Row],[Peak Close]])-1</f>
        <v>-0.49460199202084243</v>
      </c>
      <c r="I1801">
        <v>133.32300000000001</v>
      </c>
      <c r="J1801" s="1">
        <v>45996</v>
      </c>
      <c r="K1801" s="3">
        <v>-7.3096915010912901E-3</v>
      </c>
      <c r="L1801">
        <v>2061286212</v>
      </c>
      <c r="M1801" s="2" t="s">
        <v>14</v>
      </c>
    </row>
    <row r="1802" spans="1:13" x14ac:dyDescent="0.3">
      <c r="A1802" s="1">
        <v>45998</v>
      </c>
      <c r="B1802" s="2" t="s">
        <v>13</v>
      </c>
      <c r="C1802">
        <v>132.34987000000001</v>
      </c>
      <c r="D1802">
        <v>136.23267999999999</v>
      </c>
      <c r="E1802">
        <v>128.28511</v>
      </c>
      <c r="F1802">
        <v>132.09357</v>
      </c>
      <c r="G1802">
        <f>_xlfn.MAXIFS(Crypto[Close],Crypto[Name],Crypto[[#This Row],[Name]],Crypto[Date],"&lt;="&amp;Crypto[[#This Row],[Date]])</f>
        <v>261.86975000000001</v>
      </c>
      <c r="H1802" s="3">
        <f>(Crypto[[#This Row],[Close]]/Crypto[[#This Row],[Peak Close]])-1</f>
        <v>-0.49557530031628316</v>
      </c>
      <c r="I1802">
        <v>132.34845000000001</v>
      </c>
      <c r="J1802" s="1">
        <v>45997</v>
      </c>
      <c r="K1802" s="3">
        <v>-1.92582534967364E-3</v>
      </c>
      <c r="L1802">
        <v>3824892147</v>
      </c>
      <c r="M1802" s="2" t="s">
        <v>14</v>
      </c>
    </row>
    <row r="1803" spans="1:13" x14ac:dyDescent="0.3">
      <c r="A1803" s="1">
        <v>45999</v>
      </c>
      <c r="B1803" s="2" t="s">
        <v>13</v>
      </c>
      <c r="C1803">
        <v>132.09599</v>
      </c>
      <c r="D1803">
        <v>139.20734999999999</v>
      </c>
      <c r="E1803">
        <v>131.67465000000001</v>
      </c>
      <c r="F1803">
        <v>133.27823000000001</v>
      </c>
      <c r="G1803">
        <f>_xlfn.MAXIFS(Crypto[Close],Crypto[Name],Crypto[[#This Row],[Name]],Crypto[Date],"&lt;="&amp;Crypto[[#This Row],[Date]])</f>
        <v>261.86975000000001</v>
      </c>
      <c r="H1803" s="3">
        <f>(Crypto[[#This Row],[Close]]/Crypto[[#This Row],[Peak Close]])-1</f>
        <v>-0.49105144828679137</v>
      </c>
      <c r="I1803">
        <v>132.09357</v>
      </c>
      <c r="J1803" s="1">
        <v>45998</v>
      </c>
      <c r="K1803" s="3">
        <v>8.9683396398477794E-3</v>
      </c>
      <c r="L1803">
        <v>4710407082</v>
      </c>
      <c r="M1803" s="2" t="s">
        <v>14</v>
      </c>
    </row>
    <row r="1804" spans="1:13" x14ac:dyDescent="0.3">
      <c r="A1804" s="1">
        <v>46000</v>
      </c>
      <c r="B1804" s="2" t="s">
        <v>13</v>
      </c>
      <c r="C1804">
        <v>133.27833999999999</v>
      </c>
      <c r="D1804">
        <v>144.74278000000001</v>
      </c>
      <c r="E1804">
        <v>131.87073000000001</v>
      </c>
      <c r="F1804">
        <v>137.90161000000001</v>
      </c>
      <c r="G1804">
        <f>_xlfn.MAXIFS(Crypto[Close],Crypto[Name],Crypto[[#This Row],[Name]],Crypto[Date],"&lt;="&amp;Crypto[[#This Row],[Date]])</f>
        <v>261.86975000000001</v>
      </c>
      <c r="H1804" s="3">
        <f>(Crypto[[#This Row],[Close]]/Crypto[[#This Row],[Peak Close]])-1</f>
        <v>-0.47339618264423444</v>
      </c>
      <c r="I1804">
        <v>133.27823000000001</v>
      </c>
      <c r="J1804" s="1">
        <v>45999</v>
      </c>
      <c r="K1804" s="3">
        <v>3.4689686380138703E-2</v>
      </c>
      <c r="L1804">
        <v>5869893316</v>
      </c>
      <c r="M1804" s="2" t="s">
        <v>14</v>
      </c>
    </row>
    <row r="1805" spans="1:13" x14ac:dyDescent="0.3">
      <c r="A1805" s="1">
        <v>46001</v>
      </c>
      <c r="B1805" s="2" t="s">
        <v>13</v>
      </c>
      <c r="C1805">
        <v>137.90610000000001</v>
      </c>
      <c r="D1805">
        <v>142.44235</v>
      </c>
      <c r="E1805">
        <v>135.86286999999999</v>
      </c>
      <c r="F1805">
        <v>136.46902</v>
      </c>
      <c r="G1805">
        <f>_xlfn.MAXIFS(Crypto[Close],Crypto[Name],Crypto[[#This Row],[Name]],Crypto[Date],"&lt;="&amp;Crypto[[#This Row],[Date]])</f>
        <v>261.86975000000001</v>
      </c>
      <c r="H1805" s="3">
        <f>(Crypto[[#This Row],[Close]]/Crypto[[#This Row],[Peak Close]])-1</f>
        <v>-0.47886680305762697</v>
      </c>
      <c r="I1805">
        <v>137.90161000000001</v>
      </c>
      <c r="J1805" s="1">
        <v>46000</v>
      </c>
      <c r="K1805" s="3">
        <v>-1.03884936513794E-2</v>
      </c>
      <c r="L1805">
        <v>5949930252</v>
      </c>
      <c r="M1805" s="2" t="s">
        <v>14</v>
      </c>
    </row>
    <row r="1806" spans="1:13" x14ac:dyDescent="0.3">
      <c r="A1806" s="1">
        <v>46002</v>
      </c>
      <c r="B1806" s="2" t="s">
        <v>13</v>
      </c>
      <c r="C1806">
        <v>136.46376000000001</v>
      </c>
      <c r="D1806">
        <v>137.67806999999999</v>
      </c>
      <c r="E1806">
        <v>129.38401999999999</v>
      </c>
      <c r="F1806">
        <v>136.37156999999999</v>
      </c>
      <c r="G1806">
        <f>_xlfn.MAXIFS(Crypto[Close],Crypto[Name],Crypto[[#This Row],[Name]],Crypto[Date],"&lt;="&amp;Crypto[[#This Row],[Date]])</f>
        <v>261.86975000000001</v>
      </c>
      <c r="H1806" s="3">
        <f>(Crypto[[#This Row],[Close]]/Crypto[[#This Row],[Peak Close]])-1</f>
        <v>-0.47923893462303302</v>
      </c>
      <c r="I1806">
        <v>136.46902</v>
      </c>
      <c r="J1806" s="1">
        <v>46001</v>
      </c>
      <c r="K1806" s="3">
        <v>-7.1408148164329999E-4</v>
      </c>
      <c r="L1806">
        <v>5833676784</v>
      </c>
      <c r="M1806" s="2" t="s">
        <v>14</v>
      </c>
    </row>
    <row r="1807" spans="1:13" x14ac:dyDescent="0.3">
      <c r="A1807" s="1">
        <v>46003</v>
      </c>
      <c r="B1807" s="2" t="s">
        <v>13</v>
      </c>
      <c r="C1807">
        <v>136.36993000000001</v>
      </c>
      <c r="D1807">
        <v>139.98732000000001</v>
      </c>
      <c r="E1807">
        <v>130.67986999999999</v>
      </c>
      <c r="F1807">
        <v>132.32429999999999</v>
      </c>
      <c r="G1807">
        <f>_xlfn.MAXIFS(Crypto[Close],Crypto[Name],Crypto[[#This Row],[Name]],Crypto[Date],"&lt;="&amp;Crypto[[#This Row],[Date]])</f>
        <v>261.86975000000001</v>
      </c>
      <c r="H1807" s="3">
        <f>(Crypto[[#This Row],[Close]]/Crypto[[#This Row],[Peak Close]])-1</f>
        <v>-0.49469421344007858</v>
      </c>
      <c r="I1807">
        <v>136.37156999999999</v>
      </c>
      <c r="J1807" s="1">
        <v>46002</v>
      </c>
      <c r="K1807" s="3">
        <v>-2.9678253319221901E-2</v>
      </c>
      <c r="L1807">
        <v>5282060650</v>
      </c>
      <c r="M1807" s="2" t="s">
        <v>14</v>
      </c>
    </row>
    <row r="1808" spans="1:13" x14ac:dyDescent="0.3">
      <c r="A1808" s="1">
        <v>46004</v>
      </c>
      <c r="B1808" s="2" t="s">
        <v>13</v>
      </c>
      <c r="C1808">
        <v>132.32404</v>
      </c>
      <c r="D1808">
        <v>134.24512999999999</v>
      </c>
      <c r="E1808">
        <v>131.98580999999999</v>
      </c>
      <c r="F1808">
        <v>133.24746999999999</v>
      </c>
      <c r="G1808">
        <f>_xlfn.MAXIFS(Crypto[Close],Crypto[Name],Crypto[[#This Row],[Name]],Crypto[Date],"&lt;="&amp;Crypto[[#This Row],[Date]])</f>
        <v>261.86975000000001</v>
      </c>
      <c r="H1808" s="3">
        <f>(Crypto[[#This Row],[Close]]/Crypto[[#This Row],[Peak Close]])-1</f>
        <v>-0.49116891126218287</v>
      </c>
      <c r="I1808">
        <v>132.32429999999999</v>
      </c>
      <c r="J1808" s="1">
        <v>46003</v>
      </c>
      <c r="K1808" s="3">
        <v>6.9765719523927098E-3</v>
      </c>
      <c r="L1808">
        <v>2024059188</v>
      </c>
      <c r="M1808" s="2" t="s">
        <v>14</v>
      </c>
    </row>
    <row r="1809" spans="1:13" x14ac:dyDescent="0.3">
      <c r="A1809" s="1">
        <v>46005</v>
      </c>
      <c r="B1809" s="2" t="s">
        <v>13</v>
      </c>
      <c r="C1809">
        <v>133.24762000000001</v>
      </c>
      <c r="D1809">
        <v>133.59099000000001</v>
      </c>
      <c r="E1809">
        <v>128.90165999999999</v>
      </c>
      <c r="F1809">
        <v>129.48108999999999</v>
      </c>
      <c r="G1809">
        <f>_xlfn.MAXIFS(Crypto[Close],Crypto[Name],Crypto[[#This Row],[Name]],Crypto[Date],"&lt;="&amp;Crypto[[#This Row],[Date]])</f>
        <v>261.86975000000001</v>
      </c>
      <c r="H1809" s="3">
        <f>(Crypto[[#This Row],[Close]]/Crypto[[#This Row],[Peak Close]])-1</f>
        <v>-0.50555155759685877</v>
      </c>
      <c r="I1809">
        <v>133.24746999999999</v>
      </c>
      <c r="J1809" s="1">
        <v>46004</v>
      </c>
      <c r="K1809" s="3">
        <v>-2.82660526312432E-2</v>
      </c>
      <c r="L1809">
        <v>2489001258</v>
      </c>
      <c r="M1809" s="2" t="s">
        <v>14</v>
      </c>
    </row>
    <row r="1810" spans="1:13" x14ac:dyDescent="0.3">
      <c r="A1810" s="1">
        <v>46006</v>
      </c>
      <c r="B1810" s="2" t="s">
        <v>13</v>
      </c>
      <c r="C1810">
        <v>129.48334</v>
      </c>
      <c r="D1810">
        <v>134.71762000000001</v>
      </c>
      <c r="E1810">
        <v>123.99805000000001</v>
      </c>
      <c r="F1810">
        <v>127.75712</v>
      </c>
      <c r="G1810">
        <f>_xlfn.MAXIFS(Crypto[Close],Crypto[Name],Crypto[[#This Row],[Name]],Crypto[Date],"&lt;="&amp;Crypto[[#This Row],[Date]])</f>
        <v>261.86975000000001</v>
      </c>
      <c r="H1810" s="3">
        <f>(Crypto[[#This Row],[Close]]/Crypto[[#This Row],[Peak Close]])-1</f>
        <v>-0.51213486857493096</v>
      </c>
      <c r="I1810">
        <v>129.48108999999999</v>
      </c>
      <c r="J1810" s="1">
        <v>46005</v>
      </c>
      <c r="K1810" s="3">
        <v>-1.33144538712178E-2</v>
      </c>
      <c r="L1810">
        <v>5120043768</v>
      </c>
      <c r="M1810" s="2" t="s">
        <v>14</v>
      </c>
    </row>
    <row r="1811" spans="1:13" x14ac:dyDescent="0.3">
      <c r="A1811" s="1">
        <v>46007</v>
      </c>
      <c r="B1811" s="2" t="s">
        <v>13</v>
      </c>
      <c r="C1811">
        <v>127.75731</v>
      </c>
      <c r="D1811">
        <v>129.94526999999999</v>
      </c>
      <c r="E1811">
        <v>125.45385</v>
      </c>
      <c r="F1811">
        <v>129.25120999999999</v>
      </c>
      <c r="G1811">
        <f>_xlfn.MAXIFS(Crypto[Close],Crypto[Name],Crypto[[#This Row],[Name]],Crypto[Date],"&lt;="&amp;Crypto[[#This Row],[Date]])</f>
        <v>261.86975000000001</v>
      </c>
      <c r="H1811" s="3">
        <f>(Crypto[[#This Row],[Close]]/Crypto[[#This Row],[Peak Close]])-1</f>
        <v>-0.50642939858460179</v>
      </c>
      <c r="I1811">
        <v>127.75712</v>
      </c>
      <c r="J1811" s="1">
        <v>46006</v>
      </c>
      <c r="K1811" s="3">
        <v>1.16947689490808E-2</v>
      </c>
      <c r="L1811">
        <v>3918682307</v>
      </c>
      <c r="M1811" s="2" t="s">
        <v>14</v>
      </c>
    </row>
    <row r="1812" spans="1:13" x14ac:dyDescent="0.3">
      <c r="A1812" s="1">
        <v>46008</v>
      </c>
      <c r="B1812" s="2" t="s">
        <v>13</v>
      </c>
      <c r="C1812">
        <v>129.25282000000001</v>
      </c>
      <c r="D1812">
        <v>133.44176999999999</v>
      </c>
      <c r="E1812">
        <v>121.55804999999999</v>
      </c>
      <c r="F1812">
        <v>123.1198</v>
      </c>
      <c r="G1812">
        <f>_xlfn.MAXIFS(Crypto[Close],Crypto[Name],Crypto[[#This Row],[Name]],Crypto[Date],"&lt;="&amp;Crypto[[#This Row],[Date]])</f>
        <v>261.86975000000001</v>
      </c>
      <c r="H1812" s="3">
        <f>(Crypto[[#This Row],[Close]]/Crypto[[#This Row],[Peak Close]])-1</f>
        <v>-0.52984336678826027</v>
      </c>
      <c r="I1812">
        <v>129.25120999999999</v>
      </c>
      <c r="J1812" s="1">
        <v>46007</v>
      </c>
      <c r="K1812" s="3">
        <v>-4.7437931141998499E-2</v>
      </c>
      <c r="L1812">
        <v>5452646038</v>
      </c>
      <c r="M1812" s="2" t="s">
        <v>14</v>
      </c>
    </row>
    <row r="1813" spans="1:13" x14ac:dyDescent="0.3">
      <c r="A1813" s="1">
        <v>46009</v>
      </c>
      <c r="B1813" s="2" t="s">
        <v>13</v>
      </c>
      <c r="C1813">
        <v>123.12611</v>
      </c>
      <c r="D1813">
        <v>128.76418000000001</v>
      </c>
      <c r="E1813">
        <v>117.31623</v>
      </c>
      <c r="F1813">
        <v>119.57015</v>
      </c>
      <c r="G1813">
        <f>_xlfn.MAXIFS(Crypto[Close],Crypto[Name],Crypto[[#This Row],[Name]],Crypto[Date],"&lt;="&amp;Crypto[[#This Row],[Date]])</f>
        <v>261.86975000000001</v>
      </c>
      <c r="H1813" s="3">
        <f>(Crypto[[#This Row],[Close]]/Crypto[[#This Row],[Peak Close]])-1</f>
        <v>-0.54339838793904227</v>
      </c>
      <c r="I1813">
        <v>123.1198</v>
      </c>
      <c r="J1813" s="1">
        <v>46008</v>
      </c>
      <c r="K1813" s="3">
        <v>-2.8830862298346801E-2</v>
      </c>
      <c r="L1813">
        <v>5835673225</v>
      </c>
      <c r="M1813" s="2" t="s">
        <v>14</v>
      </c>
    </row>
    <row r="1814" spans="1:13" x14ac:dyDescent="0.3">
      <c r="A1814" s="1">
        <v>46010</v>
      </c>
      <c r="B1814" s="2" t="s">
        <v>13</v>
      </c>
      <c r="C1814">
        <v>119.57015</v>
      </c>
      <c r="D1814">
        <v>127.50523</v>
      </c>
      <c r="E1814">
        <v>117.79813</v>
      </c>
      <c r="F1814">
        <v>126.19275</v>
      </c>
      <c r="G1814">
        <f>_xlfn.MAXIFS(Crypto[Close],Crypto[Name],Crypto[[#This Row],[Name]],Crypto[Date],"&lt;="&amp;Crypto[[#This Row],[Date]])</f>
        <v>261.86975000000001</v>
      </c>
      <c r="H1814" s="3">
        <f>(Crypto[[#This Row],[Close]]/Crypto[[#This Row],[Peak Close]])-1</f>
        <v>-0.51810871626066013</v>
      </c>
      <c r="I1814">
        <v>119.57015</v>
      </c>
      <c r="J1814" s="1">
        <v>46009</v>
      </c>
      <c r="K1814" s="3">
        <v>5.5386733227314702E-2</v>
      </c>
      <c r="L1814">
        <v>5045203467</v>
      </c>
      <c r="M1814" s="2" t="s">
        <v>14</v>
      </c>
    </row>
    <row r="1815" spans="1:13" x14ac:dyDescent="0.3">
      <c r="A1815" s="1">
        <v>46011</v>
      </c>
      <c r="B1815" s="2" t="s">
        <v>13</v>
      </c>
      <c r="C1815">
        <v>126.19405</v>
      </c>
      <c r="D1815">
        <v>126.76324</v>
      </c>
      <c r="E1815">
        <v>125.39104</v>
      </c>
      <c r="F1815">
        <v>125.80904</v>
      </c>
      <c r="G1815">
        <f>_xlfn.MAXIFS(Crypto[Close],Crypto[Name],Crypto[[#This Row],[Name]],Crypto[Date],"&lt;="&amp;Crypto[[#This Row],[Date]])</f>
        <v>261.86975000000001</v>
      </c>
      <c r="H1815" s="3">
        <f>(Crypto[[#This Row],[Close]]/Crypto[[#This Row],[Peak Close]])-1</f>
        <v>-0.51957398668612931</v>
      </c>
      <c r="I1815">
        <v>126.19275</v>
      </c>
      <c r="J1815" s="1">
        <v>46010</v>
      </c>
      <c r="K1815" s="3">
        <v>-3.04066596535861E-3</v>
      </c>
      <c r="L1815">
        <v>1703857955</v>
      </c>
      <c r="M1815" s="2" t="s">
        <v>14</v>
      </c>
    </row>
    <row r="1816" spans="1:13" x14ac:dyDescent="0.3">
      <c r="A1816" s="1">
        <v>46012</v>
      </c>
      <c r="B1816" s="2" t="s">
        <v>13</v>
      </c>
      <c r="C1816">
        <v>125.81023999999999</v>
      </c>
      <c r="D1816">
        <v>126.45637000000001</v>
      </c>
      <c r="E1816">
        <v>123.60158</v>
      </c>
      <c r="F1816">
        <v>125.9915</v>
      </c>
      <c r="G1816">
        <f>_xlfn.MAXIFS(Crypto[Close],Crypto[Name],Crypto[[#This Row],[Name]],Crypto[Date],"&lt;="&amp;Crypto[[#This Row],[Date]])</f>
        <v>261.86975000000001</v>
      </c>
      <c r="H1816" s="3">
        <f>(Crypto[[#This Row],[Close]]/Crypto[[#This Row],[Peak Close]])-1</f>
        <v>-0.51887722808762748</v>
      </c>
      <c r="I1816">
        <v>125.80904</v>
      </c>
      <c r="J1816" s="1">
        <v>46011</v>
      </c>
      <c r="K1816" s="3">
        <v>1.4502932380694299E-3</v>
      </c>
      <c r="L1816">
        <v>2335972346</v>
      </c>
      <c r="M1816" s="2" t="s">
        <v>14</v>
      </c>
    </row>
    <row r="1817" spans="1:13" x14ac:dyDescent="0.3">
      <c r="A1817" s="1">
        <v>46013</v>
      </c>
      <c r="B1817" s="2" t="s">
        <v>13</v>
      </c>
      <c r="C1817">
        <v>125.99151999999999</v>
      </c>
      <c r="D1817">
        <v>128.38507000000001</v>
      </c>
      <c r="E1817">
        <v>124.40662</v>
      </c>
      <c r="F1817">
        <v>125.80123</v>
      </c>
      <c r="G1817">
        <f>_xlfn.MAXIFS(Crypto[Close],Crypto[Name],Crypto[[#This Row],[Name]],Crypto[Date],"&lt;="&amp;Crypto[[#This Row],[Date]])</f>
        <v>261.86975000000001</v>
      </c>
      <c r="H1817" s="3">
        <f>(Crypto[[#This Row],[Close]]/Crypto[[#This Row],[Peak Close]])-1</f>
        <v>-0.51960381067305406</v>
      </c>
      <c r="I1817">
        <v>125.9915</v>
      </c>
      <c r="J1817" s="1">
        <v>46012</v>
      </c>
      <c r="K1817" s="3">
        <v>-1.51018124238538E-3</v>
      </c>
      <c r="L1817">
        <v>3657779407</v>
      </c>
      <c r="M1817" s="2" t="s">
        <v>14</v>
      </c>
    </row>
    <row r="1818" spans="1:13" x14ac:dyDescent="0.3">
      <c r="A1818" s="1">
        <v>46014</v>
      </c>
      <c r="B1818" s="2" t="s">
        <v>13</v>
      </c>
      <c r="C1818">
        <v>125.80123</v>
      </c>
      <c r="D1818">
        <v>126.73116</v>
      </c>
      <c r="E1818">
        <v>122.32802</v>
      </c>
      <c r="F1818">
        <v>123.85722</v>
      </c>
      <c r="G1818">
        <f>_xlfn.MAXIFS(Crypto[Close],Crypto[Name],Crypto[[#This Row],[Name]],Crypto[Date],"&lt;="&amp;Crypto[[#This Row],[Date]])</f>
        <v>261.86975000000001</v>
      </c>
      <c r="H1818" s="3">
        <f>(Crypto[[#This Row],[Close]]/Crypto[[#This Row],[Peak Close]])-1</f>
        <v>-0.52702738670655935</v>
      </c>
      <c r="I1818">
        <v>125.80123</v>
      </c>
      <c r="J1818" s="1">
        <v>46013</v>
      </c>
      <c r="K1818" s="3">
        <v>-1.5453028559418699E-2</v>
      </c>
      <c r="L1818">
        <v>3084149409</v>
      </c>
      <c r="M1818" s="2" t="s">
        <v>14</v>
      </c>
    </row>
    <row r="1819" spans="1:13" x14ac:dyDescent="0.3">
      <c r="A1819" s="1">
        <v>46015</v>
      </c>
      <c r="B1819" s="2" t="s">
        <v>13</v>
      </c>
      <c r="C1819">
        <v>123.85684000000001</v>
      </c>
      <c r="D1819">
        <v>124.10684000000001</v>
      </c>
      <c r="E1819">
        <v>120.78386</v>
      </c>
      <c r="F1819">
        <v>122.4586</v>
      </c>
      <c r="G1819">
        <f>_xlfn.MAXIFS(Crypto[Close],Crypto[Name],Crypto[[#This Row],[Name]],Crypto[Date],"&lt;="&amp;Crypto[[#This Row],[Date]])</f>
        <v>261.86975000000001</v>
      </c>
      <c r="H1819" s="3">
        <f>(Crypto[[#This Row],[Close]]/Crypto[[#This Row],[Peak Close]])-1</f>
        <v>-0.53236828614225207</v>
      </c>
      <c r="I1819">
        <v>123.85722</v>
      </c>
      <c r="J1819" s="1">
        <v>46014</v>
      </c>
      <c r="K1819" s="3">
        <v>-1.1292195965644901E-2</v>
      </c>
      <c r="L1819">
        <v>2313559221</v>
      </c>
      <c r="M1819" s="2" t="s">
        <v>14</v>
      </c>
    </row>
    <row r="1820" spans="1:13" x14ac:dyDescent="0.3">
      <c r="A1820" s="1">
        <v>46016</v>
      </c>
      <c r="B1820" s="2" t="s">
        <v>13</v>
      </c>
      <c r="C1820">
        <v>122.45836</v>
      </c>
      <c r="D1820">
        <v>124.19392000000001</v>
      </c>
      <c r="E1820">
        <v>119.90098999999999</v>
      </c>
      <c r="F1820">
        <v>119.94712</v>
      </c>
      <c r="G1820">
        <f>_xlfn.MAXIFS(Crypto[Close],Crypto[Name],Crypto[[#This Row],[Name]],Crypto[Date],"&lt;="&amp;Crypto[[#This Row],[Date]])</f>
        <v>261.86975000000001</v>
      </c>
      <c r="H1820" s="3">
        <f>(Crypto[[#This Row],[Close]]/Crypto[[#This Row],[Peak Close]])-1</f>
        <v>-0.54195885549972844</v>
      </c>
      <c r="I1820">
        <v>122.4586</v>
      </c>
      <c r="J1820" s="1">
        <v>46015</v>
      </c>
      <c r="K1820" s="3">
        <v>-2.05088086912639E-2</v>
      </c>
      <c r="L1820">
        <v>2194207451</v>
      </c>
      <c r="M1820" s="2" t="s">
        <v>14</v>
      </c>
    </row>
    <row r="1821" spans="1:13" x14ac:dyDescent="0.3">
      <c r="A1821" s="1">
        <v>46017</v>
      </c>
      <c r="B1821" s="2" t="s">
        <v>13</v>
      </c>
      <c r="C1821">
        <v>119.94737000000001</v>
      </c>
      <c r="D1821">
        <v>124.92918</v>
      </c>
      <c r="E1821">
        <v>119.57317</v>
      </c>
      <c r="F1821">
        <v>122.19595</v>
      </c>
      <c r="G1821">
        <f>_xlfn.MAXIFS(Crypto[Close],Crypto[Name],Crypto[[#This Row],[Name]],Crypto[Date],"&lt;="&amp;Crypto[[#This Row],[Date]])</f>
        <v>261.86975000000001</v>
      </c>
      <c r="H1821" s="3">
        <f>(Crypto[[#This Row],[Close]]/Crypto[[#This Row],[Peak Close]])-1</f>
        <v>-0.53337126567692528</v>
      </c>
      <c r="I1821">
        <v>119.94712</v>
      </c>
      <c r="J1821" s="1">
        <v>46016</v>
      </c>
      <c r="K1821" s="3">
        <v>1.8748511844219301E-2</v>
      </c>
      <c r="L1821">
        <v>3779508002</v>
      </c>
      <c r="M1821" s="2" t="s">
        <v>14</v>
      </c>
    </row>
    <row r="1822" spans="1:13" x14ac:dyDescent="0.3">
      <c r="A1822" s="1">
        <v>46018</v>
      </c>
      <c r="B1822" s="2" t="s">
        <v>13</v>
      </c>
      <c r="C1822">
        <v>122.19611999999999</v>
      </c>
      <c r="D1822">
        <v>124.74816</v>
      </c>
      <c r="E1822">
        <v>121.8604</v>
      </c>
      <c r="F1822">
        <v>124.64771</v>
      </c>
      <c r="G1822">
        <f>_xlfn.MAXIFS(Crypto[Close],Crypto[Name],Crypto[[#This Row],[Name]],Crypto[Date],"&lt;="&amp;Crypto[[#This Row],[Date]])</f>
        <v>261.86975000000001</v>
      </c>
      <c r="H1822" s="3">
        <f>(Crypto[[#This Row],[Close]]/Crypto[[#This Row],[Peak Close]])-1</f>
        <v>-0.52400874862407743</v>
      </c>
      <c r="I1822">
        <v>122.19595</v>
      </c>
      <c r="J1822" s="1">
        <v>46017</v>
      </c>
      <c r="K1822" s="3">
        <v>2.00641674294443E-2</v>
      </c>
      <c r="L1822">
        <v>1711358748</v>
      </c>
      <c r="M1822" s="2" t="s">
        <v>14</v>
      </c>
    </row>
    <row r="1823" spans="1:13" x14ac:dyDescent="0.3">
      <c r="A1823" s="1">
        <v>46019</v>
      </c>
      <c r="B1823" s="2" t="s">
        <v>13</v>
      </c>
      <c r="C1823">
        <v>124.64841</v>
      </c>
      <c r="D1823">
        <v>125.21760999999999</v>
      </c>
      <c r="E1823">
        <v>123.07059</v>
      </c>
      <c r="F1823">
        <v>125.19936</v>
      </c>
      <c r="G1823">
        <f>_xlfn.MAXIFS(Crypto[Close],Crypto[Name],Crypto[[#This Row],[Name]],Crypto[Date],"&lt;="&amp;Crypto[[#This Row],[Date]])</f>
        <v>261.86975000000001</v>
      </c>
      <c r="H1823" s="3">
        <f>(Crypto[[#This Row],[Close]]/Crypto[[#This Row],[Peak Close]])-1</f>
        <v>-0.52190216701241754</v>
      </c>
      <c r="I1823">
        <v>124.64771</v>
      </c>
      <c r="J1823" s="1">
        <v>46018</v>
      </c>
      <c r="K1823" s="3">
        <v>4.4256729626239799E-3</v>
      </c>
      <c r="L1823">
        <v>2003713687</v>
      </c>
      <c r="M1823" s="2" t="s">
        <v>14</v>
      </c>
    </row>
    <row r="1824" spans="1:13" x14ac:dyDescent="0.3">
      <c r="A1824" s="1">
        <v>46020</v>
      </c>
      <c r="B1824" s="2" t="s">
        <v>13</v>
      </c>
      <c r="C1824">
        <v>125.19875</v>
      </c>
      <c r="D1824">
        <v>129.30440999999999</v>
      </c>
      <c r="E1824">
        <v>122.42873</v>
      </c>
      <c r="F1824">
        <v>123.12523</v>
      </c>
      <c r="G1824">
        <f>_xlfn.MAXIFS(Crypto[Close],Crypto[Name],Crypto[[#This Row],[Name]],Crypto[Date],"&lt;="&amp;Crypto[[#This Row],[Date]])</f>
        <v>261.86975000000001</v>
      </c>
      <c r="H1824" s="3">
        <f>(Crypto[[#This Row],[Close]]/Crypto[[#This Row],[Peak Close]])-1</f>
        <v>-0.52982263128902818</v>
      </c>
      <c r="I1824">
        <v>125.19936</v>
      </c>
      <c r="J1824" s="1">
        <v>46019</v>
      </c>
      <c r="K1824" s="3">
        <v>-1.6566618231914298E-2</v>
      </c>
      <c r="L1824">
        <v>4871847248</v>
      </c>
      <c r="M1824" s="2" t="s">
        <v>14</v>
      </c>
    </row>
    <row r="1825" spans="1:13" x14ac:dyDescent="0.3">
      <c r="A1825" s="1">
        <v>46021</v>
      </c>
      <c r="B1825" s="2" t="s">
        <v>13</v>
      </c>
      <c r="C1825">
        <v>123.12448999999999</v>
      </c>
      <c r="D1825">
        <v>126.19067</v>
      </c>
      <c r="E1825">
        <v>122.539</v>
      </c>
      <c r="F1825">
        <v>124.93132</v>
      </c>
      <c r="G1825">
        <f>_xlfn.MAXIFS(Crypto[Close],Crypto[Name],Crypto[[#This Row],[Name]],Crypto[Date],"&lt;="&amp;Crypto[[#This Row],[Date]])</f>
        <v>261.86975000000001</v>
      </c>
      <c r="H1825" s="3">
        <f>(Crypto[[#This Row],[Close]]/Crypto[[#This Row],[Peak Close]])-1</f>
        <v>-0.52292572929863035</v>
      </c>
      <c r="I1825">
        <v>123.12523</v>
      </c>
      <c r="J1825" s="1">
        <v>46020</v>
      </c>
      <c r="K1825" s="3">
        <v>1.46687238675615E-2</v>
      </c>
      <c r="L1825">
        <v>3096711898</v>
      </c>
      <c r="M1825" s="2" t="s">
        <v>14</v>
      </c>
    </row>
    <row r="1826" spans="1:13" x14ac:dyDescent="0.3">
      <c r="A1826" s="1">
        <v>46022</v>
      </c>
      <c r="B1826" s="2" t="s">
        <v>13</v>
      </c>
      <c r="C1826">
        <v>124.92419</v>
      </c>
      <c r="D1826">
        <v>127.10046</v>
      </c>
      <c r="E1826">
        <v>124.47266</v>
      </c>
      <c r="F1826">
        <v>124.6554</v>
      </c>
      <c r="G1826">
        <f>_xlfn.MAXIFS(Crypto[Close],Crypto[Name],Crypto[[#This Row],[Name]],Crypto[Date],"&lt;="&amp;Crypto[[#This Row],[Date]])</f>
        <v>261.86975000000001</v>
      </c>
      <c r="H1826" s="3">
        <f>(Crypto[[#This Row],[Close]]/Crypto[[#This Row],[Peak Close]])-1</f>
        <v>-0.5239793828802296</v>
      </c>
      <c r="I1826">
        <v>124.93132</v>
      </c>
      <c r="J1826" s="1">
        <v>46021</v>
      </c>
      <c r="K1826" s="3">
        <v>-2.2085734786120798E-3</v>
      </c>
      <c r="L1826">
        <v>3114220032</v>
      </c>
      <c r="M1826" s="2" t="s">
        <v>14</v>
      </c>
    </row>
    <row r="1827" spans="1:13" x14ac:dyDescent="0.3">
      <c r="A1827" s="1">
        <v>45658</v>
      </c>
      <c r="B1827" s="2" t="s">
        <v>15</v>
      </c>
      <c r="C1827">
        <v>2.08012</v>
      </c>
      <c r="D1827">
        <v>2.3467699999999998</v>
      </c>
      <c r="E1827">
        <v>2.0791499999999998</v>
      </c>
      <c r="F1827">
        <v>2.3223400000000001</v>
      </c>
      <c r="G1827">
        <f>_xlfn.MAXIFS(Crypto[Close],Crypto[Name],Crypto[[#This Row],[Name]],Crypto[Date],"&lt;="&amp;Crypto[[#This Row],[Date]])</f>
        <v>2.3223400000000001</v>
      </c>
      <c r="H1827" s="3">
        <f>(Crypto[[#This Row],[Close]]/Crypto[[#This Row],[Peak Close]])-1</f>
        <v>0</v>
      </c>
      <c r="J1827" s="1">
        <v>45657</v>
      </c>
      <c r="L1827">
        <v>7677226237</v>
      </c>
      <c r="M1827" s="2" t="s">
        <v>16</v>
      </c>
    </row>
    <row r="1828" spans="1:13" x14ac:dyDescent="0.3">
      <c r="A1828" s="1">
        <v>45659</v>
      </c>
      <c r="B1828" s="2" t="s">
        <v>15</v>
      </c>
      <c r="C1828">
        <v>2.3224100000000001</v>
      </c>
      <c r="D1828">
        <v>2.4355000000000002</v>
      </c>
      <c r="E1828">
        <v>2.3224</v>
      </c>
      <c r="F1828">
        <v>2.4033699999999998</v>
      </c>
      <c r="G1828">
        <f>_xlfn.MAXIFS(Crypto[Close],Crypto[Name],Crypto[[#This Row],[Name]],Crypto[Date],"&lt;="&amp;Crypto[[#This Row],[Date]])</f>
        <v>2.4033699999999998</v>
      </c>
      <c r="H1828" s="3">
        <f>(Crypto[[#This Row],[Close]]/Crypto[[#This Row],[Peak Close]])-1</f>
        <v>0</v>
      </c>
      <c r="I1828">
        <v>2.3223400000000001</v>
      </c>
      <c r="J1828" s="1">
        <v>45658</v>
      </c>
      <c r="K1828" s="3">
        <v>3.4891531817046503E-2</v>
      </c>
      <c r="L1828">
        <v>8345904442</v>
      </c>
      <c r="M1828" s="2" t="s">
        <v>16</v>
      </c>
    </row>
    <row r="1829" spans="1:13" x14ac:dyDescent="0.3">
      <c r="A1829" s="1">
        <v>45660</v>
      </c>
      <c r="B1829" s="2" t="s">
        <v>15</v>
      </c>
      <c r="C1829">
        <v>2.4033699999999998</v>
      </c>
      <c r="D1829">
        <v>2.4745499999999998</v>
      </c>
      <c r="E1829">
        <v>2.3971300000000002</v>
      </c>
      <c r="F1829">
        <v>2.4529000000000001</v>
      </c>
      <c r="G1829">
        <f>_xlfn.MAXIFS(Crypto[Close],Crypto[Name],Crypto[[#This Row],[Name]],Crypto[Date],"&lt;="&amp;Crypto[[#This Row],[Date]])</f>
        <v>2.4529000000000001</v>
      </c>
      <c r="H1829" s="3">
        <f>(Crypto[[#This Row],[Close]]/Crypto[[#This Row],[Peak Close]])-1</f>
        <v>0</v>
      </c>
      <c r="I1829">
        <v>2.4033699999999998</v>
      </c>
      <c r="J1829" s="1">
        <v>45659</v>
      </c>
      <c r="K1829" s="3">
        <v>2.0608562143989598E-2</v>
      </c>
      <c r="L1829">
        <v>5804528036</v>
      </c>
      <c r="M1829" s="2" t="s">
        <v>16</v>
      </c>
    </row>
    <row r="1830" spans="1:13" x14ac:dyDescent="0.3">
      <c r="A1830" s="1">
        <v>45661</v>
      </c>
      <c r="B1830" s="2" t="s">
        <v>15</v>
      </c>
      <c r="C1830">
        <v>2.4529000000000001</v>
      </c>
      <c r="D1830">
        <v>2.5043799999999998</v>
      </c>
      <c r="E1830">
        <v>2.4067099999999999</v>
      </c>
      <c r="F1830">
        <v>2.4196</v>
      </c>
      <c r="G1830">
        <f>_xlfn.MAXIFS(Crypto[Close],Crypto[Name],Crypto[[#This Row],[Name]],Crypto[Date],"&lt;="&amp;Crypto[[#This Row],[Date]])</f>
        <v>2.4529000000000001</v>
      </c>
      <c r="H1830" s="3">
        <f>(Crypto[[#This Row],[Close]]/Crypto[[#This Row],[Peak Close]])-1</f>
        <v>-1.3575767458926191E-2</v>
      </c>
      <c r="I1830">
        <v>2.4529000000000001</v>
      </c>
      <c r="J1830" s="1">
        <v>45660</v>
      </c>
      <c r="K1830" s="3">
        <v>-1.35757674589262E-2</v>
      </c>
      <c r="L1830">
        <v>4395986073</v>
      </c>
      <c r="M1830" s="2" t="s">
        <v>16</v>
      </c>
    </row>
    <row r="1831" spans="1:13" x14ac:dyDescent="0.3">
      <c r="A1831" s="1">
        <v>45662</v>
      </c>
      <c r="B1831" s="2" t="s">
        <v>15</v>
      </c>
      <c r="C1831">
        <v>2.4195799999999998</v>
      </c>
      <c r="D1831">
        <v>2.4255399999999998</v>
      </c>
      <c r="E1831">
        <v>2.3343600000000002</v>
      </c>
      <c r="F1831">
        <v>2.3997299999999999</v>
      </c>
      <c r="G1831">
        <f>_xlfn.MAXIFS(Crypto[Close],Crypto[Name],Crypto[[#This Row],[Name]],Crypto[Date],"&lt;="&amp;Crypto[[#This Row],[Date]])</f>
        <v>2.4529000000000001</v>
      </c>
      <c r="H1831" s="3">
        <f>(Crypto[[#This Row],[Close]]/Crypto[[#This Row],[Peak Close]])-1</f>
        <v>-2.1676383056789983E-2</v>
      </c>
      <c r="I1831">
        <v>2.4196</v>
      </c>
      <c r="J1831" s="1">
        <v>45661</v>
      </c>
      <c r="K1831" s="3">
        <v>-8.21210117374775E-3</v>
      </c>
      <c r="L1831">
        <v>4125625773</v>
      </c>
      <c r="M1831" s="2" t="s">
        <v>16</v>
      </c>
    </row>
    <row r="1832" spans="1:13" x14ac:dyDescent="0.3">
      <c r="A1832" s="1">
        <v>45663</v>
      </c>
      <c r="B1832" s="2" t="s">
        <v>15</v>
      </c>
      <c r="C1832">
        <v>2.3997299999999999</v>
      </c>
      <c r="D1832">
        <v>2.4552499999999999</v>
      </c>
      <c r="E1832">
        <v>2.3763800000000002</v>
      </c>
      <c r="F1832">
        <v>2.4188100000000001</v>
      </c>
      <c r="G1832">
        <f>_xlfn.MAXIFS(Crypto[Close],Crypto[Name],Crypto[[#This Row],[Name]],Crypto[Date],"&lt;="&amp;Crypto[[#This Row],[Date]])</f>
        <v>2.4529000000000001</v>
      </c>
      <c r="H1832" s="3">
        <f>(Crypto[[#This Row],[Close]]/Crypto[[#This Row],[Peak Close]])-1</f>
        <v>-1.3897835215459287E-2</v>
      </c>
      <c r="I1832">
        <v>2.3997299999999999</v>
      </c>
      <c r="J1832" s="1">
        <v>45662</v>
      </c>
      <c r="K1832" s="3">
        <v>7.9508944756286008E-3</v>
      </c>
      <c r="L1832">
        <v>4383804466</v>
      </c>
      <c r="M1832" s="2" t="s">
        <v>16</v>
      </c>
    </row>
    <row r="1833" spans="1:13" x14ac:dyDescent="0.3">
      <c r="A1833" s="1">
        <v>45664</v>
      </c>
      <c r="B1833" s="2" t="s">
        <v>15</v>
      </c>
      <c r="C1833">
        <v>2.41879</v>
      </c>
      <c r="D1833">
        <v>2.4605700000000001</v>
      </c>
      <c r="E1833">
        <v>2.2659099999999999</v>
      </c>
      <c r="F1833">
        <v>2.2723499999999999</v>
      </c>
      <c r="G1833">
        <f>_xlfn.MAXIFS(Crypto[Close],Crypto[Name],Crypto[[#This Row],[Name]],Crypto[Date],"&lt;="&amp;Crypto[[#This Row],[Date]])</f>
        <v>2.4529000000000001</v>
      </c>
      <c r="H1833" s="3">
        <f>(Crypto[[#This Row],[Close]]/Crypto[[#This Row],[Peak Close]])-1</f>
        <v>-7.360675119246618E-2</v>
      </c>
      <c r="I1833">
        <v>2.4188100000000001</v>
      </c>
      <c r="J1833" s="1">
        <v>45663</v>
      </c>
      <c r="K1833" s="3">
        <v>-6.0550435958177898E-2</v>
      </c>
      <c r="L1833">
        <v>7375576966</v>
      </c>
      <c r="M1833" s="2" t="s">
        <v>16</v>
      </c>
    </row>
    <row r="1834" spans="1:13" x14ac:dyDescent="0.3">
      <c r="A1834" s="1">
        <v>45665</v>
      </c>
      <c r="B1834" s="2" t="s">
        <v>15</v>
      </c>
      <c r="C1834">
        <v>2.2723599999999999</v>
      </c>
      <c r="D1834">
        <v>2.3951600000000002</v>
      </c>
      <c r="E1834">
        <v>2.2129300000000001</v>
      </c>
      <c r="F1834">
        <v>2.3753000000000002</v>
      </c>
      <c r="G1834">
        <f>_xlfn.MAXIFS(Crypto[Close],Crypto[Name],Crypto[[#This Row],[Name]],Crypto[Date],"&lt;="&amp;Crypto[[#This Row],[Date]])</f>
        <v>2.4529000000000001</v>
      </c>
      <c r="H1834" s="3">
        <f>(Crypto[[#This Row],[Close]]/Crypto[[#This Row],[Peak Close]])-1</f>
        <v>-3.1636022667047126E-2</v>
      </c>
      <c r="I1834">
        <v>2.2723499999999999</v>
      </c>
      <c r="J1834" s="1">
        <v>45664</v>
      </c>
      <c r="K1834" s="3">
        <v>4.5305520716439097E-2</v>
      </c>
      <c r="L1834">
        <v>8537147723</v>
      </c>
      <c r="M1834" s="2" t="s">
        <v>16</v>
      </c>
    </row>
    <row r="1835" spans="1:13" x14ac:dyDescent="0.3">
      <c r="A1835" s="1">
        <v>45666</v>
      </c>
      <c r="B1835" s="2" t="s">
        <v>15</v>
      </c>
      <c r="C1835">
        <v>2.3753099999999998</v>
      </c>
      <c r="D1835">
        <v>2.3893499999999999</v>
      </c>
      <c r="E1835">
        <v>2.2393900000000002</v>
      </c>
      <c r="F1835">
        <v>2.27521</v>
      </c>
      <c r="G1835">
        <f>_xlfn.MAXIFS(Crypto[Close],Crypto[Name],Crypto[[#This Row],[Name]],Crypto[Date],"&lt;="&amp;Crypto[[#This Row],[Date]])</f>
        <v>2.4529000000000001</v>
      </c>
      <c r="H1835" s="3">
        <f>(Crypto[[#This Row],[Close]]/Crypto[[#This Row],[Peak Close]])-1</f>
        <v>-7.2440784377675427E-2</v>
      </c>
      <c r="I1835">
        <v>2.3753000000000002</v>
      </c>
      <c r="J1835" s="1">
        <v>45665</v>
      </c>
      <c r="K1835" s="3">
        <v>-4.2137835220814303E-2</v>
      </c>
      <c r="L1835">
        <v>6033281189</v>
      </c>
      <c r="M1835" s="2" t="s">
        <v>16</v>
      </c>
    </row>
    <row r="1836" spans="1:13" x14ac:dyDescent="0.3">
      <c r="A1836" s="1">
        <v>45667</v>
      </c>
      <c r="B1836" s="2" t="s">
        <v>15</v>
      </c>
      <c r="C1836">
        <v>2.2751700000000001</v>
      </c>
      <c r="D1836">
        <v>2.3639299999999999</v>
      </c>
      <c r="E1836">
        <v>2.2559100000000001</v>
      </c>
      <c r="F1836">
        <v>2.3432499999999998</v>
      </c>
      <c r="G1836">
        <f>_xlfn.MAXIFS(Crypto[Close],Crypto[Name],Crypto[[#This Row],[Name]],Crypto[Date],"&lt;="&amp;Crypto[[#This Row],[Date]])</f>
        <v>2.4529000000000001</v>
      </c>
      <c r="H1836" s="3">
        <f>(Crypto[[#This Row],[Close]]/Crypto[[#This Row],[Peak Close]])-1</f>
        <v>-4.4702189245383162E-2</v>
      </c>
      <c r="I1836">
        <v>2.27521</v>
      </c>
      <c r="J1836" s="1">
        <v>45666</v>
      </c>
      <c r="K1836" s="3">
        <v>2.9904931852444298E-2</v>
      </c>
      <c r="L1836">
        <v>5315424125</v>
      </c>
      <c r="M1836" s="2" t="s">
        <v>16</v>
      </c>
    </row>
    <row r="1837" spans="1:13" x14ac:dyDescent="0.3">
      <c r="A1837" s="1">
        <v>45668</v>
      </c>
      <c r="B1837" s="2" t="s">
        <v>15</v>
      </c>
      <c r="C1837">
        <v>2.3432499999999998</v>
      </c>
      <c r="D1837">
        <v>2.59239</v>
      </c>
      <c r="E1837">
        <v>2.3286199999999999</v>
      </c>
      <c r="F1837">
        <v>2.5767699999999998</v>
      </c>
      <c r="G1837">
        <f>_xlfn.MAXIFS(Crypto[Close],Crypto[Name],Crypto[[#This Row],[Name]],Crypto[Date],"&lt;="&amp;Crypto[[#This Row],[Date]])</f>
        <v>2.5767699999999998</v>
      </c>
      <c r="H1837" s="3">
        <f>(Crypto[[#This Row],[Close]]/Crypto[[#This Row],[Peak Close]])-1</f>
        <v>0</v>
      </c>
      <c r="I1837">
        <v>2.3432499999999998</v>
      </c>
      <c r="J1837" s="1">
        <v>45667</v>
      </c>
      <c r="K1837" s="3">
        <v>9.9656460044809603E-2</v>
      </c>
      <c r="L1837">
        <v>7962865928</v>
      </c>
      <c r="M1837" s="2" t="s">
        <v>16</v>
      </c>
    </row>
    <row r="1838" spans="1:13" x14ac:dyDescent="0.3">
      <c r="A1838" s="1">
        <v>45669</v>
      </c>
      <c r="B1838" s="2" t="s">
        <v>15</v>
      </c>
      <c r="C1838">
        <v>2.5767899999999999</v>
      </c>
      <c r="D1838">
        <v>2.5779200000000002</v>
      </c>
      <c r="E1838">
        <v>2.4729999999999999</v>
      </c>
      <c r="F1838">
        <v>2.50631</v>
      </c>
      <c r="G1838">
        <f>_xlfn.MAXIFS(Crypto[Close],Crypto[Name],Crypto[[#This Row],[Name]],Crypto[Date],"&lt;="&amp;Crypto[[#This Row],[Date]])</f>
        <v>2.5767699999999998</v>
      </c>
      <c r="H1838" s="3">
        <f>(Crypto[[#This Row],[Close]]/Crypto[[#This Row],[Peak Close]])-1</f>
        <v>-2.7344310900856428E-2</v>
      </c>
      <c r="I1838">
        <v>2.5767699999999998</v>
      </c>
      <c r="J1838" s="1">
        <v>45668</v>
      </c>
      <c r="K1838" s="3">
        <v>-2.73443109008564E-2</v>
      </c>
      <c r="L1838">
        <v>5572029190</v>
      </c>
      <c r="M1838" s="2" t="s">
        <v>16</v>
      </c>
    </row>
    <row r="1839" spans="1:13" x14ac:dyDescent="0.3">
      <c r="A1839" s="1">
        <v>45670</v>
      </c>
      <c r="B1839" s="2" t="s">
        <v>15</v>
      </c>
      <c r="C1839">
        <v>2.50637</v>
      </c>
      <c r="D1839">
        <v>2.5590299999999999</v>
      </c>
      <c r="E1839">
        <v>2.3397700000000001</v>
      </c>
      <c r="F1839">
        <v>2.5229300000000001</v>
      </c>
      <c r="G1839">
        <f>_xlfn.MAXIFS(Crypto[Close],Crypto[Name],Crypto[[#This Row],[Name]],Crypto[Date],"&lt;="&amp;Crypto[[#This Row],[Date]])</f>
        <v>2.5767699999999998</v>
      </c>
      <c r="H1839" s="3">
        <f>(Crypto[[#This Row],[Close]]/Crypto[[#This Row],[Peak Close]])-1</f>
        <v>-2.0894375516635089E-2</v>
      </c>
      <c r="I1839">
        <v>2.50631</v>
      </c>
      <c r="J1839" s="1">
        <v>45669</v>
      </c>
      <c r="K1839" s="3">
        <v>6.6312626929629897E-3</v>
      </c>
      <c r="L1839">
        <v>10540895915</v>
      </c>
      <c r="M1839" s="2" t="s">
        <v>16</v>
      </c>
    </row>
    <row r="1840" spans="1:13" x14ac:dyDescent="0.3">
      <c r="A1840" s="1">
        <v>45671</v>
      </c>
      <c r="B1840" s="2" t="s">
        <v>15</v>
      </c>
      <c r="C1840">
        <v>2.5228899999999999</v>
      </c>
      <c r="D1840">
        <v>2.6874199999999999</v>
      </c>
      <c r="E1840">
        <v>2.5161899999999999</v>
      </c>
      <c r="F1840">
        <v>2.66913</v>
      </c>
      <c r="G1840">
        <f>_xlfn.MAXIFS(Crypto[Close],Crypto[Name],Crypto[[#This Row],[Name]],Crypto[Date],"&lt;="&amp;Crypto[[#This Row],[Date]])</f>
        <v>2.66913</v>
      </c>
      <c r="H1840" s="3">
        <f>(Crypto[[#This Row],[Close]]/Crypto[[#This Row],[Peak Close]])-1</f>
        <v>0</v>
      </c>
      <c r="I1840">
        <v>2.5229300000000001</v>
      </c>
      <c r="J1840" s="1">
        <v>45670</v>
      </c>
      <c r="K1840" s="3">
        <v>5.79484963911008E-2</v>
      </c>
      <c r="L1840">
        <v>8454377085</v>
      </c>
      <c r="M1840" s="2" t="s">
        <v>16</v>
      </c>
    </row>
    <row r="1841" spans="1:13" x14ac:dyDescent="0.3">
      <c r="A1841" s="1">
        <v>45672</v>
      </c>
      <c r="B1841" s="2" t="s">
        <v>15</v>
      </c>
      <c r="C1841">
        <v>2.6691699999999998</v>
      </c>
      <c r="D1841">
        <v>3.17753</v>
      </c>
      <c r="E1841">
        <v>2.6556700000000002</v>
      </c>
      <c r="F1841">
        <v>3.1550600000000002</v>
      </c>
      <c r="G1841">
        <f>_xlfn.MAXIFS(Crypto[Close],Crypto[Name],Crypto[[#This Row],[Name]],Crypto[Date],"&lt;="&amp;Crypto[[#This Row],[Date]])</f>
        <v>3.1550600000000002</v>
      </c>
      <c r="H1841" s="3">
        <f>(Crypto[[#This Row],[Close]]/Crypto[[#This Row],[Peak Close]])-1</f>
        <v>0</v>
      </c>
      <c r="I1841">
        <v>2.66913</v>
      </c>
      <c r="J1841" s="1">
        <v>45671</v>
      </c>
      <c r="K1841" s="3">
        <v>0.18205557616152099</v>
      </c>
      <c r="L1841">
        <v>22195175230</v>
      </c>
      <c r="M1841" s="2" t="s">
        <v>16</v>
      </c>
    </row>
    <row r="1842" spans="1:13" x14ac:dyDescent="0.3">
      <c r="A1842" s="1">
        <v>45673</v>
      </c>
      <c r="B1842" s="2" t="s">
        <v>15</v>
      </c>
      <c r="C1842">
        <v>3.1553900000000001</v>
      </c>
      <c r="D1842">
        <v>3.3880699999999999</v>
      </c>
      <c r="E1842">
        <v>2.9380199999999999</v>
      </c>
      <c r="F1842">
        <v>3.2455400000000001</v>
      </c>
      <c r="G1842">
        <f>_xlfn.MAXIFS(Crypto[Close],Crypto[Name],Crypto[[#This Row],[Name]],Crypto[Date],"&lt;="&amp;Crypto[[#This Row],[Date]])</f>
        <v>3.2455400000000001</v>
      </c>
      <c r="H1842" s="3">
        <f>(Crypto[[#This Row],[Close]]/Crypto[[#This Row],[Peak Close]])-1</f>
        <v>0</v>
      </c>
      <c r="I1842">
        <v>3.1550600000000002</v>
      </c>
      <c r="J1842" s="1">
        <v>45672</v>
      </c>
      <c r="K1842" s="3">
        <v>2.8677743054014802E-2</v>
      </c>
      <c r="L1842">
        <v>26379764731</v>
      </c>
      <c r="M1842" s="2" t="s">
        <v>16</v>
      </c>
    </row>
    <row r="1843" spans="1:13" x14ac:dyDescent="0.3">
      <c r="A1843" s="1">
        <v>45674</v>
      </c>
      <c r="B1843" s="2" t="s">
        <v>15</v>
      </c>
      <c r="C1843">
        <v>3.24532</v>
      </c>
      <c r="D1843">
        <v>3.34301</v>
      </c>
      <c r="E1843">
        <v>3.1815799999999999</v>
      </c>
      <c r="F1843">
        <v>3.2986399999999998</v>
      </c>
      <c r="G1843">
        <f>_xlfn.MAXIFS(Crypto[Close],Crypto[Name],Crypto[[#This Row],[Name]],Crypto[Date],"&lt;="&amp;Crypto[[#This Row],[Date]])</f>
        <v>3.2986399999999998</v>
      </c>
      <c r="H1843" s="3">
        <f>(Crypto[[#This Row],[Close]]/Crypto[[#This Row],[Peak Close]])-1</f>
        <v>0</v>
      </c>
      <c r="I1843">
        <v>3.2455400000000001</v>
      </c>
      <c r="J1843" s="1">
        <v>45673</v>
      </c>
      <c r="K1843" s="3">
        <v>1.6360913746248599E-2</v>
      </c>
      <c r="L1843">
        <v>13511699686</v>
      </c>
      <c r="M1843" s="2" t="s">
        <v>16</v>
      </c>
    </row>
    <row r="1844" spans="1:13" x14ac:dyDescent="0.3">
      <c r="A1844" s="1">
        <v>45675</v>
      </c>
      <c r="B1844" s="2" t="s">
        <v>15</v>
      </c>
      <c r="C1844">
        <v>3.29867</v>
      </c>
      <c r="D1844">
        <v>3.29867</v>
      </c>
      <c r="E1844">
        <v>3.0726800000000001</v>
      </c>
      <c r="F1844">
        <v>3.2740200000000002</v>
      </c>
      <c r="G1844">
        <f>_xlfn.MAXIFS(Crypto[Close],Crypto[Name],Crypto[[#This Row],[Name]],Crypto[Date],"&lt;="&amp;Crypto[[#This Row],[Date]])</f>
        <v>3.2986399999999998</v>
      </c>
      <c r="H1844" s="3">
        <f>(Crypto[[#This Row],[Close]]/Crypto[[#This Row],[Peak Close]])-1</f>
        <v>-7.463682002279648E-3</v>
      </c>
      <c r="I1844">
        <v>3.2986399999999998</v>
      </c>
      <c r="J1844" s="1">
        <v>45674</v>
      </c>
      <c r="K1844" s="3">
        <v>-7.4636820022796202E-3</v>
      </c>
      <c r="L1844">
        <v>11851170238</v>
      </c>
      <c r="M1844" s="2" t="s">
        <v>16</v>
      </c>
    </row>
    <row r="1845" spans="1:13" x14ac:dyDescent="0.3">
      <c r="A1845" s="1">
        <v>45676</v>
      </c>
      <c r="B1845" s="2" t="s">
        <v>15</v>
      </c>
      <c r="C1845">
        <v>3.2739799999999999</v>
      </c>
      <c r="D1845">
        <v>3.2853400000000001</v>
      </c>
      <c r="E1845">
        <v>2.9045399999999999</v>
      </c>
      <c r="F1845">
        <v>2.95472</v>
      </c>
      <c r="G1845">
        <f>_xlfn.MAXIFS(Crypto[Close],Crypto[Name],Crypto[[#This Row],[Name]],Crypto[Date],"&lt;="&amp;Crypto[[#This Row],[Date]])</f>
        <v>3.2986399999999998</v>
      </c>
      <c r="H1845" s="3">
        <f>(Crypto[[#This Row],[Close]]/Crypto[[#This Row],[Peak Close]])-1</f>
        <v>-0.10426115004971737</v>
      </c>
      <c r="I1845">
        <v>3.2740200000000002</v>
      </c>
      <c r="J1845" s="1">
        <v>45675</v>
      </c>
      <c r="K1845" s="3">
        <v>-9.7525366369173097E-2</v>
      </c>
      <c r="L1845">
        <v>14986676962</v>
      </c>
      <c r="M1845" s="2" t="s">
        <v>16</v>
      </c>
    </row>
    <row r="1846" spans="1:13" x14ac:dyDescent="0.3">
      <c r="A1846" s="1">
        <v>45677</v>
      </c>
      <c r="B1846" s="2" t="s">
        <v>15</v>
      </c>
      <c r="C1846">
        <v>2.9543499999999998</v>
      </c>
      <c r="D1846">
        <v>3.3472400000000002</v>
      </c>
      <c r="E1846">
        <v>2.9291299999999998</v>
      </c>
      <c r="F1846">
        <v>3.0998299999999999</v>
      </c>
      <c r="G1846">
        <f>_xlfn.MAXIFS(Crypto[Close],Crypto[Name],Crypto[[#This Row],[Name]],Crypto[Date],"&lt;="&amp;Crypto[[#This Row],[Date]])</f>
        <v>3.2986399999999998</v>
      </c>
      <c r="H1846" s="3">
        <f>(Crypto[[#This Row],[Close]]/Crypto[[#This Row],[Peak Close]])-1</f>
        <v>-6.0270293211747816E-2</v>
      </c>
      <c r="I1846">
        <v>2.95472</v>
      </c>
      <c r="J1846" s="1">
        <v>45676</v>
      </c>
      <c r="K1846" s="3">
        <v>4.9111252504467399E-2</v>
      </c>
      <c r="L1846">
        <v>21508103946</v>
      </c>
      <c r="M1846" s="2" t="s">
        <v>16</v>
      </c>
    </row>
    <row r="1847" spans="1:13" x14ac:dyDescent="0.3">
      <c r="A1847" s="1">
        <v>45678</v>
      </c>
      <c r="B1847" s="2" t="s">
        <v>15</v>
      </c>
      <c r="C1847">
        <v>3.0998299999999999</v>
      </c>
      <c r="D1847">
        <v>3.2345899999999999</v>
      </c>
      <c r="E1847">
        <v>3.0221499999999999</v>
      </c>
      <c r="F1847">
        <v>3.1694</v>
      </c>
      <c r="G1847">
        <f>_xlfn.MAXIFS(Crypto[Close],Crypto[Name],Crypto[[#This Row],[Name]],Crypto[Date],"&lt;="&amp;Crypto[[#This Row],[Date]])</f>
        <v>3.2986399999999998</v>
      </c>
      <c r="H1847" s="3">
        <f>(Crypto[[#This Row],[Close]]/Crypto[[#This Row],[Peak Close]])-1</f>
        <v>-3.9179783183372452E-2</v>
      </c>
      <c r="I1847">
        <v>3.0998299999999999</v>
      </c>
      <c r="J1847" s="1">
        <v>45677</v>
      </c>
      <c r="K1847" s="3">
        <v>2.2443166238148599E-2</v>
      </c>
      <c r="L1847">
        <v>10358506190</v>
      </c>
      <c r="M1847" s="2" t="s">
        <v>16</v>
      </c>
    </row>
    <row r="1848" spans="1:13" x14ac:dyDescent="0.3">
      <c r="A1848" s="1">
        <v>45679</v>
      </c>
      <c r="B1848" s="2" t="s">
        <v>15</v>
      </c>
      <c r="C1848">
        <v>3.1694100000000001</v>
      </c>
      <c r="D1848">
        <v>3.2742399999999998</v>
      </c>
      <c r="E1848">
        <v>3.1457000000000002</v>
      </c>
      <c r="F1848">
        <v>3.1711</v>
      </c>
      <c r="G1848">
        <f>_xlfn.MAXIFS(Crypto[Close],Crypto[Name],Crypto[[#This Row],[Name]],Crypto[Date],"&lt;="&amp;Crypto[[#This Row],[Date]])</f>
        <v>3.2986399999999998</v>
      </c>
      <c r="H1848" s="3">
        <f>(Crypto[[#This Row],[Close]]/Crypto[[#This Row],[Peak Close]])-1</f>
        <v>-3.8664419275822648E-2</v>
      </c>
      <c r="I1848">
        <v>3.1694</v>
      </c>
      <c r="J1848" s="1">
        <v>45678</v>
      </c>
      <c r="K1848" s="3">
        <v>5.3637912538651901E-4</v>
      </c>
      <c r="L1848">
        <v>8091948884</v>
      </c>
      <c r="M1848" s="2" t="s">
        <v>16</v>
      </c>
    </row>
    <row r="1849" spans="1:13" x14ac:dyDescent="0.3">
      <c r="A1849" s="1">
        <v>45680</v>
      </c>
      <c r="B1849" s="2" t="s">
        <v>15</v>
      </c>
      <c r="C1849">
        <v>3.1710600000000002</v>
      </c>
      <c r="D1849">
        <v>3.1779899999999999</v>
      </c>
      <c r="E1849">
        <v>3.0408400000000002</v>
      </c>
      <c r="F1849">
        <v>3.1198899999999998</v>
      </c>
      <c r="G1849">
        <f>_xlfn.MAXIFS(Crypto[Close],Crypto[Name],Crypto[[#This Row],[Name]],Crypto[Date],"&lt;="&amp;Crypto[[#This Row],[Date]])</f>
        <v>3.2986399999999998</v>
      </c>
      <c r="H1849" s="3">
        <f>(Crypto[[#This Row],[Close]]/Crypto[[#This Row],[Peak Close]])-1</f>
        <v>-5.4188999102660507E-2</v>
      </c>
      <c r="I1849">
        <v>3.1711</v>
      </c>
      <c r="J1849" s="1">
        <v>45679</v>
      </c>
      <c r="K1849" s="3">
        <v>-1.61489703888241E-2</v>
      </c>
      <c r="L1849">
        <v>8450732276</v>
      </c>
      <c r="M1849" s="2" t="s">
        <v>16</v>
      </c>
    </row>
    <row r="1850" spans="1:13" x14ac:dyDescent="0.3">
      <c r="A1850" s="1">
        <v>45681</v>
      </c>
      <c r="B1850" s="2" t="s">
        <v>15</v>
      </c>
      <c r="C1850">
        <v>3.1198899999999998</v>
      </c>
      <c r="D1850">
        <v>3.2007599999999998</v>
      </c>
      <c r="E1850">
        <v>3.0572499999999998</v>
      </c>
      <c r="F1850">
        <v>3.1034799999999998</v>
      </c>
      <c r="G1850">
        <f>_xlfn.MAXIFS(Crypto[Close],Crypto[Name],Crypto[[#This Row],[Name]],Crypto[Date],"&lt;="&amp;Crypto[[#This Row],[Date]])</f>
        <v>3.2986399999999998</v>
      </c>
      <c r="H1850" s="3">
        <f>(Crypto[[#This Row],[Close]]/Crypto[[#This Row],[Peak Close]])-1</f>
        <v>-5.9163776586714567E-2</v>
      </c>
      <c r="I1850">
        <v>3.1198899999999998</v>
      </c>
      <c r="J1850" s="1">
        <v>45680</v>
      </c>
      <c r="K1850" s="3">
        <v>-5.2598008263112003E-3</v>
      </c>
      <c r="L1850">
        <v>6847580394</v>
      </c>
      <c r="M1850" s="2" t="s">
        <v>16</v>
      </c>
    </row>
    <row r="1851" spans="1:13" x14ac:dyDescent="0.3">
      <c r="A1851" s="1">
        <v>45682</v>
      </c>
      <c r="B1851" s="2" t="s">
        <v>15</v>
      </c>
      <c r="C1851">
        <v>3.1034299999999999</v>
      </c>
      <c r="D1851">
        <v>3.1417099999999998</v>
      </c>
      <c r="E1851">
        <v>3.0827200000000001</v>
      </c>
      <c r="F1851">
        <v>3.1097100000000002</v>
      </c>
      <c r="G1851">
        <f>_xlfn.MAXIFS(Crypto[Close],Crypto[Name],Crypto[[#This Row],[Name]],Crypto[Date],"&lt;="&amp;Crypto[[#This Row],[Date]])</f>
        <v>3.2986399999999998</v>
      </c>
      <c r="H1851" s="3">
        <f>(Crypto[[#This Row],[Close]]/Crypto[[#This Row],[Peak Close]])-1</f>
        <v>-5.7275119443164324E-2</v>
      </c>
      <c r="I1851">
        <v>3.1034799999999998</v>
      </c>
      <c r="J1851" s="1">
        <v>45681</v>
      </c>
      <c r="K1851" s="3">
        <v>2.00742392411113E-3</v>
      </c>
      <c r="L1851">
        <v>3304586596</v>
      </c>
      <c r="M1851" s="2" t="s">
        <v>16</v>
      </c>
    </row>
    <row r="1852" spans="1:13" x14ac:dyDescent="0.3">
      <c r="A1852" s="1">
        <v>45683</v>
      </c>
      <c r="B1852" s="2" t="s">
        <v>15</v>
      </c>
      <c r="C1852">
        <v>3.1097000000000001</v>
      </c>
      <c r="D1852">
        <v>3.1410900000000002</v>
      </c>
      <c r="E1852">
        <v>3.0234000000000001</v>
      </c>
      <c r="F1852">
        <v>3.02623</v>
      </c>
      <c r="G1852">
        <f>_xlfn.MAXIFS(Crypto[Close],Crypto[Name],Crypto[[#This Row],[Name]],Crypto[Date],"&lt;="&amp;Crypto[[#This Row],[Date]])</f>
        <v>3.2986399999999998</v>
      </c>
      <c r="H1852" s="3">
        <f>(Crypto[[#This Row],[Close]]/Crypto[[#This Row],[Peak Close]])-1</f>
        <v>-8.2582518856255893E-2</v>
      </c>
      <c r="I1852">
        <v>3.1097100000000002</v>
      </c>
      <c r="J1852" s="1">
        <v>45682</v>
      </c>
      <c r="K1852" s="3">
        <v>-2.6844946956468701E-2</v>
      </c>
      <c r="L1852">
        <v>3480601702</v>
      </c>
      <c r="M1852" s="2" t="s">
        <v>16</v>
      </c>
    </row>
    <row r="1853" spans="1:13" x14ac:dyDescent="0.3">
      <c r="A1853" s="1">
        <v>45684</v>
      </c>
      <c r="B1853" s="2" t="s">
        <v>15</v>
      </c>
      <c r="C1853">
        <v>3.0262799999999999</v>
      </c>
      <c r="D1853">
        <v>3.0536699999999999</v>
      </c>
      <c r="E1853">
        <v>2.7084800000000002</v>
      </c>
      <c r="F1853">
        <v>3.0531799999999998</v>
      </c>
      <c r="G1853">
        <f>_xlfn.MAXIFS(Crypto[Close],Crypto[Name],Crypto[[#This Row],[Name]],Crypto[Date],"&lt;="&amp;Crypto[[#This Row],[Date]])</f>
        <v>3.2986399999999998</v>
      </c>
      <c r="H1853" s="3">
        <f>(Crypto[[#This Row],[Close]]/Crypto[[#This Row],[Peak Close]])-1</f>
        <v>-7.4412485145393226E-2</v>
      </c>
      <c r="I1853">
        <v>3.02623</v>
      </c>
      <c r="J1853" s="1">
        <v>45683</v>
      </c>
      <c r="K1853" s="3">
        <v>8.9054698420145892E-3</v>
      </c>
      <c r="L1853">
        <v>15974106216</v>
      </c>
      <c r="M1853" s="2" t="s">
        <v>16</v>
      </c>
    </row>
    <row r="1854" spans="1:13" x14ac:dyDescent="0.3">
      <c r="A1854" s="1">
        <v>45685</v>
      </c>
      <c r="B1854" s="2" t="s">
        <v>15</v>
      </c>
      <c r="C1854">
        <v>3.0532300000000001</v>
      </c>
      <c r="D1854">
        <v>3.2090900000000002</v>
      </c>
      <c r="E1854">
        <v>3.01139</v>
      </c>
      <c r="F1854">
        <v>3.0611199999999998</v>
      </c>
      <c r="G1854">
        <f>_xlfn.MAXIFS(Crypto[Close],Crypto[Name],Crypto[[#This Row],[Name]],Crypto[Date],"&lt;="&amp;Crypto[[#This Row],[Date]])</f>
        <v>3.2986399999999998</v>
      </c>
      <c r="H1854" s="3">
        <f>(Crypto[[#This Row],[Close]]/Crypto[[#This Row],[Peak Close]])-1</f>
        <v>-7.2005432541896064E-2</v>
      </c>
      <c r="I1854">
        <v>3.0531799999999998</v>
      </c>
      <c r="J1854" s="1">
        <v>45684</v>
      </c>
      <c r="K1854" s="3">
        <v>2.6005672773960499E-3</v>
      </c>
      <c r="L1854">
        <v>9497347683</v>
      </c>
      <c r="M1854" s="2" t="s">
        <v>16</v>
      </c>
    </row>
    <row r="1855" spans="1:13" x14ac:dyDescent="0.3">
      <c r="A1855" s="1">
        <v>45686</v>
      </c>
      <c r="B1855" s="2" t="s">
        <v>15</v>
      </c>
      <c r="C1855">
        <v>3.0611000000000002</v>
      </c>
      <c r="D1855">
        <v>3.1274299999999999</v>
      </c>
      <c r="E1855">
        <v>2.9767600000000001</v>
      </c>
      <c r="F1855">
        <v>3.0682900000000002</v>
      </c>
      <c r="G1855">
        <f>_xlfn.MAXIFS(Crypto[Close],Crypto[Name],Crypto[[#This Row],[Name]],Crypto[Date],"&lt;="&amp;Crypto[[#This Row],[Date]])</f>
        <v>3.2986399999999998</v>
      </c>
      <c r="H1855" s="3">
        <f>(Crypto[[#This Row],[Close]]/Crypto[[#This Row],[Peak Close]])-1</f>
        <v>-6.9831809472994832E-2</v>
      </c>
      <c r="I1855">
        <v>3.0611199999999998</v>
      </c>
      <c r="J1855" s="1">
        <v>45685</v>
      </c>
      <c r="K1855" s="3">
        <v>2.3422799498224E-3</v>
      </c>
      <c r="L1855">
        <v>6882287654</v>
      </c>
      <c r="M1855" s="2" t="s">
        <v>16</v>
      </c>
    </row>
    <row r="1856" spans="1:13" x14ac:dyDescent="0.3">
      <c r="A1856" s="1">
        <v>45687</v>
      </c>
      <c r="B1856" s="2" t="s">
        <v>15</v>
      </c>
      <c r="C1856">
        <v>3.0684</v>
      </c>
      <c r="D1856">
        <v>3.1513300000000002</v>
      </c>
      <c r="E1856">
        <v>3.0533100000000002</v>
      </c>
      <c r="F1856">
        <v>3.1310699999999998</v>
      </c>
      <c r="G1856">
        <f>_xlfn.MAXIFS(Crypto[Close],Crypto[Name],Crypto[[#This Row],[Name]],Crypto[Date],"&lt;="&amp;Crypto[[#This Row],[Date]])</f>
        <v>3.2986399999999998</v>
      </c>
      <c r="H1856" s="3">
        <f>(Crypto[[#This Row],[Close]]/Crypto[[#This Row],[Peak Close]])-1</f>
        <v>-5.0799723522421347E-2</v>
      </c>
      <c r="I1856">
        <v>3.0682900000000002</v>
      </c>
      <c r="J1856" s="1">
        <v>45686</v>
      </c>
      <c r="K1856" s="3">
        <v>2.0460908193162802E-2</v>
      </c>
      <c r="L1856">
        <v>4868674752</v>
      </c>
      <c r="M1856" s="2" t="s">
        <v>16</v>
      </c>
    </row>
    <row r="1857" spans="1:13" x14ac:dyDescent="0.3">
      <c r="A1857" s="1">
        <v>45688</v>
      </c>
      <c r="B1857" s="2" t="s">
        <v>15</v>
      </c>
      <c r="C1857">
        <v>3.1310500000000001</v>
      </c>
      <c r="D1857">
        <v>3.1311300000000002</v>
      </c>
      <c r="E1857">
        <v>3.0064799999999998</v>
      </c>
      <c r="F1857">
        <v>3.0354199999999998</v>
      </c>
      <c r="G1857">
        <f>_xlfn.MAXIFS(Crypto[Close],Crypto[Name],Crypto[[#This Row],[Name]],Crypto[Date],"&lt;="&amp;Crypto[[#This Row],[Date]])</f>
        <v>3.2986399999999998</v>
      </c>
      <c r="H1857" s="3">
        <f>(Crypto[[#This Row],[Close]]/Crypto[[#This Row],[Peak Close]])-1</f>
        <v>-7.9796522203089748E-2</v>
      </c>
      <c r="I1857">
        <v>3.1310699999999998</v>
      </c>
      <c r="J1857" s="1">
        <v>45687</v>
      </c>
      <c r="K1857" s="3">
        <v>-3.0548662278390499E-2</v>
      </c>
      <c r="L1857">
        <v>4520254155</v>
      </c>
      <c r="M1857" s="2" t="s">
        <v>16</v>
      </c>
    </row>
    <row r="1858" spans="1:13" x14ac:dyDescent="0.3">
      <c r="A1858" s="1">
        <v>45689</v>
      </c>
      <c r="B1858" s="2" t="s">
        <v>15</v>
      </c>
      <c r="C1858">
        <v>3.0354000000000001</v>
      </c>
      <c r="D1858">
        <v>3.0685099999999998</v>
      </c>
      <c r="E1858">
        <v>2.8381400000000001</v>
      </c>
      <c r="F1858">
        <v>2.8844699999999999</v>
      </c>
      <c r="G1858">
        <f>_xlfn.MAXIFS(Crypto[Close],Crypto[Name],Crypto[[#This Row],[Name]],Crypto[Date],"&lt;="&amp;Crypto[[#This Row],[Date]])</f>
        <v>3.2986399999999998</v>
      </c>
      <c r="H1858" s="3">
        <f>(Crypto[[#This Row],[Close]]/Crypto[[#This Row],[Peak Close]])-1</f>
        <v>-0.12555780564111274</v>
      </c>
      <c r="I1858">
        <v>3.0354199999999998</v>
      </c>
      <c r="J1858" s="1">
        <v>45688</v>
      </c>
      <c r="K1858" s="3">
        <v>-4.9729526721178599E-2</v>
      </c>
      <c r="L1858">
        <v>4886927800</v>
      </c>
      <c r="M1858" s="2" t="s">
        <v>16</v>
      </c>
    </row>
    <row r="1859" spans="1:13" x14ac:dyDescent="0.3">
      <c r="A1859" s="1">
        <v>45690</v>
      </c>
      <c r="B1859" s="2" t="s">
        <v>15</v>
      </c>
      <c r="C1859">
        <v>2.8844599999999998</v>
      </c>
      <c r="D1859">
        <v>2.9528699999999999</v>
      </c>
      <c r="E1859">
        <v>2.4869300000000001</v>
      </c>
      <c r="F1859">
        <v>2.57979</v>
      </c>
      <c r="G1859">
        <f>_xlfn.MAXIFS(Crypto[Close],Crypto[Name],Crypto[[#This Row],[Name]],Crypto[Date],"&lt;="&amp;Crypto[[#This Row],[Date]])</f>
        <v>3.2986399999999998</v>
      </c>
      <c r="H1859" s="3">
        <f>(Crypto[[#This Row],[Close]]/Crypto[[#This Row],[Peak Close]])-1</f>
        <v>-0.21792314408362223</v>
      </c>
      <c r="I1859">
        <v>2.8844699999999999</v>
      </c>
      <c r="J1859" s="1">
        <v>45689</v>
      </c>
      <c r="K1859" s="3">
        <v>-0.10562772363727101</v>
      </c>
      <c r="L1859">
        <v>15654662798</v>
      </c>
      <c r="M1859" s="2" t="s">
        <v>16</v>
      </c>
    </row>
    <row r="1860" spans="1:13" x14ac:dyDescent="0.3">
      <c r="A1860" s="1">
        <v>45691</v>
      </c>
      <c r="B1860" s="2" t="s">
        <v>15</v>
      </c>
      <c r="C1860">
        <v>2.57979</v>
      </c>
      <c r="D1860">
        <v>2.7798500000000002</v>
      </c>
      <c r="E1860">
        <v>1.94862</v>
      </c>
      <c r="F1860">
        <v>2.7011599999999998</v>
      </c>
      <c r="G1860">
        <f>_xlfn.MAXIFS(Crypto[Close],Crypto[Name],Crypto[[#This Row],[Name]],Crypto[Date],"&lt;="&amp;Crypto[[#This Row],[Date]])</f>
        <v>3.2986399999999998</v>
      </c>
      <c r="H1860" s="3">
        <f>(Crypto[[#This Row],[Close]]/Crypto[[#This Row],[Peak Close]])-1</f>
        <v>-0.18112919263696559</v>
      </c>
      <c r="I1860">
        <v>2.57979</v>
      </c>
      <c r="J1860" s="1">
        <v>45690</v>
      </c>
      <c r="K1860" s="3">
        <v>4.7046465022346703E-2</v>
      </c>
      <c r="L1860">
        <v>36745099581</v>
      </c>
      <c r="M1860" s="2" t="s">
        <v>16</v>
      </c>
    </row>
    <row r="1861" spans="1:13" x14ac:dyDescent="0.3">
      <c r="A1861" s="1">
        <v>45692</v>
      </c>
      <c r="B1861" s="2" t="s">
        <v>15</v>
      </c>
      <c r="C1861">
        <v>2.7013099999999999</v>
      </c>
      <c r="D1861">
        <v>2.77664</v>
      </c>
      <c r="E1861">
        <v>2.43554</v>
      </c>
      <c r="F1861">
        <v>2.5354199999999998</v>
      </c>
      <c r="G1861">
        <f>_xlfn.MAXIFS(Crypto[Close],Crypto[Name],Crypto[[#This Row],[Name]],Crypto[Date],"&lt;="&amp;Crypto[[#This Row],[Date]])</f>
        <v>3.2986399999999998</v>
      </c>
      <c r="H1861" s="3">
        <f>(Crypto[[#This Row],[Close]]/Crypto[[#This Row],[Peak Close]])-1</f>
        <v>-0.23137414207067153</v>
      </c>
      <c r="I1861">
        <v>2.7011599999999998</v>
      </c>
      <c r="J1861" s="1">
        <v>45691</v>
      </c>
      <c r="K1861" s="3">
        <v>-6.13588236165203E-2</v>
      </c>
      <c r="L1861">
        <v>14154535566</v>
      </c>
      <c r="M1861" s="2" t="s">
        <v>16</v>
      </c>
    </row>
    <row r="1862" spans="1:13" x14ac:dyDescent="0.3">
      <c r="A1862" s="1">
        <v>45693</v>
      </c>
      <c r="B1862" s="2" t="s">
        <v>15</v>
      </c>
      <c r="C1862">
        <v>2.5353699999999999</v>
      </c>
      <c r="D1862">
        <v>2.5671599999999999</v>
      </c>
      <c r="E1862">
        <v>2.3566500000000001</v>
      </c>
      <c r="F1862">
        <v>2.3823099999999999</v>
      </c>
      <c r="G1862">
        <f>_xlfn.MAXIFS(Crypto[Close],Crypto[Name],Crypto[[#This Row],[Name]],Crypto[Date],"&lt;="&amp;Crypto[[#This Row],[Date]])</f>
        <v>3.2986399999999998</v>
      </c>
      <c r="H1862" s="3">
        <f>(Crypto[[#This Row],[Close]]/Crypto[[#This Row],[Peak Close]])-1</f>
        <v>-0.27779024082652237</v>
      </c>
      <c r="I1862">
        <v>2.5354199999999998</v>
      </c>
      <c r="J1862" s="1">
        <v>45692</v>
      </c>
      <c r="K1862" s="3">
        <v>-6.0388416909229997E-2</v>
      </c>
      <c r="L1862">
        <v>7724989243</v>
      </c>
      <c r="M1862" s="2" t="s">
        <v>16</v>
      </c>
    </row>
    <row r="1863" spans="1:13" x14ac:dyDescent="0.3">
      <c r="A1863" s="1">
        <v>45694</v>
      </c>
      <c r="B1863" s="2" t="s">
        <v>15</v>
      </c>
      <c r="C1863">
        <v>2.38226</v>
      </c>
      <c r="D1863">
        <v>2.46469</v>
      </c>
      <c r="E1863">
        <v>2.2923300000000002</v>
      </c>
      <c r="F1863">
        <v>2.3268800000000001</v>
      </c>
      <c r="G1863">
        <f>_xlfn.MAXIFS(Crypto[Close],Crypto[Name],Crypto[[#This Row],[Name]],Crypto[Date],"&lt;="&amp;Crypto[[#This Row],[Date]])</f>
        <v>3.2986399999999998</v>
      </c>
      <c r="H1863" s="3">
        <f>(Crypto[[#This Row],[Close]]/Crypto[[#This Row],[Peak Close]])-1</f>
        <v>-0.29459413576504245</v>
      </c>
      <c r="I1863">
        <v>2.3823099999999999</v>
      </c>
      <c r="J1863" s="1">
        <v>45693</v>
      </c>
      <c r="K1863" s="3">
        <v>-2.3267332966742299E-2</v>
      </c>
      <c r="L1863">
        <v>7292152784</v>
      </c>
      <c r="M1863" s="2" t="s">
        <v>16</v>
      </c>
    </row>
    <row r="1864" spans="1:13" x14ac:dyDescent="0.3">
      <c r="A1864" s="1">
        <v>45695</v>
      </c>
      <c r="B1864" s="2" t="s">
        <v>15</v>
      </c>
      <c r="C1864">
        <v>2.3269000000000002</v>
      </c>
      <c r="D1864">
        <v>2.5338699999999998</v>
      </c>
      <c r="E1864">
        <v>2.2839900000000002</v>
      </c>
      <c r="F1864">
        <v>2.39358</v>
      </c>
      <c r="G1864">
        <f>_xlfn.MAXIFS(Crypto[Close],Crypto[Name],Crypto[[#This Row],[Name]],Crypto[Date],"&lt;="&amp;Crypto[[#This Row],[Date]])</f>
        <v>3.2986399999999998</v>
      </c>
      <c r="H1864" s="3">
        <f>(Crypto[[#This Row],[Close]]/Crypto[[#This Row],[Peak Close]])-1</f>
        <v>-0.27437368127470707</v>
      </c>
      <c r="I1864">
        <v>2.3268800000000001</v>
      </c>
      <c r="J1864" s="1">
        <v>45694</v>
      </c>
      <c r="K1864" s="3">
        <v>2.8664993467647702E-2</v>
      </c>
      <c r="L1864">
        <v>9288664505</v>
      </c>
      <c r="M1864" s="2" t="s">
        <v>16</v>
      </c>
    </row>
    <row r="1865" spans="1:13" x14ac:dyDescent="0.3">
      <c r="A1865" s="1">
        <v>45696</v>
      </c>
      <c r="B1865" s="2" t="s">
        <v>15</v>
      </c>
      <c r="C1865">
        <v>2.3936299999999999</v>
      </c>
      <c r="D1865">
        <v>2.4338500000000001</v>
      </c>
      <c r="E1865">
        <v>2.3557399999999999</v>
      </c>
      <c r="F1865">
        <v>2.4243800000000002</v>
      </c>
      <c r="G1865">
        <f>_xlfn.MAXIFS(Crypto[Close],Crypto[Name],Crypto[[#This Row],[Name]],Crypto[Date],"&lt;="&amp;Crypto[[#This Row],[Date]])</f>
        <v>3.2986399999999998</v>
      </c>
      <c r="H1865" s="3">
        <f>(Crypto[[#This Row],[Close]]/Crypto[[#This Row],[Peak Close]])-1</f>
        <v>-0.26503649989086397</v>
      </c>
      <c r="I1865">
        <v>2.39358</v>
      </c>
      <c r="J1865" s="1">
        <v>45695</v>
      </c>
      <c r="K1865" s="3">
        <v>1.2867754576826399E-2</v>
      </c>
      <c r="L1865">
        <v>3995500228</v>
      </c>
      <c r="M1865" s="2" t="s">
        <v>16</v>
      </c>
    </row>
    <row r="1866" spans="1:13" x14ac:dyDescent="0.3">
      <c r="A1866" s="1">
        <v>45697</v>
      </c>
      <c r="B1866" s="2" t="s">
        <v>15</v>
      </c>
      <c r="C1866">
        <v>2.42435</v>
      </c>
      <c r="D1866">
        <v>2.5043799999999998</v>
      </c>
      <c r="E1866">
        <v>2.3182299999999998</v>
      </c>
      <c r="F1866">
        <v>2.3969399999999998</v>
      </c>
      <c r="G1866">
        <f>_xlfn.MAXIFS(Crypto[Close],Crypto[Name],Crypto[[#This Row],[Name]],Crypto[Date],"&lt;="&amp;Crypto[[#This Row],[Date]])</f>
        <v>3.2986399999999998</v>
      </c>
      <c r="H1866" s="3">
        <f>(Crypto[[#This Row],[Close]]/Crypto[[#This Row],[Peak Close]])-1</f>
        <v>-0.27335507966919703</v>
      </c>
      <c r="I1866">
        <v>2.4243800000000002</v>
      </c>
      <c r="J1866" s="1">
        <v>45696</v>
      </c>
      <c r="K1866" s="3">
        <v>-1.1318357683201601E-2</v>
      </c>
      <c r="L1866">
        <v>4806376236</v>
      </c>
      <c r="M1866" s="2" t="s">
        <v>16</v>
      </c>
    </row>
    <row r="1867" spans="1:13" x14ac:dyDescent="0.3">
      <c r="A1867" s="1">
        <v>45698</v>
      </c>
      <c r="B1867" s="2" t="s">
        <v>15</v>
      </c>
      <c r="C1867">
        <v>2.3969100000000001</v>
      </c>
      <c r="D1867">
        <v>2.4694400000000001</v>
      </c>
      <c r="E1867">
        <v>2.3302100000000001</v>
      </c>
      <c r="F1867">
        <v>2.4226999999999999</v>
      </c>
      <c r="G1867">
        <f>_xlfn.MAXIFS(Crypto[Close],Crypto[Name],Crypto[[#This Row],[Name]],Crypto[Date],"&lt;="&amp;Crypto[[#This Row],[Date]])</f>
        <v>3.2986399999999998</v>
      </c>
      <c r="H1867" s="3">
        <f>(Crypto[[#This Row],[Close]]/Crypto[[#This Row],[Peak Close]])-1</f>
        <v>-0.26554580069361922</v>
      </c>
      <c r="I1867">
        <v>2.3969399999999998</v>
      </c>
      <c r="J1867" s="1">
        <v>45697</v>
      </c>
      <c r="K1867" s="3">
        <v>1.0747035803983399E-2</v>
      </c>
      <c r="L1867">
        <v>4740495321</v>
      </c>
      <c r="M1867" s="2" t="s">
        <v>16</v>
      </c>
    </row>
    <row r="1868" spans="1:13" x14ac:dyDescent="0.3">
      <c r="A1868" s="1">
        <v>45699</v>
      </c>
      <c r="B1868" s="2" t="s">
        <v>15</v>
      </c>
      <c r="C1868">
        <v>2.4227500000000002</v>
      </c>
      <c r="D1868">
        <v>2.5253899999999998</v>
      </c>
      <c r="E1868">
        <v>2.37636</v>
      </c>
      <c r="F1868">
        <v>2.4142199999999998</v>
      </c>
      <c r="G1868">
        <f>_xlfn.MAXIFS(Crypto[Close],Crypto[Name],Crypto[[#This Row],[Name]],Crypto[Date],"&lt;="&amp;Crypto[[#This Row],[Date]])</f>
        <v>3.2986399999999998</v>
      </c>
      <c r="H1868" s="3">
        <f>(Crypto[[#This Row],[Close]]/Crypto[[#This Row],[Peak Close]])-1</f>
        <v>-0.26811655712657334</v>
      </c>
      <c r="I1868">
        <v>2.4226999999999999</v>
      </c>
      <c r="J1868" s="1">
        <v>45698</v>
      </c>
      <c r="K1868" s="3">
        <v>-3.50022701944114E-3</v>
      </c>
      <c r="L1868">
        <v>5368991525</v>
      </c>
      <c r="M1868" s="2" t="s">
        <v>16</v>
      </c>
    </row>
    <row r="1869" spans="1:13" x14ac:dyDescent="0.3">
      <c r="A1869" s="1">
        <v>45700</v>
      </c>
      <c r="B1869" s="2" t="s">
        <v>15</v>
      </c>
      <c r="C1869">
        <v>2.4142199999999998</v>
      </c>
      <c r="D1869">
        <v>2.49058</v>
      </c>
      <c r="E1869">
        <v>2.34944</v>
      </c>
      <c r="F1869">
        <v>2.4728400000000001</v>
      </c>
      <c r="G1869">
        <f>_xlfn.MAXIFS(Crypto[Close],Crypto[Name],Crypto[[#This Row],[Name]],Crypto[Date],"&lt;="&amp;Crypto[[#This Row],[Date]])</f>
        <v>3.2986399999999998</v>
      </c>
      <c r="H1869" s="3">
        <f>(Crypto[[#This Row],[Close]]/Crypto[[#This Row],[Peak Close]])-1</f>
        <v>-0.25034559697329795</v>
      </c>
      <c r="I1869">
        <v>2.4142199999999998</v>
      </c>
      <c r="J1869" s="1">
        <v>45699</v>
      </c>
      <c r="K1869" s="3">
        <v>2.4281134279394701E-2</v>
      </c>
      <c r="L1869">
        <v>5462469809</v>
      </c>
      <c r="M1869" s="2" t="s">
        <v>16</v>
      </c>
    </row>
    <row r="1870" spans="1:13" x14ac:dyDescent="0.3">
      <c r="A1870" s="1">
        <v>45701</v>
      </c>
      <c r="B1870" s="2" t="s">
        <v>15</v>
      </c>
      <c r="C1870">
        <v>2.4728400000000001</v>
      </c>
      <c r="D1870">
        <v>2.59613</v>
      </c>
      <c r="E1870">
        <v>2.4246500000000002</v>
      </c>
      <c r="F1870">
        <v>2.5625200000000001</v>
      </c>
      <c r="G1870">
        <f>_xlfn.MAXIFS(Crypto[Close],Crypto[Name],Crypto[[#This Row],[Name]],Crypto[Date],"&lt;="&amp;Crypto[[#This Row],[Date]])</f>
        <v>3.2986399999999998</v>
      </c>
      <c r="H1870" s="3">
        <f>(Crypto[[#This Row],[Close]]/Crypto[[#This Row],[Peak Close]])-1</f>
        <v>-0.22315863507384848</v>
      </c>
      <c r="I1870">
        <v>2.4728400000000001</v>
      </c>
      <c r="J1870" s="1">
        <v>45700</v>
      </c>
      <c r="K1870" s="3">
        <v>3.6265993756167E-2</v>
      </c>
      <c r="L1870">
        <v>5041669574</v>
      </c>
      <c r="M1870" s="2" t="s">
        <v>16</v>
      </c>
    </row>
    <row r="1871" spans="1:13" x14ac:dyDescent="0.3">
      <c r="A1871" s="1">
        <v>45702</v>
      </c>
      <c r="B1871" s="2" t="s">
        <v>15</v>
      </c>
      <c r="C1871">
        <v>2.5625</v>
      </c>
      <c r="D1871">
        <v>2.8282699999999998</v>
      </c>
      <c r="E1871">
        <v>2.5352600000000001</v>
      </c>
      <c r="F1871">
        <v>2.7402000000000002</v>
      </c>
      <c r="G1871">
        <f>_xlfn.MAXIFS(Crypto[Close],Crypto[Name],Crypto[[#This Row],[Name]],Crypto[Date],"&lt;="&amp;Crypto[[#This Row],[Date]])</f>
        <v>3.2986399999999998</v>
      </c>
      <c r="H1871" s="3">
        <f>(Crypto[[#This Row],[Close]]/Crypto[[#This Row],[Peak Close]])-1</f>
        <v>-0.16929401207770467</v>
      </c>
      <c r="I1871">
        <v>2.5625200000000001</v>
      </c>
      <c r="J1871" s="1">
        <v>45701</v>
      </c>
      <c r="K1871" s="3">
        <v>6.93379954107676E-2</v>
      </c>
      <c r="L1871">
        <v>8841598608</v>
      </c>
      <c r="M1871" s="2" t="s">
        <v>16</v>
      </c>
    </row>
    <row r="1872" spans="1:13" x14ac:dyDescent="0.3">
      <c r="A1872" s="1">
        <v>45703</v>
      </c>
      <c r="B1872" s="2" t="s">
        <v>15</v>
      </c>
      <c r="C1872">
        <v>2.7400899999999999</v>
      </c>
      <c r="D1872">
        <v>2.8273100000000002</v>
      </c>
      <c r="E1872">
        <v>2.7218499999999999</v>
      </c>
      <c r="F1872">
        <v>2.7615799999999999</v>
      </c>
      <c r="G1872">
        <f>_xlfn.MAXIFS(Crypto[Close],Crypto[Name],Crypto[[#This Row],[Name]],Crypto[Date],"&lt;="&amp;Crypto[[#This Row],[Date]])</f>
        <v>3.2986399999999998</v>
      </c>
      <c r="H1872" s="3">
        <f>(Crypto[[#This Row],[Close]]/Crypto[[#This Row],[Peak Close]])-1</f>
        <v>-0.16281255305216691</v>
      </c>
      <c r="I1872">
        <v>2.7402000000000002</v>
      </c>
      <c r="J1872" s="1">
        <v>45702</v>
      </c>
      <c r="K1872" s="3">
        <v>7.8023501934164404E-3</v>
      </c>
      <c r="L1872">
        <v>4633704309</v>
      </c>
      <c r="M1872" s="2" t="s">
        <v>16</v>
      </c>
    </row>
    <row r="1873" spans="1:13" x14ac:dyDescent="0.3">
      <c r="A1873" s="1">
        <v>45704</v>
      </c>
      <c r="B1873" s="2" t="s">
        <v>15</v>
      </c>
      <c r="C1873">
        <v>2.7615500000000002</v>
      </c>
      <c r="D1873">
        <v>2.8022800000000001</v>
      </c>
      <c r="E1873">
        <v>2.7002100000000002</v>
      </c>
      <c r="F1873">
        <v>2.7278199999999999</v>
      </c>
      <c r="G1873">
        <f>_xlfn.MAXIFS(Crypto[Close],Crypto[Name],Crypto[[#This Row],[Name]],Crypto[Date],"&lt;="&amp;Crypto[[#This Row],[Date]])</f>
        <v>3.2986399999999998</v>
      </c>
      <c r="H1873" s="3">
        <f>(Crypto[[#This Row],[Close]]/Crypto[[#This Row],[Peak Close]])-1</f>
        <v>-0.17304707394562602</v>
      </c>
      <c r="I1873">
        <v>2.7615799999999999</v>
      </c>
      <c r="J1873" s="1">
        <v>45703</v>
      </c>
      <c r="K1873" s="3">
        <v>-1.2224885753807599E-2</v>
      </c>
      <c r="L1873">
        <v>3431117272</v>
      </c>
      <c r="M1873" s="2" t="s">
        <v>16</v>
      </c>
    </row>
    <row r="1874" spans="1:13" x14ac:dyDescent="0.3">
      <c r="A1874" s="1">
        <v>45705</v>
      </c>
      <c r="B1874" s="2" t="s">
        <v>15</v>
      </c>
      <c r="C1874">
        <v>2.7280600000000002</v>
      </c>
      <c r="D1874">
        <v>2.76145</v>
      </c>
      <c r="E1874">
        <v>2.6134599999999999</v>
      </c>
      <c r="F1874">
        <v>2.6582699999999999</v>
      </c>
      <c r="G1874">
        <f>_xlfn.MAXIFS(Crypto[Close],Crypto[Name],Crypto[[#This Row],[Name]],Crypto[Date],"&lt;="&amp;Crypto[[#This Row],[Date]])</f>
        <v>3.2986399999999998</v>
      </c>
      <c r="H1874" s="3">
        <f>(Crypto[[#This Row],[Close]]/Crypto[[#This Row],[Peak Close]])-1</f>
        <v>-0.19413152086920671</v>
      </c>
      <c r="I1874">
        <v>2.7278199999999999</v>
      </c>
      <c r="J1874" s="1">
        <v>45704</v>
      </c>
      <c r="K1874" s="3">
        <v>-2.5496550358894601E-2</v>
      </c>
      <c r="L1874">
        <v>4782836287</v>
      </c>
      <c r="M1874" s="2" t="s">
        <v>16</v>
      </c>
    </row>
    <row r="1875" spans="1:13" x14ac:dyDescent="0.3">
      <c r="A1875" s="1">
        <v>45706</v>
      </c>
      <c r="B1875" s="2" t="s">
        <v>15</v>
      </c>
      <c r="C1875">
        <v>2.6582499999999998</v>
      </c>
      <c r="D1875">
        <v>2.6666699999999999</v>
      </c>
      <c r="E1875">
        <v>2.4733299999999998</v>
      </c>
      <c r="F1875">
        <v>2.5588799999999998</v>
      </c>
      <c r="G1875">
        <f>_xlfn.MAXIFS(Crypto[Close],Crypto[Name],Crypto[[#This Row],[Name]],Crypto[Date],"&lt;="&amp;Crypto[[#This Row],[Date]])</f>
        <v>3.2986399999999998</v>
      </c>
      <c r="H1875" s="3">
        <f>(Crypto[[#This Row],[Close]]/Crypto[[#This Row],[Peak Close]])-1</f>
        <v>-0.22426212014648461</v>
      </c>
      <c r="I1875">
        <v>2.6582699999999999</v>
      </c>
      <c r="J1875" s="1">
        <v>45705</v>
      </c>
      <c r="K1875" s="3">
        <v>-3.7388978546197403E-2</v>
      </c>
      <c r="L1875">
        <v>5357974219</v>
      </c>
      <c r="M1875" s="2" t="s">
        <v>16</v>
      </c>
    </row>
    <row r="1876" spans="1:13" x14ac:dyDescent="0.3">
      <c r="A1876" s="1">
        <v>45707</v>
      </c>
      <c r="B1876" s="2" t="s">
        <v>15</v>
      </c>
      <c r="C1876">
        <v>2.5589499999999998</v>
      </c>
      <c r="D1876">
        <v>2.7440099999999998</v>
      </c>
      <c r="E1876">
        <v>2.5173899999999998</v>
      </c>
      <c r="F1876">
        <v>2.7408000000000001</v>
      </c>
      <c r="G1876">
        <f>_xlfn.MAXIFS(Crypto[Close],Crypto[Name],Crypto[[#This Row],[Name]],Crypto[Date],"&lt;="&amp;Crypto[[#This Row],[Date]])</f>
        <v>3.2986399999999998</v>
      </c>
      <c r="H1876" s="3">
        <f>(Crypto[[#This Row],[Close]]/Crypto[[#This Row],[Peak Close]])-1</f>
        <v>-0.16911211893386358</v>
      </c>
      <c r="I1876">
        <v>2.5588799999999998</v>
      </c>
      <c r="J1876" s="1">
        <v>45706</v>
      </c>
      <c r="K1876" s="3">
        <v>7.1093603451510196E-2</v>
      </c>
      <c r="L1876">
        <v>5175151198</v>
      </c>
      <c r="M1876" s="2" t="s">
        <v>16</v>
      </c>
    </row>
    <row r="1877" spans="1:13" x14ac:dyDescent="0.3">
      <c r="A1877" s="1">
        <v>45708</v>
      </c>
      <c r="B1877" s="2" t="s">
        <v>15</v>
      </c>
      <c r="C1877">
        <v>2.7408100000000002</v>
      </c>
      <c r="D1877">
        <v>2.74491</v>
      </c>
      <c r="E1877">
        <v>2.67361</v>
      </c>
      <c r="F1877">
        <v>2.6908300000000001</v>
      </c>
      <c r="G1877">
        <f>_xlfn.MAXIFS(Crypto[Close],Crypto[Name],Crypto[[#This Row],[Name]],Crypto[Date],"&lt;="&amp;Crypto[[#This Row],[Date]])</f>
        <v>3.2986399999999998</v>
      </c>
      <c r="H1877" s="3">
        <f>(Crypto[[#This Row],[Close]]/Crypto[[#This Row],[Peak Close]])-1</f>
        <v>-0.18426078626342968</v>
      </c>
      <c r="I1877">
        <v>2.7408000000000001</v>
      </c>
      <c r="J1877" s="1">
        <v>45707</v>
      </c>
      <c r="K1877" s="3">
        <v>-1.8231903093987201E-2</v>
      </c>
      <c r="L1877">
        <v>4310522382</v>
      </c>
      <c r="M1877" s="2" t="s">
        <v>16</v>
      </c>
    </row>
    <row r="1878" spans="1:13" x14ac:dyDescent="0.3">
      <c r="A1878" s="1">
        <v>45709</v>
      </c>
      <c r="B1878" s="2" t="s">
        <v>15</v>
      </c>
      <c r="C1878">
        <v>2.6907899999999998</v>
      </c>
      <c r="D1878">
        <v>2.7090100000000001</v>
      </c>
      <c r="E1878">
        <v>2.5124900000000001</v>
      </c>
      <c r="F1878">
        <v>2.5701399999999999</v>
      </c>
      <c r="G1878">
        <f>_xlfn.MAXIFS(Crypto[Close],Crypto[Name],Crypto[[#This Row],[Name]],Crypto[Date],"&lt;="&amp;Crypto[[#This Row],[Date]])</f>
        <v>3.2986399999999998</v>
      </c>
      <c r="H1878" s="3">
        <f>(Crypto[[#This Row],[Close]]/Crypto[[#This Row],[Peak Close]])-1</f>
        <v>-0.22084859214706665</v>
      </c>
      <c r="I1878">
        <v>2.6908300000000001</v>
      </c>
      <c r="J1878" s="1">
        <v>45708</v>
      </c>
      <c r="K1878" s="3">
        <v>-4.4852331808401202E-2</v>
      </c>
      <c r="L1878">
        <v>5895816750</v>
      </c>
      <c r="M1878" s="2" t="s">
        <v>16</v>
      </c>
    </row>
    <row r="1879" spans="1:13" x14ac:dyDescent="0.3">
      <c r="A1879" s="1">
        <v>45710</v>
      </c>
      <c r="B1879" s="2" t="s">
        <v>15</v>
      </c>
      <c r="C1879">
        <v>2.5701499999999999</v>
      </c>
      <c r="D1879">
        <v>2.6074700000000002</v>
      </c>
      <c r="E1879">
        <v>2.5561799999999999</v>
      </c>
      <c r="F1879">
        <v>2.5757099999999999</v>
      </c>
      <c r="G1879">
        <f>_xlfn.MAXIFS(Crypto[Close],Crypto[Name],Crypto[[#This Row],[Name]],Crypto[Date],"&lt;="&amp;Crypto[[#This Row],[Date]])</f>
        <v>3.2986399999999998</v>
      </c>
      <c r="H1879" s="3">
        <f>(Crypto[[#This Row],[Close]]/Crypto[[#This Row],[Peak Close]])-1</f>
        <v>-0.21916001746174174</v>
      </c>
      <c r="I1879">
        <v>2.5701399999999999</v>
      </c>
      <c r="J1879" s="1">
        <v>45709</v>
      </c>
      <c r="K1879" s="3">
        <v>2.16719711766677E-3</v>
      </c>
      <c r="L1879">
        <v>2384435690</v>
      </c>
      <c r="M1879" s="2" t="s">
        <v>16</v>
      </c>
    </row>
    <row r="1880" spans="1:13" x14ac:dyDescent="0.3">
      <c r="A1880" s="1">
        <v>45711</v>
      </c>
      <c r="B1880" s="2" t="s">
        <v>15</v>
      </c>
      <c r="C1880">
        <v>2.5757099999999999</v>
      </c>
      <c r="D1880">
        <v>2.5969799999999998</v>
      </c>
      <c r="E1880">
        <v>2.5236900000000002</v>
      </c>
      <c r="F1880">
        <v>2.5770200000000001</v>
      </c>
      <c r="G1880">
        <f>_xlfn.MAXIFS(Crypto[Close],Crypto[Name],Crypto[[#This Row],[Name]],Crypto[Date],"&lt;="&amp;Crypto[[#This Row],[Date]])</f>
        <v>3.2986399999999998</v>
      </c>
      <c r="H1880" s="3">
        <f>(Crypto[[#This Row],[Close]]/Crypto[[#This Row],[Peak Close]])-1</f>
        <v>-0.21876288409768863</v>
      </c>
      <c r="I1880">
        <v>2.5757099999999999</v>
      </c>
      <c r="J1880" s="1">
        <v>45710</v>
      </c>
      <c r="K1880" s="3">
        <v>5.08597629391564E-4</v>
      </c>
      <c r="L1880">
        <v>2469949788</v>
      </c>
      <c r="M1880" s="2" t="s">
        <v>16</v>
      </c>
    </row>
    <row r="1881" spans="1:13" x14ac:dyDescent="0.3">
      <c r="A1881" s="1">
        <v>45712</v>
      </c>
      <c r="B1881" s="2" t="s">
        <v>15</v>
      </c>
      <c r="C1881">
        <v>2.57701</v>
      </c>
      <c r="D1881">
        <v>2.60046</v>
      </c>
      <c r="E1881">
        <v>2.27054</v>
      </c>
      <c r="F1881">
        <v>2.27793</v>
      </c>
      <c r="G1881">
        <f>_xlfn.MAXIFS(Crypto[Close],Crypto[Name],Crypto[[#This Row],[Name]],Crypto[Date],"&lt;="&amp;Crypto[[#This Row],[Date]])</f>
        <v>3.2986399999999998</v>
      </c>
      <c r="H1881" s="3">
        <f>(Crypto[[#This Row],[Close]]/Crypto[[#This Row],[Peak Close]])-1</f>
        <v>-0.30943358475007876</v>
      </c>
      <c r="I1881">
        <v>2.5770200000000001</v>
      </c>
      <c r="J1881" s="1">
        <v>45711</v>
      </c>
      <c r="K1881" s="3">
        <v>-0.116060410862159</v>
      </c>
      <c r="L1881">
        <v>7075894526</v>
      </c>
      <c r="M1881" s="2" t="s">
        <v>16</v>
      </c>
    </row>
    <row r="1882" spans="1:13" x14ac:dyDescent="0.3">
      <c r="A1882" s="1">
        <v>45713</v>
      </c>
      <c r="B1882" s="2" t="s">
        <v>15</v>
      </c>
      <c r="C1882">
        <v>2.2779500000000001</v>
      </c>
      <c r="D1882">
        <v>2.35791</v>
      </c>
      <c r="E1882">
        <v>2.0751900000000001</v>
      </c>
      <c r="F1882">
        <v>2.3207200000000001</v>
      </c>
      <c r="G1882">
        <f>_xlfn.MAXIFS(Crypto[Close],Crypto[Name],Crypto[[#This Row],[Name]],Crypto[Date],"&lt;="&amp;Crypto[[#This Row],[Date]])</f>
        <v>3.2986399999999998</v>
      </c>
      <c r="H1882" s="3">
        <f>(Crypto[[#This Row],[Close]]/Crypto[[#This Row],[Peak Close]])-1</f>
        <v>-0.29646157204181112</v>
      </c>
      <c r="I1882">
        <v>2.27793</v>
      </c>
      <c r="J1882" s="1">
        <v>45712</v>
      </c>
      <c r="K1882" s="3">
        <v>1.8784598297577199E-2</v>
      </c>
      <c r="L1882">
        <v>13317860642</v>
      </c>
      <c r="M1882" s="2" t="s">
        <v>16</v>
      </c>
    </row>
    <row r="1883" spans="1:13" x14ac:dyDescent="0.3">
      <c r="A1883" s="1">
        <v>45714</v>
      </c>
      <c r="B1883" s="2" t="s">
        <v>15</v>
      </c>
      <c r="C1883">
        <v>2.3207300000000002</v>
      </c>
      <c r="D1883">
        <v>2.3249200000000001</v>
      </c>
      <c r="E1883">
        <v>2.15401</v>
      </c>
      <c r="F1883">
        <v>2.1924399999999999</v>
      </c>
      <c r="G1883">
        <f>_xlfn.MAXIFS(Crypto[Close],Crypto[Name],Crypto[[#This Row],[Name]],Crypto[Date],"&lt;="&amp;Crypto[[#This Row],[Date]])</f>
        <v>3.2986399999999998</v>
      </c>
      <c r="H1883" s="3">
        <f>(Crypto[[#This Row],[Close]]/Crypto[[#This Row],[Peak Close]])-1</f>
        <v>-0.33535032619503791</v>
      </c>
      <c r="I1883">
        <v>2.3207200000000001</v>
      </c>
      <c r="J1883" s="1">
        <v>45713</v>
      </c>
      <c r="K1883" s="3">
        <v>-5.5275948843462402E-2</v>
      </c>
      <c r="L1883">
        <v>6752125996</v>
      </c>
      <c r="M1883" s="2" t="s">
        <v>16</v>
      </c>
    </row>
    <row r="1884" spans="1:13" x14ac:dyDescent="0.3">
      <c r="A1884" s="1">
        <v>45715</v>
      </c>
      <c r="B1884" s="2" t="s">
        <v>15</v>
      </c>
      <c r="C1884">
        <v>2.19245</v>
      </c>
      <c r="D1884">
        <v>2.25386</v>
      </c>
      <c r="E1884">
        <v>2.1490100000000001</v>
      </c>
      <c r="F1884">
        <v>2.1986500000000002</v>
      </c>
      <c r="G1884">
        <f>_xlfn.MAXIFS(Crypto[Close],Crypto[Name],Crypto[[#This Row],[Name]],Crypto[Date],"&lt;="&amp;Crypto[[#This Row],[Date]])</f>
        <v>3.2986399999999998</v>
      </c>
      <c r="H1884" s="3">
        <f>(Crypto[[#This Row],[Close]]/Crypto[[#This Row],[Peak Close]])-1</f>
        <v>-0.33346773215628245</v>
      </c>
      <c r="I1884">
        <v>2.1924399999999999</v>
      </c>
      <c r="J1884" s="1">
        <v>45714</v>
      </c>
      <c r="K1884" s="3">
        <v>2.8324606374634099E-3</v>
      </c>
      <c r="L1884">
        <v>4837539998</v>
      </c>
      <c r="M1884" s="2" t="s">
        <v>16</v>
      </c>
    </row>
    <row r="1885" spans="1:13" x14ac:dyDescent="0.3">
      <c r="A1885" s="1">
        <v>45716</v>
      </c>
      <c r="B1885" s="2" t="s">
        <v>15</v>
      </c>
      <c r="C1885">
        <v>2.1986400000000001</v>
      </c>
      <c r="D1885">
        <v>2.1986400000000001</v>
      </c>
      <c r="E1885">
        <v>1.9574100000000001</v>
      </c>
      <c r="F1885">
        <v>2.1456</v>
      </c>
      <c r="G1885">
        <f>_xlfn.MAXIFS(Crypto[Close],Crypto[Name],Crypto[[#This Row],[Name]],Crypto[Date],"&lt;="&amp;Crypto[[#This Row],[Date]])</f>
        <v>3.2986399999999998</v>
      </c>
      <c r="H1885" s="3">
        <f>(Crypto[[#This Row],[Close]]/Crypto[[#This Row],[Peak Close]])-1</f>
        <v>-0.34955011762423294</v>
      </c>
      <c r="I1885">
        <v>2.1986500000000002</v>
      </c>
      <c r="J1885" s="1">
        <v>45715</v>
      </c>
      <c r="K1885" s="3">
        <v>-2.4128442453323701E-2</v>
      </c>
      <c r="L1885">
        <v>8544047699</v>
      </c>
      <c r="M1885" s="2" t="s">
        <v>16</v>
      </c>
    </row>
    <row r="1886" spans="1:13" x14ac:dyDescent="0.3">
      <c r="A1886" s="1">
        <v>45717</v>
      </c>
      <c r="B1886" s="2" t="s">
        <v>15</v>
      </c>
      <c r="C1886">
        <v>2.14561</v>
      </c>
      <c r="D1886">
        <v>2.2123900000000001</v>
      </c>
      <c r="E1886">
        <v>2.1229200000000001</v>
      </c>
      <c r="F1886">
        <v>2.1905999999999999</v>
      </c>
      <c r="G1886">
        <f>_xlfn.MAXIFS(Crypto[Close],Crypto[Name],Crypto[[#This Row],[Name]],Crypto[Date],"&lt;="&amp;Crypto[[#This Row],[Date]])</f>
        <v>3.2986399999999998</v>
      </c>
      <c r="H1886" s="3">
        <f>(Crypto[[#This Row],[Close]]/Crypto[[#This Row],[Peak Close]])-1</f>
        <v>-0.33590813183615065</v>
      </c>
      <c r="I1886">
        <v>2.1456</v>
      </c>
      <c r="J1886" s="1">
        <v>45716</v>
      </c>
      <c r="K1886" s="3">
        <v>2.0973154362416101E-2</v>
      </c>
      <c r="L1886">
        <v>3300928949</v>
      </c>
      <c r="M1886" s="2" t="s">
        <v>16</v>
      </c>
    </row>
    <row r="1887" spans="1:13" x14ac:dyDescent="0.3">
      <c r="A1887" s="1">
        <v>45718</v>
      </c>
      <c r="B1887" s="2" t="s">
        <v>15</v>
      </c>
      <c r="C1887">
        <v>2.1905899999999998</v>
      </c>
      <c r="D1887">
        <v>2.96672</v>
      </c>
      <c r="E1887">
        <v>2.1773600000000002</v>
      </c>
      <c r="F1887">
        <v>2.9369399999999999</v>
      </c>
      <c r="G1887">
        <f>_xlfn.MAXIFS(Crypto[Close],Crypto[Name],Crypto[[#This Row],[Name]],Crypto[Date],"&lt;="&amp;Crypto[[#This Row],[Date]])</f>
        <v>3.2986399999999998</v>
      </c>
      <c r="H1887" s="3">
        <f>(Crypto[[#This Row],[Close]]/Crypto[[#This Row],[Peak Close]])-1</f>
        <v>-0.10965125021220867</v>
      </c>
      <c r="I1887">
        <v>2.1905999999999999</v>
      </c>
      <c r="J1887" s="1">
        <v>45717</v>
      </c>
      <c r="K1887" s="3">
        <v>0.34070117775951803</v>
      </c>
      <c r="L1887">
        <v>17441097426</v>
      </c>
      <c r="M1887" s="2" t="s">
        <v>16</v>
      </c>
    </row>
    <row r="1888" spans="1:13" x14ac:dyDescent="0.3">
      <c r="A1888" s="1">
        <v>45719</v>
      </c>
      <c r="B1888" s="2" t="s">
        <v>15</v>
      </c>
      <c r="C1888">
        <v>2.9370500000000002</v>
      </c>
      <c r="D1888">
        <v>2.9439199999999999</v>
      </c>
      <c r="E1888">
        <v>2.3117299999999998</v>
      </c>
      <c r="F1888">
        <v>2.3857400000000002</v>
      </c>
      <c r="G1888">
        <f>_xlfn.MAXIFS(Crypto[Close],Crypto[Name],Crypto[[#This Row],[Name]],Crypto[Date],"&lt;="&amp;Crypto[[#This Row],[Date]])</f>
        <v>3.2986399999999998</v>
      </c>
      <c r="H1888" s="3">
        <f>(Crypto[[#This Row],[Close]]/Crypto[[#This Row],[Peak Close]])-1</f>
        <v>-0.27675041835423075</v>
      </c>
      <c r="I1888">
        <v>2.9369399999999999</v>
      </c>
      <c r="J1888" s="1">
        <v>45718</v>
      </c>
      <c r="K1888" s="3">
        <v>-0.187678331869224</v>
      </c>
      <c r="L1888">
        <v>14497390960</v>
      </c>
      <c r="M1888" s="2" t="s">
        <v>16</v>
      </c>
    </row>
    <row r="1889" spans="1:13" x14ac:dyDescent="0.3">
      <c r="A1889" s="1">
        <v>45720</v>
      </c>
      <c r="B1889" s="2" t="s">
        <v>15</v>
      </c>
      <c r="C1889">
        <v>2.3857200000000001</v>
      </c>
      <c r="D1889">
        <v>2.5161099999999998</v>
      </c>
      <c r="E1889">
        <v>2.22987</v>
      </c>
      <c r="F1889">
        <v>2.4551500000000002</v>
      </c>
      <c r="G1889">
        <f>_xlfn.MAXIFS(Crypto[Close],Crypto[Name],Crypto[[#This Row],[Name]],Crypto[Date],"&lt;="&amp;Crypto[[#This Row],[Date]])</f>
        <v>3.2986399999999998</v>
      </c>
      <c r="H1889" s="3">
        <f>(Crypto[[#This Row],[Close]]/Crypto[[#This Row],[Peak Close]])-1</f>
        <v>-0.255708413164213</v>
      </c>
      <c r="I1889">
        <v>2.3857400000000002</v>
      </c>
      <c r="J1889" s="1">
        <v>45719</v>
      </c>
      <c r="K1889" s="3">
        <v>2.9093698391274798E-2</v>
      </c>
      <c r="L1889">
        <v>11265947031</v>
      </c>
      <c r="M1889" s="2" t="s">
        <v>16</v>
      </c>
    </row>
    <row r="1890" spans="1:13" x14ac:dyDescent="0.3">
      <c r="A1890" s="1">
        <v>45721</v>
      </c>
      <c r="B1890" s="2" t="s">
        <v>15</v>
      </c>
      <c r="C1890">
        <v>2.4551500000000002</v>
      </c>
      <c r="D1890">
        <v>2.5330400000000002</v>
      </c>
      <c r="E1890">
        <v>2.41812</v>
      </c>
      <c r="F1890">
        <v>2.5005099999999998</v>
      </c>
      <c r="G1890">
        <f>_xlfn.MAXIFS(Crypto[Close],Crypto[Name],Crypto[[#This Row],[Name]],Crypto[Date],"&lt;="&amp;Crypto[[#This Row],[Date]])</f>
        <v>3.2986399999999998</v>
      </c>
      <c r="H1890" s="3">
        <f>(Crypto[[#This Row],[Close]]/Crypto[[#This Row],[Peak Close]])-1</f>
        <v>-0.24195729148982614</v>
      </c>
      <c r="I1890">
        <v>2.4551500000000002</v>
      </c>
      <c r="J1890" s="1">
        <v>45720</v>
      </c>
      <c r="K1890" s="3">
        <v>1.84754495651995E-2</v>
      </c>
      <c r="L1890">
        <v>6075953089</v>
      </c>
      <c r="M1890" s="2" t="s">
        <v>16</v>
      </c>
    </row>
    <row r="1891" spans="1:13" x14ac:dyDescent="0.3">
      <c r="A1891" s="1">
        <v>45722</v>
      </c>
      <c r="B1891" s="2" t="s">
        <v>15</v>
      </c>
      <c r="C1891">
        <v>2.5005500000000001</v>
      </c>
      <c r="D1891">
        <v>2.6384300000000001</v>
      </c>
      <c r="E1891">
        <v>2.47424</v>
      </c>
      <c r="F1891">
        <v>2.6017299999999999</v>
      </c>
      <c r="G1891">
        <f>_xlfn.MAXIFS(Crypto[Close],Crypto[Name],Crypto[[#This Row],[Name]],Crypto[Date],"&lt;="&amp;Crypto[[#This Row],[Date]])</f>
        <v>3.2986399999999998</v>
      </c>
      <c r="H1891" s="3">
        <f>(Crypto[[#This Row],[Close]]/Crypto[[#This Row],[Peak Close]])-1</f>
        <v>-0.21127191812383284</v>
      </c>
      <c r="I1891">
        <v>2.5005099999999998</v>
      </c>
      <c r="J1891" s="1">
        <v>45721</v>
      </c>
      <c r="K1891" s="3">
        <v>4.0479742132605002E-2</v>
      </c>
      <c r="L1891">
        <v>6907451109</v>
      </c>
      <c r="M1891" s="2" t="s">
        <v>16</v>
      </c>
    </row>
    <row r="1892" spans="1:13" x14ac:dyDescent="0.3">
      <c r="A1892" s="1">
        <v>45723</v>
      </c>
      <c r="B1892" s="2" t="s">
        <v>15</v>
      </c>
      <c r="C1892">
        <v>2.6017299999999999</v>
      </c>
      <c r="D1892">
        <v>2.6100500000000002</v>
      </c>
      <c r="E1892">
        <v>2.3570099999999998</v>
      </c>
      <c r="F1892">
        <v>2.3816199999999998</v>
      </c>
      <c r="G1892">
        <f>_xlfn.MAXIFS(Crypto[Close],Crypto[Name],Crypto[[#This Row],[Name]],Crypto[Date],"&lt;="&amp;Crypto[[#This Row],[Date]])</f>
        <v>3.2986399999999998</v>
      </c>
      <c r="H1892" s="3">
        <f>(Crypto[[#This Row],[Close]]/Crypto[[#This Row],[Peak Close]])-1</f>
        <v>-0.27799941794193972</v>
      </c>
      <c r="I1892">
        <v>2.6017299999999999</v>
      </c>
      <c r="J1892" s="1">
        <v>45722</v>
      </c>
      <c r="K1892" s="3">
        <v>-8.4601399837800198E-2</v>
      </c>
      <c r="L1892">
        <v>9796404399</v>
      </c>
      <c r="M1892" s="2" t="s">
        <v>16</v>
      </c>
    </row>
    <row r="1893" spans="1:13" x14ac:dyDescent="0.3">
      <c r="A1893" s="1">
        <v>45724</v>
      </c>
      <c r="B1893" s="2" t="s">
        <v>15</v>
      </c>
      <c r="C1893">
        <v>2.3816000000000002</v>
      </c>
      <c r="D1893">
        <v>2.4064100000000002</v>
      </c>
      <c r="E1893">
        <v>2.3096100000000002</v>
      </c>
      <c r="F1893">
        <v>2.3234400000000002</v>
      </c>
      <c r="G1893">
        <f>_xlfn.MAXIFS(Crypto[Close],Crypto[Name],Crypto[[#This Row],[Name]],Crypto[Date],"&lt;="&amp;Crypto[[#This Row],[Date]])</f>
        <v>3.2986399999999998</v>
      </c>
      <c r="H1893" s="3">
        <f>(Crypto[[#This Row],[Close]]/Crypto[[#This Row],[Peak Close]])-1</f>
        <v>-0.29563698978973141</v>
      </c>
      <c r="I1893">
        <v>2.3816199999999998</v>
      </c>
      <c r="J1893" s="1">
        <v>45723</v>
      </c>
      <c r="K1893" s="3">
        <v>-2.4428750178449799E-2</v>
      </c>
      <c r="L1893">
        <v>3722945467</v>
      </c>
      <c r="M1893" s="2" t="s">
        <v>16</v>
      </c>
    </row>
    <row r="1894" spans="1:13" x14ac:dyDescent="0.3">
      <c r="A1894" s="1">
        <v>45725</v>
      </c>
      <c r="B1894" s="2" t="s">
        <v>15</v>
      </c>
      <c r="C1894">
        <v>2.3234300000000001</v>
      </c>
      <c r="D1894">
        <v>2.3487800000000001</v>
      </c>
      <c r="E1894">
        <v>2.0909800000000001</v>
      </c>
      <c r="F1894">
        <v>2.1345800000000001</v>
      </c>
      <c r="G1894">
        <f>_xlfn.MAXIFS(Crypto[Close],Crypto[Name],Crypto[[#This Row],[Name]],Crypto[Date],"&lt;="&amp;Crypto[[#This Row],[Date]])</f>
        <v>3.2986399999999998</v>
      </c>
      <c r="H1894" s="3">
        <f>(Crypto[[#This Row],[Close]]/Crypto[[#This Row],[Peak Close]])-1</f>
        <v>-0.35289088836611449</v>
      </c>
      <c r="I1894">
        <v>2.3234400000000002</v>
      </c>
      <c r="J1894" s="1">
        <v>45724</v>
      </c>
      <c r="K1894" s="3">
        <v>-8.1284646902868199E-2</v>
      </c>
      <c r="L1894">
        <v>6156171771</v>
      </c>
      <c r="M1894" s="2" t="s">
        <v>16</v>
      </c>
    </row>
    <row r="1895" spans="1:13" x14ac:dyDescent="0.3">
      <c r="A1895" s="1">
        <v>45726</v>
      </c>
      <c r="B1895" s="2" t="s">
        <v>15</v>
      </c>
      <c r="C1895">
        <v>2.1344699999999999</v>
      </c>
      <c r="D1895">
        <v>2.2517</v>
      </c>
      <c r="E1895">
        <v>2.0005199999999999</v>
      </c>
      <c r="F1895">
        <v>2.0182899999999999</v>
      </c>
      <c r="G1895">
        <f>_xlfn.MAXIFS(Crypto[Close],Crypto[Name],Crypto[[#This Row],[Name]],Crypto[Date],"&lt;="&amp;Crypto[[#This Row],[Date]])</f>
        <v>3.2986399999999998</v>
      </c>
      <c r="H1895" s="3">
        <f>(Crypto[[#This Row],[Close]]/Crypto[[#This Row],[Peak Close]])-1</f>
        <v>-0.38814481119491673</v>
      </c>
      <c r="I1895">
        <v>2.1345800000000001</v>
      </c>
      <c r="J1895" s="1">
        <v>45725</v>
      </c>
      <c r="K1895" s="3">
        <v>-5.4479101275192399E-2</v>
      </c>
      <c r="L1895">
        <v>8000109431</v>
      </c>
      <c r="M1895" s="2" t="s">
        <v>16</v>
      </c>
    </row>
    <row r="1896" spans="1:13" x14ac:dyDescent="0.3">
      <c r="A1896" s="1">
        <v>45727</v>
      </c>
      <c r="B1896" s="2" t="s">
        <v>15</v>
      </c>
      <c r="C1896">
        <v>2.0181900000000002</v>
      </c>
      <c r="D1896">
        <v>2.2082000000000002</v>
      </c>
      <c r="E1896">
        <v>1.91659</v>
      </c>
      <c r="F1896">
        <v>2.1669200000000002</v>
      </c>
      <c r="G1896">
        <f>_xlfn.MAXIFS(Crypto[Close],Crypto[Name],Crypto[[#This Row],[Name]],Crypto[Date],"&lt;="&amp;Crypto[[#This Row],[Date]])</f>
        <v>3.2986399999999998</v>
      </c>
      <c r="H1896" s="3">
        <f>(Crypto[[#This Row],[Close]]/Crypto[[#This Row],[Peak Close]])-1</f>
        <v>-0.3430868479130792</v>
      </c>
      <c r="I1896">
        <v>2.0182899999999999</v>
      </c>
      <c r="J1896" s="1">
        <v>45726</v>
      </c>
      <c r="K1896" s="3">
        <v>7.3641548043145599E-2</v>
      </c>
      <c r="L1896">
        <v>8214014406</v>
      </c>
      <c r="M1896" s="2" t="s">
        <v>16</v>
      </c>
    </row>
    <row r="1897" spans="1:13" x14ac:dyDescent="0.3">
      <c r="A1897" s="1">
        <v>45728</v>
      </c>
      <c r="B1897" s="2" t="s">
        <v>15</v>
      </c>
      <c r="C1897">
        <v>2.1669299999999998</v>
      </c>
      <c r="D1897">
        <v>2.2588300000000001</v>
      </c>
      <c r="E1897">
        <v>2.1420599999999999</v>
      </c>
      <c r="F1897">
        <v>2.2407599999999999</v>
      </c>
      <c r="G1897">
        <f>_xlfn.MAXIFS(Crypto[Close],Crypto[Name],Crypto[[#This Row],[Name]],Crypto[Date],"&lt;="&amp;Crypto[[#This Row],[Date]])</f>
        <v>3.2986399999999998</v>
      </c>
      <c r="H1897" s="3">
        <f>(Crypto[[#This Row],[Close]]/Crypto[[#This Row],[Peak Close]])-1</f>
        <v>-0.32070186501103481</v>
      </c>
      <c r="I1897">
        <v>2.1669200000000002</v>
      </c>
      <c r="J1897" s="1">
        <v>45727</v>
      </c>
      <c r="K1897" s="3">
        <v>3.4076015727391697E-2</v>
      </c>
      <c r="L1897">
        <v>6420912776</v>
      </c>
      <c r="M1897" s="2" t="s">
        <v>16</v>
      </c>
    </row>
    <row r="1898" spans="1:13" x14ac:dyDescent="0.3">
      <c r="A1898" s="1">
        <v>45729</v>
      </c>
      <c r="B1898" s="2" t="s">
        <v>15</v>
      </c>
      <c r="C1898">
        <v>2.2407499999999998</v>
      </c>
      <c r="D1898">
        <v>2.3379799999999999</v>
      </c>
      <c r="E1898">
        <v>2.2187600000000001</v>
      </c>
      <c r="F1898">
        <v>2.25101</v>
      </c>
      <c r="G1898">
        <f>_xlfn.MAXIFS(Crypto[Close],Crypto[Name],Crypto[[#This Row],[Name]],Crypto[Date],"&lt;="&amp;Crypto[[#This Row],[Date]])</f>
        <v>3.2986399999999998</v>
      </c>
      <c r="H1898" s="3">
        <f>(Crypto[[#This Row],[Close]]/Crypto[[#This Row],[Peak Close]])-1</f>
        <v>-0.31759452380374942</v>
      </c>
      <c r="I1898">
        <v>2.2407599999999999</v>
      </c>
      <c r="J1898" s="1">
        <v>45728</v>
      </c>
      <c r="K1898" s="3">
        <v>4.57434084864068E-3</v>
      </c>
      <c r="L1898">
        <v>5570837343</v>
      </c>
      <c r="M1898" s="2" t="s">
        <v>16</v>
      </c>
    </row>
    <row r="1899" spans="1:13" x14ac:dyDescent="0.3">
      <c r="A1899" s="1">
        <v>45730</v>
      </c>
      <c r="B1899" s="2" t="s">
        <v>15</v>
      </c>
      <c r="C1899">
        <v>2.2509999999999999</v>
      </c>
      <c r="D1899">
        <v>2.3833199999999999</v>
      </c>
      <c r="E1899">
        <v>2.2400799999999998</v>
      </c>
      <c r="F1899">
        <v>2.3564400000000001</v>
      </c>
      <c r="G1899">
        <f>_xlfn.MAXIFS(Crypto[Close],Crypto[Name],Crypto[[#This Row],[Name]],Crypto[Date],"&lt;="&amp;Crypto[[#This Row],[Date]])</f>
        <v>3.2986399999999998</v>
      </c>
      <c r="H1899" s="3">
        <f>(Crypto[[#This Row],[Close]]/Crypto[[#This Row],[Peak Close]])-1</f>
        <v>-0.285632866878471</v>
      </c>
      <c r="I1899">
        <v>2.25101</v>
      </c>
      <c r="J1899" s="1">
        <v>45729</v>
      </c>
      <c r="K1899" s="3">
        <v>4.6836753279639001E-2</v>
      </c>
      <c r="L1899">
        <v>4318754070</v>
      </c>
      <c r="M1899" s="2" t="s">
        <v>16</v>
      </c>
    </row>
    <row r="1900" spans="1:13" x14ac:dyDescent="0.3">
      <c r="A1900" s="1">
        <v>45731</v>
      </c>
      <c r="B1900" s="2" t="s">
        <v>15</v>
      </c>
      <c r="C1900">
        <v>2.35643</v>
      </c>
      <c r="D1900">
        <v>2.4717600000000002</v>
      </c>
      <c r="E1900">
        <v>2.35636</v>
      </c>
      <c r="F1900">
        <v>2.39324</v>
      </c>
      <c r="G1900">
        <f>_xlfn.MAXIFS(Crypto[Close],Crypto[Name],Crypto[[#This Row],[Name]],Crypto[Date],"&lt;="&amp;Crypto[[#This Row],[Date]])</f>
        <v>3.2986399999999998</v>
      </c>
      <c r="H1900" s="3">
        <f>(Crypto[[#This Row],[Close]]/Crypto[[#This Row],[Peak Close]])-1</f>
        <v>-0.27447675405621708</v>
      </c>
      <c r="I1900">
        <v>2.3564400000000001</v>
      </c>
      <c r="J1900" s="1">
        <v>45730</v>
      </c>
      <c r="K1900" s="3">
        <v>1.5616777851335001E-2</v>
      </c>
      <c r="L1900">
        <v>3638758922</v>
      </c>
      <c r="M1900" s="2" t="s">
        <v>16</v>
      </c>
    </row>
    <row r="1901" spans="1:13" x14ac:dyDescent="0.3">
      <c r="A1901" s="1">
        <v>45732</v>
      </c>
      <c r="B1901" s="2" t="s">
        <v>15</v>
      </c>
      <c r="C1901">
        <v>2.3932799999999999</v>
      </c>
      <c r="D1901">
        <v>2.4085200000000002</v>
      </c>
      <c r="E1901">
        <v>2.2745799999999998</v>
      </c>
      <c r="F1901">
        <v>2.2978700000000001</v>
      </c>
      <c r="G1901">
        <f>_xlfn.MAXIFS(Crypto[Close],Crypto[Name],Crypto[[#This Row],[Name]],Crypto[Date],"&lt;="&amp;Crypto[[#This Row],[Date]])</f>
        <v>3.2986399999999998</v>
      </c>
      <c r="H1901" s="3">
        <f>(Crypto[[#This Row],[Close]]/Crypto[[#This Row],[Peak Close]])-1</f>
        <v>-0.3033886692697596</v>
      </c>
      <c r="I1901">
        <v>2.39324</v>
      </c>
      <c r="J1901" s="1">
        <v>45731</v>
      </c>
      <c r="K1901" s="3">
        <v>-3.9849743444033997E-2</v>
      </c>
      <c r="L1901">
        <v>3890457149</v>
      </c>
      <c r="M1901" s="2" t="s">
        <v>16</v>
      </c>
    </row>
    <row r="1902" spans="1:13" x14ac:dyDescent="0.3">
      <c r="A1902" s="1">
        <v>45733</v>
      </c>
      <c r="B1902" s="2" t="s">
        <v>15</v>
      </c>
      <c r="C1902">
        <v>2.2978000000000001</v>
      </c>
      <c r="D1902">
        <v>2.3759399999999999</v>
      </c>
      <c r="E1902">
        <v>2.2955100000000002</v>
      </c>
      <c r="F1902">
        <v>2.3406400000000001</v>
      </c>
      <c r="G1902">
        <f>_xlfn.MAXIFS(Crypto[Close],Crypto[Name],Crypto[[#This Row],[Name]],Crypto[Date],"&lt;="&amp;Crypto[[#This Row],[Date]])</f>
        <v>3.2986399999999998</v>
      </c>
      <c r="H1902" s="3">
        <f>(Crypto[[#This Row],[Close]]/Crypto[[#This Row],[Peak Close]])-1</f>
        <v>-0.29042271966628663</v>
      </c>
      <c r="I1902">
        <v>2.2978700000000001</v>
      </c>
      <c r="J1902" s="1">
        <v>45732</v>
      </c>
      <c r="K1902" s="3">
        <v>1.8612889327942798E-2</v>
      </c>
      <c r="L1902">
        <v>3457455337</v>
      </c>
      <c r="M1902" s="2" t="s">
        <v>16</v>
      </c>
    </row>
    <row r="1903" spans="1:13" x14ac:dyDescent="0.3">
      <c r="A1903" s="1">
        <v>45734</v>
      </c>
      <c r="B1903" s="2" t="s">
        <v>15</v>
      </c>
      <c r="C1903">
        <v>2.34063</v>
      </c>
      <c r="D1903">
        <v>2.34063</v>
      </c>
      <c r="E1903">
        <v>2.2263299999999999</v>
      </c>
      <c r="F1903">
        <v>2.2869600000000001</v>
      </c>
      <c r="G1903">
        <f>_xlfn.MAXIFS(Crypto[Close],Crypto[Name],Crypto[[#This Row],[Name]],Crypto[Date],"&lt;="&amp;Crypto[[#This Row],[Date]])</f>
        <v>3.2986399999999998</v>
      </c>
      <c r="H1903" s="3">
        <f>(Crypto[[#This Row],[Close]]/Crypto[[#This Row],[Peak Close]])-1</f>
        <v>-0.30669609293527023</v>
      </c>
      <c r="I1903">
        <v>2.3406400000000001</v>
      </c>
      <c r="J1903" s="1">
        <v>45733</v>
      </c>
      <c r="K1903" s="3">
        <v>-2.29338984209447E-2</v>
      </c>
      <c r="L1903">
        <v>3485953021</v>
      </c>
      <c r="M1903" s="2" t="s">
        <v>16</v>
      </c>
    </row>
    <row r="1904" spans="1:13" x14ac:dyDescent="0.3">
      <c r="A1904" s="1">
        <v>45735</v>
      </c>
      <c r="B1904" s="2" t="s">
        <v>15</v>
      </c>
      <c r="C1904">
        <v>2.28695</v>
      </c>
      <c r="D1904">
        <v>2.5727899999999999</v>
      </c>
      <c r="E1904">
        <v>2.2691699999999999</v>
      </c>
      <c r="F1904">
        <v>2.5458400000000001</v>
      </c>
      <c r="G1904">
        <f>_xlfn.MAXIFS(Crypto[Close],Crypto[Name],Crypto[[#This Row],[Name]],Crypto[Date],"&lt;="&amp;Crypto[[#This Row],[Date]])</f>
        <v>3.2986399999999998</v>
      </c>
      <c r="H1904" s="3">
        <f>(Crypto[[#This Row],[Close]]/Crypto[[#This Row],[Peak Close]])-1</f>
        <v>-0.22821526447263107</v>
      </c>
      <c r="I1904">
        <v>2.2869600000000001</v>
      </c>
      <c r="J1904" s="1">
        <v>45734</v>
      </c>
      <c r="K1904" s="3">
        <v>0.113198306922727</v>
      </c>
      <c r="L1904">
        <v>9591487009</v>
      </c>
      <c r="M1904" s="2" t="s">
        <v>16</v>
      </c>
    </row>
    <row r="1905" spans="1:13" x14ac:dyDescent="0.3">
      <c r="A1905" s="1">
        <v>45736</v>
      </c>
      <c r="B1905" s="2" t="s">
        <v>15</v>
      </c>
      <c r="C1905">
        <v>2.5458500000000002</v>
      </c>
      <c r="D1905">
        <v>2.55071</v>
      </c>
      <c r="E1905">
        <v>2.3943300000000001</v>
      </c>
      <c r="F1905">
        <v>2.4346700000000001</v>
      </c>
      <c r="G1905">
        <f>_xlfn.MAXIFS(Crypto[Close],Crypto[Name],Crypto[[#This Row],[Name]],Crypto[Date],"&lt;="&amp;Crypto[[#This Row],[Date]])</f>
        <v>3.2986399999999998</v>
      </c>
      <c r="H1905" s="3">
        <f>(Crypto[[#This Row],[Close]]/Crypto[[#This Row],[Peak Close]])-1</f>
        <v>-0.26191703247398923</v>
      </c>
      <c r="I1905">
        <v>2.5458400000000001</v>
      </c>
      <c r="J1905" s="1">
        <v>45735</v>
      </c>
      <c r="K1905" s="3">
        <v>-4.3667316092134603E-2</v>
      </c>
      <c r="L1905">
        <v>4976516822</v>
      </c>
      <c r="M1905" s="2" t="s">
        <v>16</v>
      </c>
    </row>
    <row r="1906" spans="1:13" x14ac:dyDescent="0.3">
      <c r="A1906" s="1">
        <v>45737</v>
      </c>
      <c r="B1906" s="2" t="s">
        <v>15</v>
      </c>
      <c r="C1906">
        <v>2.4346199999999998</v>
      </c>
      <c r="D1906">
        <v>2.4630000000000001</v>
      </c>
      <c r="E1906">
        <v>2.3595700000000002</v>
      </c>
      <c r="F1906">
        <v>2.3792800000000001</v>
      </c>
      <c r="G1906">
        <f>_xlfn.MAXIFS(Crypto[Close],Crypto[Name],Crypto[[#This Row],[Name]],Crypto[Date],"&lt;="&amp;Crypto[[#This Row],[Date]])</f>
        <v>3.2986399999999998</v>
      </c>
      <c r="H1906" s="3">
        <f>(Crypto[[#This Row],[Close]]/Crypto[[#This Row],[Peak Close]])-1</f>
        <v>-0.27870880120291996</v>
      </c>
      <c r="I1906">
        <v>2.4346700000000001</v>
      </c>
      <c r="J1906" s="1">
        <v>45736</v>
      </c>
      <c r="K1906" s="3">
        <v>-2.2750516497102299E-2</v>
      </c>
      <c r="L1906">
        <v>3433230669</v>
      </c>
      <c r="M1906" s="2" t="s">
        <v>16</v>
      </c>
    </row>
    <row r="1907" spans="1:13" x14ac:dyDescent="0.3">
      <c r="A1907" s="1">
        <v>45738</v>
      </c>
      <c r="B1907" s="2" t="s">
        <v>15</v>
      </c>
      <c r="C1907">
        <v>2.3793000000000002</v>
      </c>
      <c r="D1907">
        <v>2.41317</v>
      </c>
      <c r="E1907">
        <v>2.3621400000000001</v>
      </c>
      <c r="F1907">
        <v>2.3698199999999998</v>
      </c>
      <c r="G1907">
        <f>_xlfn.MAXIFS(Crypto[Close],Crypto[Name],Crypto[[#This Row],[Name]],Crypto[Date],"&lt;="&amp;Crypto[[#This Row],[Date]])</f>
        <v>3.2986399999999998</v>
      </c>
      <c r="H1907" s="3">
        <f>(Crypto[[#This Row],[Close]]/Crypto[[#This Row],[Peak Close]])-1</f>
        <v>-0.28157664977081465</v>
      </c>
      <c r="I1907">
        <v>2.3792800000000001</v>
      </c>
      <c r="J1907" s="1">
        <v>45737</v>
      </c>
      <c r="K1907" s="3">
        <v>-3.9759927372987804E-3</v>
      </c>
      <c r="L1907">
        <v>1778187863</v>
      </c>
      <c r="M1907" s="2" t="s">
        <v>16</v>
      </c>
    </row>
    <row r="1908" spans="1:13" x14ac:dyDescent="0.3">
      <c r="A1908" s="1">
        <v>45739</v>
      </c>
      <c r="B1908" s="2" t="s">
        <v>15</v>
      </c>
      <c r="C1908">
        <v>2.3698199999999998</v>
      </c>
      <c r="D1908">
        <v>2.43588</v>
      </c>
      <c r="E1908">
        <v>2.3670100000000001</v>
      </c>
      <c r="F1908">
        <v>2.4354900000000002</v>
      </c>
      <c r="G1908">
        <f>_xlfn.MAXIFS(Crypto[Close],Crypto[Name],Crypto[[#This Row],[Name]],Crypto[Date],"&lt;="&amp;Crypto[[#This Row],[Date]])</f>
        <v>3.2986399999999998</v>
      </c>
      <c r="H1908" s="3">
        <f>(Crypto[[#This Row],[Close]]/Crypto[[#This Row],[Peak Close]])-1</f>
        <v>-0.26166844517740639</v>
      </c>
      <c r="I1908">
        <v>2.3698199999999998</v>
      </c>
      <c r="J1908" s="1">
        <v>45738</v>
      </c>
      <c r="K1908" s="3">
        <v>2.77109653897766E-2</v>
      </c>
      <c r="L1908">
        <v>2107624036</v>
      </c>
      <c r="M1908" s="2" t="s">
        <v>16</v>
      </c>
    </row>
    <row r="1909" spans="1:13" x14ac:dyDescent="0.3">
      <c r="A1909" s="1">
        <v>45740</v>
      </c>
      <c r="B1909" s="2" t="s">
        <v>15</v>
      </c>
      <c r="C1909">
        <v>2.43547</v>
      </c>
      <c r="D1909">
        <v>2.5015900000000002</v>
      </c>
      <c r="E1909">
        <v>2.4154800000000001</v>
      </c>
      <c r="F1909">
        <v>2.4481600000000001</v>
      </c>
      <c r="G1909">
        <f>_xlfn.MAXIFS(Crypto[Close],Crypto[Name],Crypto[[#This Row],[Name]],Crypto[Date],"&lt;="&amp;Crypto[[#This Row],[Date]])</f>
        <v>3.2986399999999998</v>
      </c>
      <c r="H1909" s="3">
        <f>(Crypto[[#This Row],[Close]]/Crypto[[#This Row],[Peak Close]])-1</f>
        <v>-0.25782746828996184</v>
      </c>
      <c r="I1909">
        <v>2.4354900000000002</v>
      </c>
      <c r="J1909" s="1">
        <v>45739</v>
      </c>
      <c r="K1909" s="3">
        <v>5.2022385639029301E-3</v>
      </c>
      <c r="L1909">
        <v>3272338535</v>
      </c>
      <c r="M1909" s="2" t="s">
        <v>16</v>
      </c>
    </row>
    <row r="1910" spans="1:13" x14ac:dyDescent="0.3">
      <c r="A1910" s="1">
        <v>45741</v>
      </c>
      <c r="B1910" s="2" t="s">
        <v>15</v>
      </c>
      <c r="C1910">
        <v>2.4481700000000002</v>
      </c>
      <c r="D1910">
        <v>2.4719099999999998</v>
      </c>
      <c r="E1910">
        <v>2.4102100000000002</v>
      </c>
      <c r="F1910">
        <v>2.4513500000000001</v>
      </c>
      <c r="G1910">
        <f>_xlfn.MAXIFS(Crypto[Close],Crypto[Name],Crypto[[#This Row],[Name]],Crypto[Date],"&lt;="&amp;Crypto[[#This Row],[Date]])</f>
        <v>3.2986399999999998</v>
      </c>
      <c r="H1910" s="3">
        <f>(Crypto[[#This Row],[Close]]/Crypto[[#This Row],[Peak Close]])-1</f>
        <v>-0.25686040307520663</v>
      </c>
      <c r="I1910">
        <v>2.4481600000000001</v>
      </c>
      <c r="J1910" s="1">
        <v>45740</v>
      </c>
      <c r="K1910" s="3">
        <v>1.30301941049606E-3</v>
      </c>
      <c r="L1910">
        <v>2722132222</v>
      </c>
      <c r="M1910" s="2" t="s">
        <v>16</v>
      </c>
    </row>
    <row r="1911" spans="1:13" x14ac:dyDescent="0.3">
      <c r="A1911" s="1">
        <v>45742</v>
      </c>
      <c r="B1911" s="2" t="s">
        <v>15</v>
      </c>
      <c r="C1911">
        <v>2.4513400000000001</v>
      </c>
      <c r="D1911">
        <v>2.4761700000000002</v>
      </c>
      <c r="E1911">
        <v>2.3315800000000002</v>
      </c>
      <c r="F1911">
        <v>2.3490899999999999</v>
      </c>
      <c r="G1911">
        <f>_xlfn.MAXIFS(Crypto[Close],Crypto[Name],Crypto[[#This Row],[Name]],Crypto[Date],"&lt;="&amp;Crypto[[#This Row],[Date]])</f>
        <v>3.2986399999999998</v>
      </c>
      <c r="H1911" s="3">
        <f>(Crypto[[#This Row],[Close]]/Crypto[[#This Row],[Peak Close]])-1</f>
        <v>-0.28786105789052452</v>
      </c>
      <c r="I1911">
        <v>2.4513500000000001</v>
      </c>
      <c r="J1911" s="1">
        <v>45741</v>
      </c>
      <c r="K1911" s="3">
        <v>-4.1715789258979799E-2</v>
      </c>
      <c r="L1911">
        <v>3341723418</v>
      </c>
      <c r="M1911" s="2" t="s">
        <v>16</v>
      </c>
    </row>
    <row r="1912" spans="1:13" x14ac:dyDescent="0.3">
      <c r="A1912" s="1">
        <v>45743</v>
      </c>
      <c r="B1912" s="2" t="s">
        <v>15</v>
      </c>
      <c r="C1912">
        <v>2.3490700000000002</v>
      </c>
      <c r="D1912">
        <v>2.3884599999999998</v>
      </c>
      <c r="E1912">
        <v>2.3071700000000002</v>
      </c>
      <c r="F1912">
        <v>2.3382700000000001</v>
      </c>
      <c r="G1912">
        <f>_xlfn.MAXIFS(Crypto[Close],Crypto[Name],Crypto[[#This Row],[Name]],Crypto[Date],"&lt;="&amp;Crypto[[#This Row],[Date]])</f>
        <v>3.2986399999999998</v>
      </c>
      <c r="H1912" s="3">
        <f>(Crypto[[#This Row],[Close]]/Crypto[[#This Row],[Peak Close]])-1</f>
        <v>-0.291141197584459</v>
      </c>
      <c r="I1912">
        <v>2.3490899999999999</v>
      </c>
      <c r="J1912" s="1">
        <v>45742</v>
      </c>
      <c r="K1912" s="3">
        <v>-4.6060389342255197E-3</v>
      </c>
      <c r="L1912">
        <v>2687267004</v>
      </c>
      <c r="M1912" s="2" t="s">
        <v>16</v>
      </c>
    </row>
    <row r="1913" spans="1:13" x14ac:dyDescent="0.3">
      <c r="A1913" s="1">
        <v>45744</v>
      </c>
      <c r="B1913" s="2" t="s">
        <v>15</v>
      </c>
      <c r="C1913">
        <v>2.3383400000000001</v>
      </c>
      <c r="D1913">
        <v>2.34076</v>
      </c>
      <c r="E1913">
        <v>2.1594899999999999</v>
      </c>
      <c r="F1913">
        <v>2.2041400000000002</v>
      </c>
      <c r="G1913">
        <f>_xlfn.MAXIFS(Crypto[Close],Crypto[Name],Crypto[[#This Row],[Name]],Crypto[Date],"&lt;="&amp;Crypto[[#This Row],[Date]])</f>
        <v>3.2986399999999998</v>
      </c>
      <c r="H1913" s="3">
        <f>(Crypto[[#This Row],[Close]]/Crypto[[#This Row],[Peak Close]])-1</f>
        <v>-0.33180340989013646</v>
      </c>
      <c r="I1913">
        <v>2.3382700000000001</v>
      </c>
      <c r="J1913" s="1">
        <v>45743</v>
      </c>
      <c r="K1913" s="3">
        <v>-5.7362922160400599E-2</v>
      </c>
      <c r="L1913">
        <v>4373544995</v>
      </c>
      <c r="M1913" s="2" t="s">
        <v>16</v>
      </c>
    </row>
    <row r="1914" spans="1:13" x14ac:dyDescent="0.3">
      <c r="A1914" s="1">
        <v>45745</v>
      </c>
      <c r="B1914" s="2" t="s">
        <v>15</v>
      </c>
      <c r="C1914">
        <v>2.2041499999999998</v>
      </c>
      <c r="D1914">
        <v>2.2213699999999998</v>
      </c>
      <c r="E1914">
        <v>2.06473</v>
      </c>
      <c r="F1914">
        <v>2.1399499999999998</v>
      </c>
      <c r="G1914">
        <f>_xlfn.MAXIFS(Crypto[Close],Crypto[Name],Crypto[[#This Row],[Name]],Crypto[Date],"&lt;="&amp;Crypto[[#This Row],[Date]])</f>
        <v>3.2986399999999998</v>
      </c>
      <c r="H1914" s="3">
        <f>(Crypto[[#This Row],[Close]]/Crypto[[#This Row],[Peak Close]])-1</f>
        <v>-0.35126294472873676</v>
      </c>
      <c r="I1914">
        <v>2.2041400000000002</v>
      </c>
      <c r="J1914" s="1">
        <v>45744</v>
      </c>
      <c r="K1914" s="3">
        <v>-2.91224695346032E-2</v>
      </c>
      <c r="L1914">
        <v>3914811653</v>
      </c>
      <c r="M1914" s="2" t="s">
        <v>16</v>
      </c>
    </row>
    <row r="1915" spans="1:13" x14ac:dyDescent="0.3">
      <c r="A1915" s="1">
        <v>45746</v>
      </c>
      <c r="B1915" s="2" t="s">
        <v>15</v>
      </c>
      <c r="C1915">
        <v>2.14</v>
      </c>
      <c r="D1915">
        <v>2.2110300000000001</v>
      </c>
      <c r="E1915">
        <v>2.1110899999999999</v>
      </c>
      <c r="F1915">
        <v>2.1361400000000001</v>
      </c>
      <c r="G1915">
        <f>_xlfn.MAXIFS(Crypto[Close],Crypto[Name],Crypto[[#This Row],[Name]],Crypto[Date],"&lt;="&amp;Crypto[[#This Row],[Date]])</f>
        <v>3.2986399999999998</v>
      </c>
      <c r="H1915" s="3">
        <f>(Crypto[[#This Row],[Close]]/Crypto[[#This Row],[Peak Close]])-1</f>
        <v>-0.35241796619212762</v>
      </c>
      <c r="I1915">
        <v>2.1399499999999998</v>
      </c>
      <c r="J1915" s="1">
        <v>45745</v>
      </c>
      <c r="K1915" s="3">
        <v>-1.7804154302669001E-3</v>
      </c>
      <c r="L1915">
        <v>2826918737</v>
      </c>
      <c r="M1915" s="2" t="s">
        <v>16</v>
      </c>
    </row>
    <row r="1916" spans="1:13" x14ac:dyDescent="0.3">
      <c r="A1916" s="1">
        <v>45747</v>
      </c>
      <c r="B1916" s="2" t="s">
        <v>15</v>
      </c>
      <c r="C1916">
        <v>2.1361400000000001</v>
      </c>
      <c r="D1916">
        <v>2.1373199999999999</v>
      </c>
      <c r="E1916">
        <v>2.0272399999999999</v>
      </c>
      <c r="F1916">
        <v>2.0899000000000001</v>
      </c>
      <c r="G1916">
        <f>_xlfn.MAXIFS(Crypto[Close],Crypto[Name],Crypto[[#This Row],[Name]],Crypto[Date],"&lt;="&amp;Crypto[[#This Row],[Date]])</f>
        <v>3.2986399999999998</v>
      </c>
      <c r="H1916" s="3">
        <f>(Crypto[[#This Row],[Close]]/Crypto[[#This Row],[Peak Close]])-1</f>
        <v>-0.36643586447748155</v>
      </c>
      <c r="I1916">
        <v>2.1361400000000001</v>
      </c>
      <c r="J1916" s="1">
        <v>45746</v>
      </c>
      <c r="K1916" s="3">
        <v>-2.16465212954207E-2</v>
      </c>
      <c r="L1916">
        <v>4506662719</v>
      </c>
      <c r="M1916" s="2" t="s">
        <v>16</v>
      </c>
    </row>
    <row r="1917" spans="1:13" x14ac:dyDescent="0.3">
      <c r="A1917" s="1">
        <v>45748</v>
      </c>
      <c r="B1917" s="2" t="s">
        <v>15</v>
      </c>
      <c r="C1917">
        <v>2.0899299999999998</v>
      </c>
      <c r="D1917">
        <v>2.1927300000000001</v>
      </c>
      <c r="E1917">
        <v>2.0682299999999998</v>
      </c>
      <c r="F1917">
        <v>2.1396099999999998</v>
      </c>
      <c r="G1917">
        <f>_xlfn.MAXIFS(Crypto[Close],Crypto[Name],Crypto[[#This Row],[Name]],Crypto[Date],"&lt;="&amp;Crypto[[#This Row],[Date]])</f>
        <v>3.2986399999999998</v>
      </c>
      <c r="H1917" s="3">
        <f>(Crypto[[#This Row],[Close]]/Crypto[[#This Row],[Peak Close]])-1</f>
        <v>-0.35136601751024665</v>
      </c>
      <c r="I1917">
        <v>2.0899000000000001</v>
      </c>
      <c r="J1917" s="1">
        <v>45747</v>
      </c>
      <c r="K1917" s="3">
        <v>2.3785827073065601E-2</v>
      </c>
      <c r="L1917">
        <v>4034254494</v>
      </c>
      <c r="M1917" s="2" t="s">
        <v>16</v>
      </c>
    </row>
    <row r="1918" spans="1:13" x14ac:dyDescent="0.3">
      <c r="A1918" s="1">
        <v>45749</v>
      </c>
      <c r="B1918" s="2" t="s">
        <v>15</v>
      </c>
      <c r="C1918">
        <v>2.1395900000000001</v>
      </c>
      <c r="D1918">
        <v>2.2213099999999999</v>
      </c>
      <c r="E1918">
        <v>1.99112</v>
      </c>
      <c r="F1918">
        <v>2.0250699999999999</v>
      </c>
      <c r="G1918">
        <f>_xlfn.MAXIFS(Crypto[Close],Crypto[Name],Crypto[[#This Row],[Name]],Crypto[Date],"&lt;="&amp;Crypto[[#This Row],[Date]])</f>
        <v>3.2986399999999998</v>
      </c>
      <c r="H1918" s="3">
        <f>(Crypto[[#This Row],[Close]]/Crypto[[#This Row],[Peak Close]])-1</f>
        <v>-0.3860894186695123</v>
      </c>
      <c r="I1918">
        <v>2.1396099999999998</v>
      </c>
      <c r="J1918" s="1">
        <v>45748</v>
      </c>
      <c r="K1918" s="3">
        <v>-5.3533120521964198E-2</v>
      </c>
      <c r="L1918">
        <v>5687620993</v>
      </c>
      <c r="M1918" s="2" t="s">
        <v>16</v>
      </c>
    </row>
    <row r="1919" spans="1:13" x14ac:dyDescent="0.3">
      <c r="A1919" s="1">
        <v>45750</v>
      </c>
      <c r="B1919" s="2" t="s">
        <v>15</v>
      </c>
      <c r="C1919">
        <v>2.0249999999999999</v>
      </c>
      <c r="D1919">
        <v>2.07986</v>
      </c>
      <c r="E1919">
        <v>1.9658100000000001</v>
      </c>
      <c r="F1919">
        <v>2.0624699999999998</v>
      </c>
      <c r="G1919">
        <f>_xlfn.MAXIFS(Crypto[Close],Crypto[Name],Crypto[[#This Row],[Name]],Crypto[Date],"&lt;="&amp;Crypto[[#This Row],[Date]])</f>
        <v>3.2986399999999998</v>
      </c>
      <c r="H1919" s="3">
        <f>(Crypto[[#This Row],[Close]]/Crypto[[#This Row],[Peak Close]])-1</f>
        <v>-0.37475141270341716</v>
      </c>
      <c r="I1919">
        <v>2.0250699999999999</v>
      </c>
      <c r="J1919" s="1">
        <v>45749</v>
      </c>
      <c r="K1919" s="3">
        <v>1.8468497385275499E-2</v>
      </c>
      <c r="L1919">
        <v>5385004807</v>
      </c>
      <c r="M1919" s="2" t="s">
        <v>16</v>
      </c>
    </row>
    <row r="1920" spans="1:13" x14ac:dyDescent="0.3">
      <c r="A1920" s="1">
        <v>45751</v>
      </c>
      <c r="B1920" s="2" t="s">
        <v>15</v>
      </c>
      <c r="C1920">
        <v>2.06243</v>
      </c>
      <c r="D1920">
        <v>2.15062</v>
      </c>
      <c r="E1920">
        <v>2.02251</v>
      </c>
      <c r="F1920">
        <v>2.1289600000000002</v>
      </c>
      <c r="G1920">
        <f>_xlfn.MAXIFS(Crypto[Close],Crypto[Name],Crypto[[#This Row],[Name]],Crypto[Date],"&lt;="&amp;Crypto[[#This Row],[Date]])</f>
        <v>3.2986399999999998</v>
      </c>
      <c r="H1920" s="3">
        <f>(Crypto[[#This Row],[Close]]/Crypto[[#This Row],[Peak Close]])-1</f>
        <v>-0.35459462081342608</v>
      </c>
      <c r="I1920">
        <v>2.0624699999999998</v>
      </c>
      <c r="J1920" s="1">
        <v>45750</v>
      </c>
      <c r="K1920" s="3">
        <v>3.2238044674589399E-2</v>
      </c>
      <c r="L1920">
        <v>5503342771</v>
      </c>
      <c r="M1920" s="2" t="s">
        <v>16</v>
      </c>
    </row>
    <row r="1921" spans="1:13" x14ac:dyDescent="0.3">
      <c r="A1921" s="1">
        <v>45752</v>
      </c>
      <c r="B1921" s="2" t="s">
        <v>15</v>
      </c>
      <c r="C1921">
        <v>2.1289500000000001</v>
      </c>
      <c r="D1921">
        <v>2.1709399999999999</v>
      </c>
      <c r="E1921">
        <v>2.1146799999999999</v>
      </c>
      <c r="F1921">
        <v>2.1437300000000001</v>
      </c>
      <c r="G1921">
        <f>_xlfn.MAXIFS(Crypto[Close],Crypto[Name],Crypto[[#This Row],[Name]],Crypto[Date],"&lt;="&amp;Crypto[[#This Row],[Date]])</f>
        <v>3.2986399999999998</v>
      </c>
      <c r="H1921" s="3">
        <f>(Crypto[[#This Row],[Close]]/Crypto[[#This Row],[Peak Close]])-1</f>
        <v>-0.35011701792253769</v>
      </c>
      <c r="I1921">
        <v>2.1289600000000002</v>
      </c>
      <c r="J1921" s="1">
        <v>45751</v>
      </c>
      <c r="K1921" s="3">
        <v>6.9376597023898803E-3</v>
      </c>
      <c r="L1921">
        <v>2089759530</v>
      </c>
      <c r="M1921" s="2" t="s">
        <v>16</v>
      </c>
    </row>
    <row r="1922" spans="1:13" x14ac:dyDescent="0.3">
      <c r="A1922" s="1">
        <v>45753</v>
      </c>
      <c r="B1922" s="2" t="s">
        <v>15</v>
      </c>
      <c r="C1922">
        <v>2.1437200000000001</v>
      </c>
      <c r="D1922">
        <v>2.1564800000000002</v>
      </c>
      <c r="E1922">
        <v>1.86914</v>
      </c>
      <c r="F1922">
        <v>1.9178900000000001</v>
      </c>
      <c r="G1922">
        <f>_xlfn.MAXIFS(Crypto[Close],Crypto[Name],Crypto[[#This Row],[Name]],Crypto[Date],"&lt;="&amp;Crypto[[#This Row],[Date]])</f>
        <v>3.2986399999999998</v>
      </c>
      <c r="H1922" s="3">
        <f>(Crypto[[#This Row],[Close]]/Crypto[[#This Row],[Peak Close]])-1</f>
        <v>-0.41858159726432709</v>
      </c>
      <c r="I1922">
        <v>2.1437300000000001</v>
      </c>
      <c r="J1922" s="1">
        <v>45752</v>
      </c>
      <c r="K1922" s="3">
        <v>-0.105349087804901</v>
      </c>
      <c r="L1922">
        <v>5158671865</v>
      </c>
      <c r="M1922" s="2" t="s">
        <v>16</v>
      </c>
    </row>
    <row r="1923" spans="1:13" x14ac:dyDescent="0.3">
      <c r="A1923" s="1">
        <v>45754</v>
      </c>
      <c r="B1923" s="2" t="s">
        <v>15</v>
      </c>
      <c r="C1923">
        <v>1.9178900000000001</v>
      </c>
      <c r="D1923">
        <v>1.99288</v>
      </c>
      <c r="E1923">
        <v>1.64009</v>
      </c>
      <c r="F1923">
        <v>1.89775</v>
      </c>
      <c r="G1923">
        <f>_xlfn.MAXIFS(Crypto[Close],Crypto[Name],Crypto[[#This Row],[Name]],Crypto[Date],"&lt;="&amp;Crypto[[#This Row],[Date]])</f>
        <v>3.2986399999999998</v>
      </c>
      <c r="H1923" s="3">
        <f>(Crypto[[#This Row],[Close]]/Crypto[[#This Row],[Peak Close]])-1</f>
        <v>-0.42468714379259331</v>
      </c>
      <c r="I1923">
        <v>1.9178900000000001</v>
      </c>
      <c r="J1923" s="1">
        <v>45753</v>
      </c>
      <c r="K1923" s="3">
        <v>-1.0501123630656599E-2</v>
      </c>
      <c r="L1923">
        <v>14383598177</v>
      </c>
      <c r="M1923" s="2" t="s">
        <v>16</v>
      </c>
    </row>
    <row r="1924" spans="1:13" x14ac:dyDescent="0.3">
      <c r="A1924" s="1">
        <v>45755</v>
      </c>
      <c r="B1924" s="2" t="s">
        <v>15</v>
      </c>
      <c r="C1924">
        <v>1.89775</v>
      </c>
      <c r="D1924">
        <v>1.9660500000000001</v>
      </c>
      <c r="E1924">
        <v>1.7820100000000001</v>
      </c>
      <c r="F1924">
        <v>1.79457</v>
      </c>
      <c r="G1924">
        <f>_xlfn.MAXIFS(Crypto[Close],Crypto[Name],Crypto[[#This Row],[Name]],Crypto[Date],"&lt;="&amp;Crypto[[#This Row],[Date]])</f>
        <v>3.2986399999999998</v>
      </c>
      <c r="H1924" s="3">
        <f>(Crypto[[#This Row],[Close]]/Crypto[[#This Row],[Peak Close]])-1</f>
        <v>-0.4559667014284674</v>
      </c>
      <c r="I1924">
        <v>1.89775</v>
      </c>
      <c r="J1924" s="1">
        <v>45754</v>
      </c>
      <c r="K1924" s="3">
        <v>-5.4369648267685401E-2</v>
      </c>
      <c r="L1924">
        <v>6468324898</v>
      </c>
      <c r="M1924" s="2" t="s">
        <v>16</v>
      </c>
    </row>
    <row r="1925" spans="1:13" x14ac:dyDescent="0.3">
      <c r="A1925" s="1">
        <v>45756</v>
      </c>
      <c r="B1925" s="2" t="s">
        <v>15</v>
      </c>
      <c r="C1925">
        <v>1.7945</v>
      </c>
      <c r="D1925">
        <v>2.0865</v>
      </c>
      <c r="E1925">
        <v>1.7256100000000001</v>
      </c>
      <c r="F1925">
        <v>2.0517400000000001</v>
      </c>
      <c r="G1925">
        <f>_xlfn.MAXIFS(Crypto[Close],Crypto[Name],Crypto[[#This Row],[Name]],Crypto[Date],"&lt;="&amp;Crypto[[#This Row],[Date]])</f>
        <v>3.2986399999999998</v>
      </c>
      <c r="H1925" s="3">
        <f>(Crypto[[#This Row],[Close]]/Crypto[[#This Row],[Peak Close]])-1</f>
        <v>-0.37800426842577539</v>
      </c>
      <c r="I1925">
        <v>1.79457</v>
      </c>
      <c r="J1925" s="1">
        <v>45755</v>
      </c>
      <c r="K1925" s="3">
        <v>0.14330452420357001</v>
      </c>
      <c r="L1925">
        <v>9381130206</v>
      </c>
      <c r="M1925" s="2" t="s">
        <v>16</v>
      </c>
    </row>
    <row r="1926" spans="1:13" x14ac:dyDescent="0.3">
      <c r="A1926" s="1">
        <v>45757</v>
      </c>
      <c r="B1926" s="2" t="s">
        <v>15</v>
      </c>
      <c r="C1926">
        <v>2.0517500000000002</v>
      </c>
      <c r="D1926">
        <v>2.0527500000000001</v>
      </c>
      <c r="E1926">
        <v>1.9282999999999999</v>
      </c>
      <c r="F1926">
        <v>1.96648</v>
      </c>
      <c r="G1926">
        <f>_xlfn.MAXIFS(Crypto[Close],Crypto[Name],Crypto[[#This Row],[Name]],Crypto[Date],"&lt;="&amp;Crypto[[#This Row],[Date]])</f>
        <v>3.2986399999999998</v>
      </c>
      <c r="H1926" s="3">
        <f>(Crypto[[#This Row],[Close]]/Crypto[[#This Row],[Peak Close]])-1</f>
        <v>-0.40385128416559546</v>
      </c>
      <c r="I1926">
        <v>2.0517400000000001</v>
      </c>
      <c r="J1926" s="1">
        <v>45756</v>
      </c>
      <c r="K1926" s="3">
        <v>-4.1554972852310801E-2</v>
      </c>
      <c r="L1926">
        <v>4463765886</v>
      </c>
      <c r="M1926" s="2" t="s">
        <v>16</v>
      </c>
    </row>
    <row r="1927" spans="1:13" x14ac:dyDescent="0.3">
      <c r="A1927" s="1">
        <v>45758</v>
      </c>
      <c r="B1927" s="2" t="s">
        <v>15</v>
      </c>
      <c r="C1927">
        <v>1.9664999999999999</v>
      </c>
      <c r="D1927">
        <v>2.06141</v>
      </c>
      <c r="E1927">
        <v>1.9500299999999999</v>
      </c>
      <c r="F1927">
        <v>2.0238900000000002</v>
      </c>
      <c r="G1927">
        <f>_xlfn.MAXIFS(Crypto[Close],Crypto[Name],Crypto[[#This Row],[Name]],Crypto[Date],"&lt;="&amp;Crypto[[#This Row],[Date]])</f>
        <v>3.2986399999999998</v>
      </c>
      <c r="H1927" s="3">
        <f>(Crypto[[#This Row],[Close]]/Crypto[[#This Row],[Peak Close]])-1</f>
        <v>-0.3864471418523997</v>
      </c>
      <c r="I1927">
        <v>1.96648</v>
      </c>
      <c r="J1927" s="1">
        <v>45757</v>
      </c>
      <c r="K1927" s="3">
        <v>2.9194296407794699E-2</v>
      </c>
      <c r="L1927">
        <v>3459211572</v>
      </c>
      <c r="M1927" s="2" t="s">
        <v>16</v>
      </c>
    </row>
    <row r="1928" spans="1:13" x14ac:dyDescent="0.3">
      <c r="A1928" s="1">
        <v>45759</v>
      </c>
      <c r="B1928" s="2" t="s">
        <v>15</v>
      </c>
      <c r="C1928">
        <v>2.0238900000000002</v>
      </c>
      <c r="D1928">
        <v>2.1717599999999999</v>
      </c>
      <c r="E1928">
        <v>2.00468</v>
      </c>
      <c r="F1928">
        <v>2.15862</v>
      </c>
      <c r="G1928">
        <f>_xlfn.MAXIFS(Crypto[Close],Crypto[Name],Crypto[[#This Row],[Name]],Crypto[Date],"&lt;="&amp;Crypto[[#This Row],[Date]])</f>
        <v>3.2986399999999998</v>
      </c>
      <c r="H1928" s="3">
        <f>(Crypto[[#This Row],[Close]]/Crypto[[#This Row],[Peak Close]])-1</f>
        <v>-0.34560303640288115</v>
      </c>
      <c r="I1928">
        <v>2.0238900000000002</v>
      </c>
      <c r="J1928" s="1">
        <v>45758</v>
      </c>
      <c r="K1928" s="3">
        <v>6.6569823458784705E-2</v>
      </c>
      <c r="L1928">
        <v>3429390186</v>
      </c>
      <c r="M1928" s="2" t="s">
        <v>16</v>
      </c>
    </row>
    <row r="1929" spans="1:13" x14ac:dyDescent="0.3">
      <c r="A1929" s="1">
        <v>45760</v>
      </c>
      <c r="B1929" s="2" t="s">
        <v>15</v>
      </c>
      <c r="C1929">
        <v>2.15863</v>
      </c>
      <c r="D1929">
        <v>2.23238</v>
      </c>
      <c r="E1929">
        <v>2.0880999999999998</v>
      </c>
      <c r="F1929">
        <v>2.1202000000000001</v>
      </c>
      <c r="G1929">
        <f>_xlfn.MAXIFS(Crypto[Close],Crypto[Name],Crypto[[#This Row],[Name]],Crypto[Date],"&lt;="&amp;Crypto[[#This Row],[Date]])</f>
        <v>3.2986399999999998</v>
      </c>
      <c r="H1929" s="3">
        <f>(Crypto[[#This Row],[Close]]/Crypto[[#This Row],[Peak Close]])-1</f>
        <v>-0.35725026071350607</v>
      </c>
      <c r="I1929">
        <v>2.15862</v>
      </c>
      <c r="J1929" s="1">
        <v>45759</v>
      </c>
      <c r="K1929" s="3">
        <v>-1.7798408242302902E-2</v>
      </c>
      <c r="L1929">
        <v>4220100049</v>
      </c>
      <c r="M1929" s="2" t="s">
        <v>16</v>
      </c>
    </row>
    <row r="1930" spans="1:13" x14ac:dyDescent="0.3">
      <c r="A1930" s="1">
        <v>45761</v>
      </c>
      <c r="B1930" s="2" t="s">
        <v>15</v>
      </c>
      <c r="C1930">
        <v>2.1202200000000002</v>
      </c>
      <c r="D1930">
        <v>2.1742599999999999</v>
      </c>
      <c r="E1930">
        <v>2.1104599999999998</v>
      </c>
      <c r="F1930">
        <v>2.1267499999999999</v>
      </c>
      <c r="G1930">
        <f>_xlfn.MAXIFS(Crypto[Close],Crypto[Name],Crypto[[#This Row],[Name]],Crypto[Date],"&lt;="&amp;Crypto[[#This Row],[Date]])</f>
        <v>3.2986399999999998</v>
      </c>
      <c r="H1930" s="3">
        <f>(Crypto[[#This Row],[Close]]/Crypto[[#This Row],[Peak Close]])-1</f>
        <v>-0.35526459389324083</v>
      </c>
      <c r="I1930">
        <v>2.1202000000000001</v>
      </c>
      <c r="J1930" s="1">
        <v>45760</v>
      </c>
      <c r="K1930" s="3">
        <v>3.0893311951701902E-3</v>
      </c>
      <c r="L1930">
        <v>3284127480</v>
      </c>
      <c r="M1930" s="2" t="s">
        <v>16</v>
      </c>
    </row>
    <row r="1931" spans="1:13" x14ac:dyDescent="0.3">
      <c r="A1931" s="1">
        <v>45762</v>
      </c>
      <c r="B1931" s="2" t="s">
        <v>15</v>
      </c>
      <c r="C1931">
        <v>2.1267299999999998</v>
      </c>
      <c r="D1931">
        <v>2.18126</v>
      </c>
      <c r="E1931">
        <v>2.0852599999999999</v>
      </c>
      <c r="F1931">
        <v>2.0885500000000001</v>
      </c>
      <c r="G1931">
        <f>_xlfn.MAXIFS(Crypto[Close],Crypto[Name],Crypto[[#This Row],[Name]],Crypto[Date],"&lt;="&amp;Crypto[[#This Row],[Date]])</f>
        <v>3.2986399999999998</v>
      </c>
      <c r="H1931" s="3">
        <f>(Crypto[[#This Row],[Close]]/Crypto[[#This Row],[Peak Close]])-1</f>
        <v>-0.36684512405112402</v>
      </c>
      <c r="I1931">
        <v>2.1267499999999999</v>
      </c>
      <c r="J1931" s="1">
        <v>45761</v>
      </c>
      <c r="K1931" s="3">
        <v>-1.79616786176089E-2</v>
      </c>
      <c r="L1931">
        <v>2948485956</v>
      </c>
      <c r="M1931" s="2" t="s">
        <v>16</v>
      </c>
    </row>
    <row r="1932" spans="1:13" x14ac:dyDescent="0.3">
      <c r="A1932" s="1">
        <v>45763</v>
      </c>
      <c r="B1932" s="2" t="s">
        <v>15</v>
      </c>
      <c r="C1932">
        <v>2.0884999999999998</v>
      </c>
      <c r="D1932">
        <v>2.1178900000000001</v>
      </c>
      <c r="E1932">
        <v>2.0397400000000001</v>
      </c>
      <c r="F1932">
        <v>2.08324</v>
      </c>
      <c r="G1932">
        <f>_xlfn.MAXIFS(Crypto[Close],Crypto[Name],Crypto[[#This Row],[Name]],Crypto[Date],"&lt;="&amp;Crypto[[#This Row],[Date]])</f>
        <v>3.2986399999999998</v>
      </c>
      <c r="H1932" s="3">
        <f>(Crypto[[#This Row],[Close]]/Crypto[[#This Row],[Peak Close]])-1</f>
        <v>-0.36845487837411783</v>
      </c>
      <c r="I1932">
        <v>2.0885500000000001</v>
      </c>
      <c r="J1932" s="1">
        <v>45762</v>
      </c>
      <c r="K1932" s="3">
        <v>-2.54243374590034E-3</v>
      </c>
      <c r="L1932">
        <v>3572242595</v>
      </c>
      <c r="M1932" s="2" t="s">
        <v>16</v>
      </c>
    </row>
    <row r="1933" spans="1:13" x14ac:dyDescent="0.3">
      <c r="A1933" s="1">
        <v>45764</v>
      </c>
      <c r="B1933" s="2" t="s">
        <v>15</v>
      </c>
      <c r="C1933">
        <v>2.0832600000000001</v>
      </c>
      <c r="D1933">
        <v>2.11287</v>
      </c>
      <c r="E1933">
        <v>2.05585</v>
      </c>
      <c r="F1933">
        <v>2.0664199999999999</v>
      </c>
      <c r="G1933">
        <f>_xlfn.MAXIFS(Crypto[Close],Crypto[Name],Crypto[[#This Row],[Name]],Crypto[Date],"&lt;="&amp;Crypto[[#This Row],[Date]])</f>
        <v>3.2986399999999998</v>
      </c>
      <c r="H1933" s="3">
        <f>(Crypto[[#This Row],[Close]]/Crypto[[#This Row],[Peak Close]])-1</f>
        <v>-0.37355394950646326</v>
      </c>
      <c r="I1933">
        <v>2.08324</v>
      </c>
      <c r="J1933" s="1">
        <v>45763</v>
      </c>
      <c r="K1933" s="3">
        <v>-8.0739617134847896E-3</v>
      </c>
      <c r="L1933">
        <v>2467503712</v>
      </c>
      <c r="M1933" s="2" t="s">
        <v>16</v>
      </c>
    </row>
    <row r="1934" spans="1:13" x14ac:dyDescent="0.3">
      <c r="A1934" s="1">
        <v>45765</v>
      </c>
      <c r="B1934" s="2" t="s">
        <v>15</v>
      </c>
      <c r="C1934">
        <v>2.0664500000000001</v>
      </c>
      <c r="D1934">
        <v>2.0873200000000001</v>
      </c>
      <c r="E1934">
        <v>2.0460400000000001</v>
      </c>
      <c r="F1934">
        <v>2.0635300000000001</v>
      </c>
      <c r="G1934">
        <f>_xlfn.MAXIFS(Crypto[Close],Crypto[Name],Crypto[[#This Row],[Name]],Crypto[Date],"&lt;="&amp;Crypto[[#This Row],[Date]])</f>
        <v>3.2986399999999998</v>
      </c>
      <c r="H1934" s="3">
        <f>(Crypto[[#This Row],[Close]]/Crypto[[#This Row],[Peak Close]])-1</f>
        <v>-0.3744300681492978</v>
      </c>
      <c r="I1934">
        <v>2.0664199999999999</v>
      </c>
      <c r="J1934" s="1">
        <v>45764</v>
      </c>
      <c r="K1934" s="3">
        <v>-1.3985540209637099E-3</v>
      </c>
      <c r="L1934">
        <v>1886497381</v>
      </c>
      <c r="M1934" s="2" t="s">
        <v>16</v>
      </c>
    </row>
    <row r="1935" spans="1:13" x14ac:dyDescent="0.3">
      <c r="A1935" s="1">
        <v>45766</v>
      </c>
      <c r="B1935" s="2" t="s">
        <v>15</v>
      </c>
      <c r="C1935">
        <v>2.06352</v>
      </c>
      <c r="D1935">
        <v>2.0954299999999999</v>
      </c>
      <c r="E1935">
        <v>2.0593599999999999</v>
      </c>
      <c r="F1935">
        <v>2.0873200000000001</v>
      </c>
      <c r="G1935">
        <f>_xlfn.MAXIFS(Crypto[Close],Crypto[Name],Crypto[[#This Row],[Name]],Crypto[Date],"&lt;="&amp;Crypto[[#This Row],[Date]])</f>
        <v>3.2986399999999998</v>
      </c>
      <c r="H1935" s="3">
        <f>(Crypto[[#This Row],[Close]]/Crypto[[#This Row],[Peak Close]])-1</f>
        <v>-0.36721800499599833</v>
      </c>
      <c r="I1935">
        <v>2.0635300000000001</v>
      </c>
      <c r="J1935" s="1">
        <v>45765</v>
      </c>
      <c r="K1935" s="3">
        <v>1.1528788047665901E-2</v>
      </c>
      <c r="L1935">
        <v>1445648293</v>
      </c>
      <c r="M1935" s="2" t="s">
        <v>16</v>
      </c>
    </row>
    <row r="1936" spans="1:13" x14ac:dyDescent="0.3">
      <c r="A1936" s="1">
        <v>45767</v>
      </c>
      <c r="B1936" s="2" t="s">
        <v>15</v>
      </c>
      <c r="C1936">
        <v>2.0873300000000001</v>
      </c>
      <c r="D1936">
        <v>2.0925400000000001</v>
      </c>
      <c r="E1936">
        <v>2.0407199999999999</v>
      </c>
      <c r="F1936">
        <v>2.077</v>
      </c>
      <c r="G1936">
        <f>_xlfn.MAXIFS(Crypto[Close],Crypto[Name],Crypto[[#This Row],[Name]],Crypto[Date],"&lt;="&amp;Crypto[[#This Row],[Date]])</f>
        <v>3.2986399999999998</v>
      </c>
      <c r="H1936" s="3">
        <f>(Crypto[[#This Row],[Close]]/Crypto[[#This Row],[Peak Close]])-1</f>
        <v>-0.37034656707006519</v>
      </c>
      <c r="I1936">
        <v>2.0873200000000001</v>
      </c>
      <c r="J1936" s="1">
        <v>45766</v>
      </c>
      <c r="K1936" s="3">
        <v>-4.9441388958090301E-3</v>
      </c>
      <c r="L1936">
        <v>1733159089</v>
      </c>
      <c r="M1936" s="2" t="s">
        <v>16</v>
      </c>
    </row>
    <row r="1937" spans="1:13" x14ac:dyDescent="0.3">
      <c r="A1937" s="1">
        <v>45768</v>
      </c>
      <c r="B1937" s="2" t="s">
        <v>15</v>
      </c>
      <c r="C1937">
        <v>2.077</v>
      </c>
      <c r="D1937">
        <v>2.1390899999999999</v>
      </c>
      <c r="E1937">
        <v>2.0632600000000001</v>
      </c>
      <c r="F1937">
        <v>2.0855199999999998</v>
      </c>
      <c r="G1937">
        <f>_xlfn.MAXIFS(Crypto[Close],Crypto[Name],Crypto[[#This Row],[Name]],Crypto[Date],"&lt;="&amp;Crypto[[#This Row],[Date]])</f>
        <v>3.2986399999999998</v>
      </c>
      <c r="H1937" s="3">
        <f>(Crypto[[#This Row],[Close]]/Crypto[[#This Row],[Peak Close]])-1</f>
        <v>-0.36776368442752161</v>
      </c>
      <c r="I1937">
        <v>2.077</v>
      </c>
      <c r="J1937" s="1">
        <v>45767</v>
      </c>
      <c r="K1937" s="3">
        <v>4.1020702936927604E-3</v>
      </c>
      <c r="L1937">
        <v>2746051225</v>
      </c>
      <c r="M1937" s="2" t="s">
        <v>16</v>
      </c>
    </row>
    <row r="1938" spans="1:13" x14ac:dyDescent="0.3">
      <c r="A1938" s="1">
        <v>45769</v>
      </c>
      <c r="B1938" s="2" t="s">
        <v>15</v>
      </c>
      <c r="C1938">
        <v>2.0855000000000001</v>
      </c>
      <c r="D1938">
        <v>2.23787</v>
      </c>
      <c r="E1938">
        <v>2.0689000000000002</v>
      </c>
      <c r="F1938">
        <v>2.2154699999999998</v>
      </c>
      <c r="G1938">
        <f>_xlfn.MAXIFS(Crypto[Close],Crypto[Name],Crypto[[#This Row],[Name]],Crypto[Date],"&lt;="&amp;Crypto[[#This Row],[Date]])</f>
        <v>3.2986399999999998</v>
      </c>
      <c r="H1938" s="3">
        <f>(Crypto[[#This Row],[Close]]/Crypto[[#This Row],[Peak Close]])-1</f>
        <v>-0.32836866102393714</v>
      </c>
      <c r="I1938">
        <v>2.0855199999999998</v>
      </c>
      <c r="J1938" s="1">
        <v>45768</v>
      </c>
      <c r="K1938" s="3">
        <v>6.2310598795504199E-2</v>
      </c>
      <c r="L1938">
        <v>4054022421</v>
      </c>
      <c r="M1938" s="2" t="s">
        <v>16</v>
      </c>
    </row>
    <row r="1939" spans="1:13" x14ac:dyDescent="0.3">
      <c r="A1939" s="1">
        <v>45770</v>
      </c>
      <c r="B1939" s="2" t="s">
        <v>15</v>
      </c>
      <c r="C1939">
        <v>2.2154600000000002</v>
      </c>
      <c r="D1939">
        <v>2.2995399999999999</v>
      </c>
      <c r="E1939">
        <v>2.1973199999999999</v>
      </c>
      <c r="F1939">
        <v>2.2173600000000002</v>
      </c>
      <c r="G1939">
        <f>_xlfn.MAXIFS(Crypto[Close],Crypto[Name],Crypto[[#This Row],[Name]],Crypto[Date],"&lt;="&amp;Crypto[[#This Row],[Date]])</f>
        <v>3.2986399999999998</v>
      </c>
      <c r="H1939" s="3">
        <f>(Crypto[[#This Row],[Close]]/Crypto[[#This Row],[Peak Close]])-1</f>
        <v>-0.3277956976208376</v>
      </c>
      <c r="I1939">
        <v>2.2154699999999998</v>
      </c>
      <c r="J1939" s="1">
        <v>45769</v>
      </c>
      <c r="K1939" s="3">
        <v>8.5309212040803604E-4</v>
      </c>
      <c r="L1939">
        <v>5013426739</v>
      </c>
      <c r="M1939" s="2" t="s">
        <v>16</v>
      </c>
    </row>
    <row r="1940" spans="1:13" x14ac:dyDescent="0.3">
      <c r="A1940" s="1">
        <v>45771</v>
      </c>
      <c r="B1940" s="2" t="s">
        <v>15</v>
      </c>
      <c r="C1940">
        <v>2.2173600000000002</v>
      </c>
      <c r="D1940">
        <v>2.2273499999999999</v>
      </c>
      <c r="E1940">
        <v>2.12338</v>
      </c>
      <c r="F1940">
        <v>2.2045400000000002</v>
      </c>
      <c r="G1940">
        <f>_xlfn.MAXIFS(Crypto[Close],Crypto[Name],Crypto[[#This Row],[Name]],Crypto[Date],"&lt;="&amp;Crypto[[#This Row],[Date]])</f>
        <v>3.2986399999999998</v>
      </c>
      <c r="H1940" s="3">
        <f>(Crypto[[#This Row],[Close]]/Crypto[[#This Row],[Peak Close]])-1</f>
        <v>-0.33168214779424243</v>
      </c>
      <c r="I1940">
        <v>2.2173600000000002</v>
      </c>
      <c r="J1940" s="1">
        <v>45770</v>
      </c>
      <c r="K1940" s="3">
        <v>-5.7816502507486598E-3</v>
      </c>
      <c r="L1940">
        <v>4208222195</v>
      </c>
      <c r="M1940" s="2" t="s">
        <v>16</v>
      </c>
    </row>
    <row r="1941" spans="1:13" x14ac:dyDescent="0.3">
      <c r="A1941" s="1">
        <v>45772</v>
      </c>
      <c r="B1941" s="2" t="s">
        <v>15</v>
      </c>
      <c r="C1941">
        <v>2.2045400000000002</v>
      </c>
      <c r="D1941">
        <v>2.2168899999999998</v>
      </c>
      <c r="E1941">
        <v>2.16689</v>
      </c>
      <c r="F1941">
        <v>2.1830500000000002</v>
      </c>
      <c r="G1941">
        <f>_xlfn.MAXIFS(Crypto[Close],Crypto[Name],Crypto[[#This Row],[Name]],Crypto[Date],"&lt;="&amp;Crypto[[#This Row],[Date]])</f>
        <v>3.2986399999999998</v>
      </c>
      <c r="H1941" s="3">
        <f>(Crypto[[#This Row],[Close]]/Crypto[[#This Row],[Peak Close]])-1</f>
        <v>-0.33819695389615101</v>
      </c>
      <c r="I1941">
        <v>2.2045400000000002</v>
      </c>
      <c r="J1941" s="1">
        <v>45771</v>
      </c>
      <c r="K1941" s="3">
        <v>-9.7480653560379996E-3</v>
      </c>
      <c r="L1941">
        <v>3279550205</v>
      </c>
      <c r="M1941" s="2" t="s">
        <v>16</v>
      </c>
    </row>
    <row r="1942" spans="1:13" x14ac:dyDescent="0.3">
      <c r="A1942" s="1">
        <v>45773</v>
      </c>
      <c r="B1942" s="2" t="s">
        <v>15</v>
      </c>
      <c r="C1942">
        <v>2.1830699999999998</v>
      </c>
      <c r="D1942">
        <v>2.2459099999999999</v>
      </c>
      <c r="E1942">
        <v>2.1823700000000001</v>
      </c>
      <c r="F1942">
        <v>2.19319</v>
      </c>
      <c r="G1942">
        <f>_xlfn.MAXIFS(Crypto[Close],Crypto[Name],Crypto[[#This Row],[Name]],Crypto[Date],"&lt;="&amp;Crypto[[#This Row],[Date]])</f>
        <v>3.2986399999999998</v>
      </c>
      <c r="H1942" s="3">
        <f>(Crypto[[#This Row],[Close]]/Crypto[[#This Row],[Peak Close]])-1</f>
        <v>-0.33512295976523654</v>
      </c>
      <c r="I1942">
        <v>2.1830500000000002</v>
      </c>
      <c r="J1942" s="1">
        <v>45772</v>
      </c>
      <c r="K1942" s="3">
        <v>4.6448775795331397E-3</v>
      </c>
      <c r="L1942">
        <v>2524845629</v>
      </c>
      <c r="M1942" s="2" t="s">
        <v>16</v>
      </c>
    </row>
    <row r="1943" spans="1:13" x14ac:dyDescent="0.3">
      <c r="A1943" s="1">
        <v>45774</v>
      </c>
      <c r="B1943" s="2" t="s">
        <v>15</v>
      </c>
      <c r="C1943">
        <v>2.19319</v>
      </c>
      <c r="D1943">
        <v>2.2909999999999999</v>
      </c>
      <c r="E1943">
        <v>2.1637900000000001</v>
      </c>
      <c r="F1943">
        <v>2.25624</v>
      </c>
      <c r="G1943">
        <f>_xlfn.MAXIFS(Crypto[Close],Crypto[Name],Crypto[[#This Row],[Name]],Crypto[Date],"&lt;="&amp;Crypto[[#This Row],[Date]])</f>
        <v>3.2986399999999998</v>
      </c>
      <c r="H1943" s="3">
        <f>(Crypto[[#This Row],[Close]]/Crypto[[#This Row],[Peak Close]])-1</f>
        <v>-0.31600902189993452</v>
      </c>
      <c r="I1943">
        <v>2.19319</v>
      </c>
      <c r="J1943" s="1">
        <v>45773</v>
      </c>
      <c r="K1943" s="3">
        <v>2.8748079281776799E-2</v>
      </c>
      <c r="L1943">
        <v>3776527779</v>
      </c>
      <c r="M1943" s="2" t="s">
        <v>16</v>
      </c>
    </row>
    <row r="1944" spans="1:13" x14ac:dyDescent="0.3">
      <c r="A1944" s="1">
        <v>45775</v>
      </c>
      <c r="B1944" s="2" t="s">
        <v>15</v>
      </c>
      <c r="C1944">
        <v>2.25624</v>
      </c>
      <c r="D1944">
        <v>2.3521899999999998</v>
      </c>
      <c r="E1944">
        <v>2.22709</v>
      </c>
      <c r="F1944">
        <v>2.29514</v>
      </c>
      <c r="G1944">
        <f>_xlfn.MAXIFS(Crypto[Close],Crypto[Name],Crypto[[#This Row],[Name]],Crypto[Date],"&lt;="&amp;Crypto[[#This Row],[Date]])</f>
        <v>3.2986399999999998</v>
      </c>
      <c r="H1944" s="3">
        <f>(Crypto[[#This Row],[Close]]/Crypto[[#This Row],[Peak Close]])-1</f>
        <v>-0.30421628307423665</v>
      </c>
      <c r="I1944">
        <v>2.25624</v>
      </c>
      <c r="J1944" s="1">
        <v>45774</v>
      </c>
      <c r="K1944" s="3">
        <v>1.7241073644647699E-2</v>
      </c>
      <c r="L1944">
        <v>4354002634</v>
      </c>
      <c r="M1944" s="2" t="s">
        <v>16</v>
      </c>
    </row>
    <row r="1945" spans="1:13" x14ac:dyDescent="0.3">
      <c r="A1945" s="1">
        <v>45776</v>
      </c>
      <c r="B1945" s="2" t="s">
        <v>15</v>
      </c>
      <c r="C1945">
        <v>2.2951100000000002</v>
      </c>
      <c r="D1945">
        <v>2.3117800000000002</v>
      </c>
      <c r="E1945">
        <v>2.2238899999999999</v>
      </c>
      <c r="F1945">
        <v>2.2408000000000001</v>
      </c>
      <c r="G1945">
        <f>_xlfn.MAXIFS(Crypto[Close],Crypto[Name],Crypto[[#This Row],[Name]],Crypto[Date],"&lt;="&amp;Crypto[[#This Row],[Date]])</f>
        <v>3.2986399999999998</v>
      </c>
      <c r="H1945" s="3">
        <f>(Crypto[[#This Row],[Close]]/Crypto[[#This Row],[Peak Close]])-1</f>
        <v>-0.32068973880144536</v>
      </c>
      <c r="I1945">
        <v>2.29514</v>
      </c>
      <c r="J1945" s="1">
        <v>45775</v>
      </c>
      <c r="K1945" s="3">
        <v>-2.36761156182193E-2</v>
      </c>
      <c r="L1945">
        <v>2889426361</v>
      </c>
      <c r="M1945" s="2" t="s">
        <v>16</v>
      </c>
    </row>
    <row r="1946" spans="1:13" x14ac:dyDescent="0.3">
      <c r="A1946" s="1">
        <v>45777</v>
      </c>
      <c r="B1946" s="2" t="s">
        <v>15</v>
      </c>
      <c r="C1946">
        <v>2.2407900000000001</v>
      </c>
      <c r="D1946">
        <v>2.2582800000000001</v>
      </c>
      <c r="E1946">
        <v>2.1297700000000002</v>
      </c>
      <c r="F1946">
        <v>2.19156</v>
      </c>
      <c r="G1946">
        <f>_xlfn.MAXIFS(Crypto[Close],Crypto[Name],Crypto[[#This Row],[Name]],Crypto[Date],"&lt;="&amp;Crypto[[#This Row],[Date]])</f>
        <v>3.2986399999999998</v>
      </c>
      <c r="H1946" s="3">
        <f>(Crypto[[#This Row],[Close]]/Crypto[[#This Row],[Peak Close]])-1</f>
        <v>-0.33561710280600487</v>
      </c>
      <c r="I1946">
        <v>2.2408000000000001</v>
      </c>
      <c r="J1946" s="1">
        <v>45776</v>
      </c>
      <c r="K1946" s="3">
        <v>-2.1974294894680502E-2</v>
      </c>
      <c r="L1946">
        <v>3691303521</v>
      </c>
      <c r="M1946" s="2" t="s">
        <v>16</v>
      </c>
    </row>
    <row r="1947" spans="1:13" x14ac:dyDescent="0.3">
      <c r="A1947" s="1">
        <v>45778</v>
      </c>
      <c r="B1947" s="2" t="s">
        <v>15</v>
      </c>
      <c r="C1947">
        <v>2.19157</v>
      </c>
      <c r="D1947">
        <v>2.2549800000000002</v>
      </c>
      <c r="E1947">
        <v>2.1911299999999998</v>
      </c>
      <c r="F1947">
        <v>2.2141600000000001</v>
      </c>
      <c r="G1947">
        <f>_xlfn.MAXIFS(Crypto[Close],Crypto[Name],Crypto[[#This Row],[Name]],Crypto[Date],"&lt;="&amp;Crypto[[#This Row],[Date]])</f>
        <v>3.2986399999999998</v>
      </c>
      <c r="H1947" s="3">
        <f>(Crypto[[#This Row],[Close]]/Crypto[[#This Row],[Peak Close]])-1</f>
        <v>-0.32876579438799014</v>
      </c>
      <c r="I1947">
        <v>2.19156</v>
      </c>
      <c r="J1947" s="1">
        <v>45777</v>
      </c>
      <c r="K1947" s="3">
        <v>1.0312288963113101E-2</v>
      </c>
      <c r="L1947">
        <v>2221046439</v>
      </c>
      <c r="M1947" s="2" t="s">
        <v>16</v>
      </c>
    </row>
    <row r="1948" spans="1:13" x14ac:dyDescent="0.3">
      <c r="A1948" s="1">
        <v>45779</v>
      </c>
      <c r="B1948" s="2" t="s">
        <v>15</v>
      </c>
      <c r="C1948">
        <v>2.2141700000000002</v>
      </c>
      <c r="D1948">
        <v>2.23882</v>
      </c>
      <c r="E1948">
        <v>2.1949200000000002</v>
      </c>
      <c r="F1948">
        <v>2.2098300000000002</v>
      </c>
      <c r="G1948">
        <f>_xlfn.MAXIFS(Crypto[Close],Crypto[Name],Crypto[[#This Row],[Name]],Crypto[Date],"&lt;="&amp;Crypto[[#This Row],[Date]])</f>
        <v>3.2986399999999998</v>
      </c>
      <c r="H1948" s="3">
        <f>(Crypto[[#This Row],[Close]]/Crypto[[#This Row],[Peak Close]])-1</f>
        <v>-0.3300784565760434</v>
      </c>
      <c r="I1948">
        <v>2.2141600000000001</v>
      </c>
      <c r="J1948" s="1">
        <v>45778</v>
      </c>
      <c r="K1948" s="3">
        <v>-1.95559489829097E-3</v>
      </c>
      <c r="L1948">
        <v>2148434217</v>
      </c>
      <c r="M1948" s="2" t="s">
        <v>16</v>
      </c>
    </row>
    <row r="1949" spans="1:13" x14ac:dyDescent="0.3">
      <c r="A1949" s="1">
        <v>45780</v>
      </c>
      <c r="B1949" s="2" t="s">
        <v>15</v>
      </c>
      <c r="C1949">
        <v>2.2098300000000002</v>
      </c>
      <c r="D1949">
        <v>2.21922</v>
      </c>
      <c r="E1949">
        <v>2.1809699999999999</v>
      </c>
      <c r="F1949">
        <v>2.1883699999999999</v>
      </c>
      <c r="G1949">
        <f>_xlfn.MAXIFS(Crypto[Close],Crypto[Name],Crypto[[#This Row],[Name]],Crypto[Date],"&lt;="&amp;Crypto[[#This Row],[Date]])</f>
        <v>3.2986399999999998</v>
      </c>
      <c r="H1949" s="3">
        <f>(Crypto[[#This Row],[Close]]/Crypto[[#This Row],[Peak Close]])-1</f>
        <v>-0.33658416802076008</v>
      </c>
      <c r="I1949">
        <v>2.2098300000000002</v>
      </c>
      <c r="J1949" s="1">
        <v>45779</v>
      </c>
      <c r="K1949" s="3">
        <v>-9.7111542516846398E-3</v>
      </c>
      <c r="L1949">
        <v>1427745527</v>
      </c>
      <c r="M1949" s="2" t="s">
        <v>16</v>
      </c>
    </row>
    <row r="1950" spans="1:13" x14ac:dyDescent="0.3">
      <c r="A1950" s="1">
        <v>45781</v>
      </c>
      <c r="B1950" s="2" t="s">
        <v>15</v>
      </c>
      <c r="C1950">
        <v>2.1883599999999999</v>
      </c>
      <c r="D1950">
        <v>2.2153900000000002</v>
      </c>
      <c r="E1950">
        <v>2.1541800000000002</v>
      </c>
      <c r="F1950">
        <v>2.1577899999999999</v>
      </c>
      <c r="G1950">
        <f>_xlfn.MAXIFS(Crypto[Close],Crypto[Name],Crypto[[#This Row],[Name]],Crypto[Date],"&lt;="&amp;Crypto[[#This Row],[Date]])</f>
        <v>3.2986399999999998</v>
      </c>
      <c r="H1950" s="3">
        <f>(Crypto[[#This Row],[Close]]/Crypto[[#This Row],[Peak Close]])-1</f>
        <v>-0.34585465525186132</v>
      </c>
      <c r="I1950">
        <v>2.1883699999999999</v>
      </c>
      <c r="J1950" s="1">
        <v>45780</v>
      </c>
      <c r="K1950" s="3">
        <v>-1.39738709633198E-2</v>
      </c>
      <c r="L1950">
        <v>1606676574</v>
      </c>
      <c r="M1950" s="2" t="s">
        <v>16</v>
      </c>
    </row>
    <row r="1951" spans="1:13" x14ac:dyDescent="0.3">
      <c r="A1951" s="1">
        <v>45782</v>
      </c>
      <c r="B1951" s="2" t="s">
        <v>15</v>
      </c>
      <c r="C1951">
        <v>2.1577600000000001</v>
      </c>
      <c r="D1951">
        <v>2.19354</v>
      </c>
      <c r="E1951">
        <v>2.1095799999999998</v>
      </c>
      <c r="F1951">
        <v>2.1356099999999998</v>
      </c>
      <c r="G1951">
        <f>_xlfn.MAXIFS(Crypto[Close],Crypto[Name],Crypto[[#This Row],[Name]],Crypto[Date],"&lt;="&amp;Crypto[[#This Row],[Date]])</f>
        <v>3.2986399999999998</v>
      </c>
      <c r="H1951" s="3">
        <f>(Crypto[[#This Row],[Close]]/Crypto[[#This Row],[Peak Close]])-1</f>
        <v>-0.35257863846918736</v>
      </c>
      <c r="I1951">
        <v>2.1577899999999999</v>
      </c>
      <c r="J1951" s="1">
        <v>45781</v>
      </c>
      <c r="K1951" s="3">
        <v>-1.02790354946497E-2</v>
      </c>
      <c r="L1951">
        <v>2518838395</v>
      </c>
      <c r="M1951" s="2" t="s">
        <v>16</v>
      </c>
    </row>
    <row r="1952" spans="1:13" x14ac:dyDescent="0.3">
      <c r="A1952" s="1">
        <v>45783</v>
      </c>
      <c r="B1952" s="2" t="s">
        <v>15</v>
      </c>
      <c r="C1952">
        <v>2.1355300000000002</v>
      </c>
      <c r="D1952">
        <v>2.15781</v>
      </c>
      <c r="E1952">
        <v>2.0805400000000001</v>
      </c>
      <c r="F1952">
        <v>2.15543</v>
      </c>
      <c r="G1952">
        <f>_xlfn.MAXIFS(Crypto[Close],Crypto[Name],Crypto[[#This Row],[Name]],Crypto[Date],"&lt;="&amp;Crypto[[#This Row],[Date]])</f>
        <v>3.2986399999999998</v>
      </c>
      <c r="H1952" s="3">
        <f>(Crypto[[#This Row],[Close]]/Crypto[[#This Row],[Peak Close]])-1</f>
        <v>-0.34657010161763635</v>
      </c>
      <c r="I1952">
        <v>2.1356099999999998</v>
      </c>
      <c r="J1952" s="1">
        <v>45782</v>
      </c>
      <c r="K1952" s="3">
        <v>9.2807207308451302E-3</v>
      </c>
      <c r="L1952">
        <v>2458675034</v>
      </c>
      <c r="M1952" s="2" t="s">
        <v>16</v>
      </c>
    </row>
    <row r="1953" spans="1:13" x14ac:dyDescent="0.3">
      <c r="A1953" s="1">
        <v>45784</v>
      </c>
      <c r="B1953" s="2" t="s">
        <v>15</v>
      </c>
      <c r="C1953">
        <v>2.1553499999999999</v>
      </c>
      <c r="D1953">
        <v>2.1697199999999999</v>
      </c>
      <c r="E1953">
        <v>2.1089199999999999</v>
      </c>
      <c r="F1953">
        <v>2.1261700000000001</v>
      </c>
      <c r="G1953">
        <f>_xlfn.MAXIFS(Crypto[Close],Crypto[Name],Crypto[[#This Row],[Name]],Crypto[Date],"&lt;="&amp;Crypto[[#This Row],[Date]])</f>
        <v>3.2986399999999998</v>
      </c>
      <c r="H1953" s="3">
        <f>(Crypto[[#This Row],[Close]]/Crypto[[#This Row],[Peak Close]])-1</f>
        <v>-0.35544042393228714</v>
      </c>
      <c r="I1953">
        <v>2.15543</v>
      </c>
      <c r="J1953" s="1">
        <v>45783</v>
      </c>
      <c r="K1953" s="3">
        <v>-1.35750175139067E-2</v>
      </c>
      <c r="L1953">
        <v>3808556620</v>
      </c>
      <c r="M1953" s="2" t="s">
        <v>16</v>
      </c>
    </row>
    <row r="1954" spans="1:13" x14ac:dyDescent="0.3">
      <c r="A1954" s="1">
        <v>45785</v>
      </c>
      <c r="B1954" s="2" t="s">
        <v>15</v>
      </c>
      <c r="C1954">
        <v>2.1261700000000001</v>
      </c>
      <c r="D1954">
        <v>2.3246699999999998</v>
      </c>
      <c r="E1954">
        <v>2.11931</v>
      </c>
      <c r="F1954">
        <v>2.3231799999999998</v>
      </c>
      <c r="G1954">
        <f>_xlfn.MAXIFS(Crypto[Close],Crypto[Name],Crypto[[#This Row],[Name]],Crypto[Date],"&lt;="&amp;Crypto[[#This Row],[Date]])</f>
        <v>3.2986399999999998</v>
      </c>
      <c r="H1954" s="3">
        <f>(Crypto[[#This Row],[Close]]/Crypto[[#This Row],[Peak Close]])-1</f>
        <v>-0.29571581015206272</v>
      </c>
      <c r="I1954">
        <v>2.1261700000000001</v>
      </c>
      <c r="J1954" s="1">
        <v>45784</v>
      </c>
      <c r="K1954" s="3">
        <v>9.2659570965632904E-2</v>
      </c>
      <c r="L1954">
        <v>4714441484</v>
      </c>
      <c r="M1954" s="2" t="s">
        <v>16</v>
      </c>
    </row>
    <row r="1955" spans="1:13" x14ac:dyDescent="0.3">
      <c r="A1955" s="1">
        <v>45786</v>
      </c>
      <c r="B1955" s="2" t="s">
        <v>15</v>
      </c>
      <c r="C1955">
        <v>2.3231700000000002</v>
      </c>
      <c r="D1955">
        <v>2.4253999999999998</v>
      </c>
      <c r="E1955">
        <v>2.2902499999999999</v>
      </c>
      <c r="F1955">
        <v>2.3446699999999998</v>
      </c>
      <c r="G1955">
        <f>_xlfn.MAXIFS(Crypto[Close],Crypto[Name],Crypto[[#This Row],[Name]],Crypto[Date],"&lt;="&amp;Crypto[[#This Row],[Date]])</f>
        <v>3.2986399999999998</v>
      </c>
      <c r="H1955" s="3">
        <f>(Crypto[[#This Row],[Close]]/Crypto[[#This Row],[Peak Close]])-1</f>
        <v>-0.28920100405015403</v>
      </c>
      <c r="I1955">
        <v>2.3231799999999998</v>
      </c>
      <c r="J1955" s="1">
        <v>45785</v>
      </c>
      <c r="K1955" s="3">
        <v>9.2502518100190303E-3</v>
      </c>
      <c r="L1955">
        <v>5991870742</v>
      </c>
      <c r="M1955" s="2" t="s">
        <v>16</v>
      </c>
    </row>
    <row r="1956" spans="1:13" x14ac:dyDescent="0.3">
      <c r="A1956" s="1">
        <v>45787</v>
      </c>
      <c r="B1956" s="2" t="s">
        <v>15</v>
      </c>
      <c r="C1956">
        <v>2.34463</v>
      </c>
      <c r="D1956">
        <v>2.4726699999999999</v>
      </c>
      <c r="E1956">
        <v>2.3401800000000001</v>
      </c>
      <c r="F1956">
        <v>2.4720300000000002</v>
      </c>
      <c r="G1956">
        <f>_xlfn.MAXIFS(Crypto[Close],Crypto[Name],Crypto[[#This Row],[Name]],Crypto[Date],"&lt;="&amp;Crypto[[#This Row],[Date]])</f>
        <v>3.2986399999999998</v>
      </c>
      <c r="H1956" s="3">
        <f>(Crypto[[#This Row],[Close]]/Crypto[[#This Row],[Peak Close]])-1</f>
        <v>-0.25059115271748345</v>
      </c>
      <c r="I1956">
        <v>2.3446699999999998</v>
      </c>
      <c r="J1956" s="1">
        <v>45786</v>
      </c>
      <c r="K1956" s="3">
        <v>5.4318944670252299E-2</v>
      </c>
      <c r="L1956">
        <v>4373016278</v>
      </c>
      <c r="M1956" s="2" t="s">
        <v>16</v>
      </c>
    </row>
    <row r="1957" spans="1:13" x14ac:dyDescent="0.3">
      <c r="A1957" s="1">
        <v>45788</v>
      </c>
      <c r="B1957" s="2" t="s">
        <v>15</v>
      </c>
      <c r="C1957">
        <v>2.472</v>
      </c>
      <c r="D1957">
        <v>2.4762499999999998</v>
      </c>
      <c r="E1957">
        <v>2.33392</v>
      </c>
      <c r="F1957">
        <v>2.36652</v>
      </c>
      <c r="G1957">
        <f>_xlfn.MAXIFS(Crypto[Close],Crypto[Name],Crypto[[#This Row],[Name]],Crypto[Date],"&lt;="&amp;Crypto[[#This Row],[Date]])</f>
        <v>3.2986399999999998</v>
      </c>
      <c r="H1957" s="3">
        <f>(Crypto[[#This Row],[Close]]/Crypto[[#This Row],[Peak Close]])-1</f>
        <v>-0.28257706206194066</v>
      </c>
      <c r="I1957">
        <v>2.4720300000000002</v>
      </c>
      <c r="J1957" s="1">
        <v>45787</v>
      </c>
      <c r="K1957" s="3">
        <v>-4.2681520855329502E-2</v>
      </c>
      <c r="L1957">
        <v>3965697853</v>
      </c>
      <c r="M1957" s="2" t="s">
        <v>16</v>
      </c>
    </row>
    <row r="1958" spans="1:13" x14ac:dyDescent="0.3">
      <c r="A1958" s="1">
        <v>45789</v>
      </c>
      <c r="B1958" s="2" t="s">
        <v>15</v>
      </c>
      <c r="C1958">
        <v>2.3665400000000001</v>
      </c>
      <c r="D1958">
        <v>2.6396799999999998</v>
      </c>
      <c r="E1958">
        <v>2.3588</v>
      </c>
      <c r="F1958">
        <v>2.5446399999999998</v>
      </c>
      <c r="G1958">
        <f>_xlfn.MAXIFS(Crypto[Close],Crypto[Name],Crypto[[#This Row],[Name]],Crypto[Date],"&lt;="&amp;Crypto[[#This Row],[Date]])</f>
        <v>3.2986399999999998</v>
      </c>
      <c r="H1958" s="3">
        <f>(Crypto[[#This Row],[Close]]/Crypto[[#This Row],[Peak Close]])-1</f>
        <v>-0.22857905076031337</v>
      </c>
      <c r="I1958">
        <v>2.36652</v>
      </c>
      <c r="J1958" s="1">
        <v>45788</v>
      </c>
      <c r="K1958" s="3">
        <v>7.5266636242245902E-2</v>
      </c>
      <c r="L1958">
        <v>10613122884</v>
      </c>
      <c r="M1958" s="2" t="s">
        <v>16</v>
      </c>
    </row>
    <row r="1959" spans="1:13" x14ac:dyDescent="0.3">
      <c r="A1959" s="1">
        <v>45790</v>
      </c>
      <c r="B1959" s="2" t="s">
        <v>15</v>
      </c>
      <c r="C1959">
        <v>2.5446300000000002</v>
      </c>
      <c r="D1959">
        <v>2.6009000000000002</v>
      </c>
      <c r="E1959">
        <v>2.4276300000000002</v>
      </c>
      <c r="F1959">
        <v>2.5865499999999999</v>
      </c>
      <c r="G1959">
        <f>_xlfn.MAXIFS(Crypto[Close],Crypto[Name],Crypto[[#This Row],[Name]],Crypto[Date],"&lt;="&amp;Crypto[[#This Row],[Date]])</f>
        <v>3.2986399999999998</v>
      </c>
      <c r="H1959" s="3">
        <f>(Crypto[[#This Row],[Close]]/Crypto[[#This Row],[Peak Close]])-1</f>
        <v>-0.21587381466301259</v>
      </c>
      <c r="I1959">
        <v>2.5446399999999998</v>
      </c>
      <c r="J1959" s="1">
        <v>45789</v>
      </c>
      <c r="K1959" s="3">
        <v>1.6469913229376298E-2</v>
      </c>
      <c r="L1959">
        <v>6176519868</v>
      </c>
      <c r="M1959" s="2" t="s">
        <v>16</v>
      </c>
    </row>
    <row r="1960" spans="1:13" x14ac:dyDescent="0.3">
      <c r="A1960" s="1">
        <v>45791</v>
      </c>
      <c r="B1960" s="2" t="s">
        <v>15</v>
      </c>
      <c r="C1960">
        <v>2.58656</v>
      </c>
      <c r="D1960">
        <v>2.64574</v>
      </c>
      <c r="E1960">
        <v>2.52413</v>
      </c>
      <c r="F1960">
        <v>2.5527000000000002</v>
      </c>
      <c r="G1960">
        <f>_xlfn.MAXIFS(Crypto[Close],Crypto[Name],Crypto[[#This Row],[Name]],Crypto[Date],"&lt;="&amp;Crypto[[#This Row],[Date]])</f>
        <v>3.2986399999999998</v>
      </c>
      <c r="H1960" s="3">
        <f>(Crypto[[#This Row],[Close]]/Crypto[[#This Row],[Peak Close]])-1</f>
        <v>-0.22613561952804784</v>
      </c>
      <c r="I1960">
        <v>2.5865499999999999</v>
      </c>
      <c r="J1960" s="1">
        <v>45790</v>
      </c>
      <c r="K1960" s="3">
        <v>-1.3086930467224599E-2</v>
      </c>
      <c r="L1960">
        <v>4955686643</v>
      </c>
      <c r="M1960" s="2" t="s">
        <v>16</v>
      </c>
    </row>
    <row r="1961" spans="1:13" x14ac:dyDescent="0.3">
      <c r="A1961" s="1">
        <v>45792</v>
      </c>
      <c r="B1961" s="2" t="s">
        <v>15</v>
      </c>
      <c r="C1961">
        <v>2.5527000000000002</v>
      </c>
      <c r="D1961">
        <v>2.5709200000000001</v>
      </c>
      <c r="E1961">
        <v>2.359</v>
      </c>
      <c r="F1961">
        <v>2.3803700000000001</v>
      </c>
      <c r="G1961">
        <f>_xlfn.MAXIFS(Crypto[Close],Crypto[Name],Crypto[[#This Row],[Name]],Crypto[Date],"&lt;="&amp;Crypto[[#This Row],[Date]])</f>
        <v>3.2986399999999998</v>
      </c>
      <c r="H1961" s="3">
        <f>(Crypto[[#This Row],[Close]]/Crypto[[#This Row],[Peak Close]])-1</f>
        <v>-0.27837836199160859</v>
      </c>
      <c r="I1961">
        <v>2.5527000000000002</v>
      </c>
      <c r="J1961" s="1">
        <v>45791</v>
      </c>
      <c r="K1961" s="3">
        <v>-6.75089121322522E-2</v>
      </c>
      <c r="L1961">
        <v>5374268326</v>
      </c>
      <c r="M1961" s="2" t="s">
        <v>16</v>
      </c>
    </row>
    <row r="1962" spans="1:13" x14ac:dyDescent="0.3">
      <c r="A1962" s="1">
        <v>45793</v>
      </c>
      <c r="B1962" s="2" t="s">
        <v>15</v>
      </c>
      <c r="C1962">
        <v>2.38036</v>
      </c>
      <c r="D1962">
        <v>2.4367100000000002</v>
      </c>
      <c r="E1962">
        <v>2.3506499999999999</v>
      </c>
      <c r="F1962">
        <v>2.3809800000000001</v>
      </c>
      <c r="G1962">
        <f>_xlfn.MAXIFS(Crypto[Close],Crypto[Name],Crypto[[#This Row],[Name]],Crypto[Date],"&lt;="&amp;Crypto[[#This Row],[Date]])</f>
        <v>3.2986399999999998</v>
      </c>
      <c r="H1962" s="3">
        <f>(Crypto[[#This Row],[Close]]/Crypto[[#This Row],[Peak Close]])-1</f>
        <v>-0.27819343729537016</v>
      </c>
      <c r="I1962">
        <v>2.3803700000000001</v>
      </c>
      <c r="J1962" s="1">
        <v>45792</v>
      </c>
      <c r="K1962" s="3">
        <v>2.5626268185198101E-4</v>
      </c>
      <c r="L1962">
        <v>3792750565</v>
      </c>
      <c r="M1962" s="2" t="s">
        <v>16</v>
      </c>
    </row>
    <row r="1963" spans="1:13" x14ac:dyDescent="0.3">
      <c r="A1963" s="1">
        <v>45794</v>
      </c>
      <c r="B1963" s="2" t="s">
        <v>15</v>
      </c>
      <c r="C1963">
        <v>2.3809800000000001</v>
      </c>
      <c r="D1963">
        <v>2.3883100000000002</v>
      </c>
      <c r="E1963">
        <v>2.3031999999999999</v>
      </c>
      <c r="F1963">
        <v>2.3543599999999998</v>
      </c>
      <c r="G1963">
        <f>_xlfn.MAXIFS(Crypto[Close],Crypto[Name],Crypto[[#This Row],[Name]],Crypto[Date],"&lt;="&amp;Crypto[[#This Row],[Date]])</f>
        <v>3.2986399999999998</v>
      </c>
      <c r="H1963" s="3">
        <f>(Crypto[[#This Row],[Close]]/Crypto[[#This Row],[Peak Close]])-1</f>
        <v>-0.28626342977712027</v>
      </c>
      <c r="I1963">
        <v>2.3809800000000001</v>
      </c>
      <c r="J1963" s="1">
        <v>45793</v>
      </c>
      <c r="K1963" s="3">
        <v>-1.1180270308864501E-2</v>
      </c>
      <c r="L1963">
        <v>3022317383</v>
      </c>
      <c r="M1963" s="2" t="s">
        <v>16</v>
      </c>
    </row>
    <row r="1964" spans="1:13" x14ac:dyDescent="0.3">
      <c r="A1964" s="1">
        <v>45795</v>
      </c>
      <c r="B1964" s="2" t="s">
        <v>15</v>
      </c>
      <c r="C1964">
        <v>2.3543599999999998</v>
      </c>
      <c r="D1964">
        <v>2.4428999999999998</v>
      </c>
      <c r="E1964">
        <v>2.3522799999999999</v>
      </c>
      <c r="F1964">
        <v>2.4341699999999999</v>
      </c>
      <c r="G1964">
        <f>_xlfn.MAXIFS(Crypto[Close],Crypto[Name],Crypto[[#This Row],[Name]],Crypto[Date],"&lt;="&amp;Crypto[[#This Row],[Date]])</f>
        <v>3.2986399999999998</v>
      </c>
      <c r="H1964" s="3">
        <f>(Crypto[[#This Row],[Close]]/Crypto[[#This Row],[Peak Close]])-1</f>
        <v>-0.26206861009385685</v>
      </c>
      <c r="I1964">
        <v>2.3543599999999998</v>
      </c>
      <c r="J1964" s="1">
        <v>45794</v>
      </c>
      <c r="K1964" s="3">
        <v>3.3898809018162099E-2</v>
      </c>
      <c r="L1964">
        <v>2943528946</v>
      </c>
      <c r="M1964" s="2" t="s">
        <v>16</v>
      </c>
    </row>
    <row r="1965" spans="1:13" x14ac:dyDescent="0.3">
      <c r="A1965" s="1">
        <v>45796</v>
      </c>
      <c r="B1965" s="2" t="s">
        <v>15</v>
      </c>
      <c r="C1965">
        <v>2.4334699999999998</v>
      </c>
      <c r="D1965">
        <v>2.4357899999999999</v>
      </c>
      <c r="E1965">
        <v>2.2868599999999999</v>
      </c>
      <c r="F1965">
        <v>2.3813800000000001</v>
      </c>
      <c r="G1965">
        <f>_xlfn.MAXIFS(Crypto[Close],Crypto[Name],Crypto[[#This Row],[Name]],Crypto[Date],"&lt;="&amp;Crypto[[#This Row],[Date]])</f>
        <v>3.2986399999999998</v>
      </c>
      <c r="H1965" s="3">
        <f>(Crypto[[#This Row],[Close]]/Crypto[[#This Row],[Peak Close]])-1</f>
        <v>-0.27807217519947613</v>
      </c>
      <c r="I1965">
        <v>2.4341699999999999</v>
      </c>
      <c r="J1965" s="1">
        <v>45795</v>
      </c>
      <c r="K1965" s="3">
        <v>-2.16870637630075E-2</v>
      </c>
      <c r="L1965">
        <v>3735931351</v>
      </c>
      <c r="M1965" s="2" t="s">
        <v>16</v>
      </c>
    </row>
    <row r="1966" spans="1:13" x14ac:dyDescent="0.3">
      <c r="A1966" s="1">
        <v>45797</v>
      </c>
      <c r="B1966" s="2" t="s">
        <v>15</v>
      </c>
      <c r="C1966">
        <v>2.3813800000000001</v>
      </c>
      <c r="D1966">
        <v>2.4056600000000001</v>
      </c>
      <c r="E1966">
        <v>2.3174299999999999</v>
      </c>
      <c r="F1966">
        <v>2.35676</v>
      </c>
      <c r="G1966">
        <f>_xlfn.MAXIFS(Crypto[Close],Crypto[Name],Crypto[[#This Row],[Name]],Crypto[Date],"&lt;="&amp;Crypto[[#This Row],[Date]])</f>
        <v>3.2986399999999998</v>
      </c>
      <c r="H1966" s="3">
        <f>(Crypto[[#This Row],[Close]]/Crypto[[#This Row],[Peak Close]])-1</f>
        <v>-0.28553585720175589</v>
      </c>
      <c r="I1966">
        <v>2.3813800000000001</v>
      </c>
      <c r="J1966" s="1">
        <v>45796</v>
      </c>
      <c r="K1966" s="3">
        <v>-1.03385431976417E-2</v>
      </c>
      <c r="L1966">
        <v>2990978075</v>
      </c>
      <c r="M1966" s="2" t="s">
        <v>16</v>
      </c>
    </row>
    <row r="1967" spans="1:13" x14ac:dyDescent="0.3">
      <c r="A1967" s="1">
        <v>45798</v>
      </c>
      <c r="B1967" s="2" t="s">
        <v>15</v>
      </c>
      <c r="C1967">
        <v>2.3567399999999998</v>
      </c>
      <c r="D1967">
        <v>2.42611</v>
      </c>
      <c r="E1967">
        <v>2.3348800000000001</v>
      </c>
      <c r="F1967">
        <v>2.39893</v>
      </c>
      <c r="G1967">
        <f>_xlfn.MAXIFS(Crypto[Close],Crypto[Name],Crypto[[#This Row],[Name]],Crypto[Date],"&lt;="&amp;Crypto[[#This Row],[Date]])</f>
        <v>3.2986399999999998</v>
      </c>
      <c r="H1967" s="3">
        <f>(Crypto[[#This Row],[Close]]/Crypto[[#This Row],[Peak Close]])-1</f>
        <v>-0.27275180074212402</v>
      </c>
      <c r="I1967">
        <v>2.35676</v>
      </c>
      <c r="J1967" s="1">
        <v>45797</v>
      </c>
      <c r="K1967" s="3">
        <v>1.78932093212716E-2</v>
      </c>
      <c r="L1967">
        <v>3837944483</v>
      </c>
      <c r="M1967" s="2" t="s">
        <v>16</v>
      </c>
    </row>
    <row r="1968" spans="1:13" x14ac:dyDescent="0.3">
      <c r="A1968" s="1">
        <v>45799</v>
      </c>
      <c r="B1968" s="2" t="s">
        <v>15</v>
      </c>
      <c r="C1968">
        <v>2.3989500000000001</v>
      </c>
      <c r="D1968">
        <v>2.4517199999999999</v>
      </c>
      <c r="E1968">
        <v>2.39235</v>
      </c>
      <c r="F1968">
        <v>2.4298000000000002</v>
      </c>
      <c r="G1968">
        <f>_xlfn.MAXIFS(Crypto[Close],Crypto[Name],Crypto[[#This Row],[Name]],Crypto[Date],"&lt;="&amp;Crypto[[#This Row],[Date]])</f>
        <v>3.2986399999999998</v>
      </c>
      <c r="H1968" s="3">
        <f>(Crypto[[#This Row],[Close]]/Crypto[[#This Row],[Peak Close]])-1</f>
        <v>-0.26339339849149945</v>
      </c>
      <c r="I1968">
        <v>2.39893</v>
      </c>
      <c r="J1968" s="1">
        <v>45798</v>
      </c>
      <c r="K1968" s="3">
        <v>1.2868237089035599E-2</v>
      </c>
      <c r="L1968">
        <v>3399409382</v>
      </c>
      <c r="M1968" s="2" t="s">
        <v>16</v>
      </c>
    </row>
    <row r="1969" spans="1:13" x14ac:dyDescent="0.3">
      <c r="A1969" s="1">
        <v>45800</v>
      </c>
      <c r="B1969" s="2" t="s">
        <v>15</v>
      </c>
      <c r="C1969">
        <v>2.4298000000000002</v>
      </c>
      <c r="D1969">
        <v>2.4765199999999998</v>
      </c>
      <c r="E1969">
        <v>2.29033</v>
      </c>
      <c r="F1969">
        <v>2.2943199999999999</v>
      </c>
      <c r="G1969">
        <f>_xlfn.MAXIFS(Crypto[Close],Crypto[Name],Crypto[[#This Row],[Name]],Crypto[Date],"&lt;="&amp;Crypto[[#This Row],[Date]])</f>
        <v>3.2986399999999998</v>
      </c>
      <c r="H1969" s="3">
        <f>(Crypto[[#This Row],[Close]]/Crypto[[#This Row],[Peak Close]])-1</f>
        <v>-0.30446487037081948</v>
      </c>
      <c r="I1969">
        <v>2.4298000000000002</v>
      </c>
      <c r="J1969" s="1">
        <v>45799</v>
      </c>
      <c r="K1969" s="3">
        <v>-5.5757675528850199E-2</v>
      </c>
      <c r="L1969">
        <v>4394718207</v>
      </c>
      <c r="M1969" s="2" t="s">
        <v>16</v>
      </c>
    </row>
    <row r="1970" spans="1:13" x14ac:dyDescent="0.3">
      <c r="A1970" s="1">
        <v>45801</v>
      </c>
      <c r="B1970" s="2" t="s">
        <v>15</v>
      </c>
      <c r="C1970">
        <v>2.2944599999999999</v>
      </c>
      <c r="D1970">
        <v>2.3588100000000001</v>
      </c>
      <c r="E1970">
        <v>2.2924099999999998</v>
      </c>
      <c r="F1970">
        <v>2.3328700000000002</v>
      </c>
      <c r="G1970">
        <f>_xlfn.MAXIFS(Crypto[Close],Crypto[Name],Crypto[[#This Row],[Name]],Crypto[Date],"&lt;="&amp;Crypto[[#This Row],[Date]])</f>
        <v>3.2986399999999998</v>
      </c>
      <c r="H1970" s="3">
        <f>(Crypto[[#This Row],[Close]]/Crypto[[#This Row],[Peak Close]])-1</f>
        <v>-0.29277823587902885</v>
      </c>
      <c r="I1970">
        <v>2.2943199999999999</v>
      </c>
      <c r="J1970" s="1">
        <v>45800</v>
      </c>
      <c r="K1970" s="3">
        <v>1.68023640991668E-2</v>
      </c>
      <c r="L1970">
        <v>1496547562</v>
      </c>
      <c r="M1970" s="2" t="s">
        <v>16</v>
      </c>
    </row>
    <row r="1971" spans="1:13" x14ac:dyDescent="0.3">
      <c r="A1971" s="1">
        <v>45802</v>
      </c>
      <c r="B1971" s="2" t="s">
        <v>15</v>
      </c>
      <c r="C1971">
        <v>2.3328700000000002</v>
      </c>
      <c r="D1971">
        <v>2.3441900000000002</v>
      </c>
      <c r="E1971">
        <v>2.2705299999999999</v>
      </c>
      <c r="F1971">
        <v>2.3429700000000002</v>
      </c>
      <c r="G1971">
        <f>_xlfn.MAXIFS(Crypto[Close],Crypto[Name],Crypto[[#This Row],[Name]],Crypto[Date],"&lt;="&amp;Crypto[[#This Row],[Date]])</f>
        <v>3.2986399999999998</v>
      </c>
      <c r="H1971" s="3">
        <f>(Crypto[[#This Row],[Close]]/Crypto[[#This Row],[Peak Close]])-1</f>
        <v>-0.28971636795770372</v>
      </c>
      <c r="I1971">
        <v>2.3328700000000002</v>
      </c>
      <c r="J1971" s="1">
        <v>45801</v>
      </c>
      <c r="K1971" s="3">
        <v>4.3294311298957902E-3</v>
      </c>
      <c r="L1971">
        <v>2117325121</v>
      </c>
      <c r="M1971" s="2" t="s">
        <v>16</v>
      </c>
    </row>
    <row r="1972" spans="1:13" x14ac:dyDescent="0.3">
      <c r="A1972" s="1">
        <v>45803</v>
      </c>
      <c r="B1972" s="2" t="s">
        <v>15</v>
      </c>
      <c r="C1972">
        <v>2.3429500000000001</v>
      </c>
      <c r="D1972">
        <v>2.3580899999999998</v>
      </c>
      <c r="E1972">
        <v>2.2987500000000001</v>
      </c>
      <c r="F1972">
        <v>2.3106599999999999</v>
      </c>
      <c r="G1972">
        <f>_xlfn.MAXIFS(Crypto[Close],Crypto[Name],Crypto[[#This Row],[Name]],Crypto[Date],"&lt;="&amp;Crypto[[#This Row],[Date]])</f>
        <v>3.2986399999999998</v>
      </c>
      <c r="H1972" s="3">
        <f>(Crypto[[#This Row],[Close]]/Crypto[[#This Row],[Peak Close]])-1</f>
        <v>-0.29951131375354689</v>
      </c>
      <c r="I1972">
        <v>2.3429700000000002</v>
      </c>
      <c r="J1972" s="1">
        <v>45802</v>
      </c>
      <c r="K1972" s="3">
        <v>-1.37901893750241E-2</v>
      </c>
      <c r="L1972">
        <v>1930678300</v>
      </c>
      <c r="M1972" s="2" t="s">
        <v>16</v>
      </c>
    </row>
    <row r="1973" spans="1:13" x14ac:dyDescent="0.3">
      <c r="A1973" s="1">
        <v>45804</v>
      </c>
      <c r="B1973" s="2" t="s">
        <v>15</v>
      </c>
      <c r="C1973">
        <v>2.3106399999999998</v>
      </c>
      <c r="D1973">
        <v>2.3520400000000001</v>
      </c>
      <c r="E1973">
        <v>2.2724500000000001</v>
      </c>
      <c r="F1973">
        <v>2.31867</v>
      </c>
      <c r="G1973">
        <f>_xlfn.MAXIFS(Crypto[Close],Crypto[Name],Crypto[[#This Row],[Name]],Crypto[Date],"&lt;="&amp;Crypto[[#This Row],[Date]])</f>
        <v>3.2986399999999998</v>
      </c>
      <c r="H1973" s="3">
        <f>(Crypto[[#This Row],[Close]]/Crypto[[#This Row],[Peak Close]])-1</f>
        <v>-0.29708304028326826</v>
      </c>
      <c r="I1973">
        <v>2.3106599999999999</v>
      </c>
      <c r="J1973" s="1">
        <v>45803</v>
      </c>
      <c r="K1973" s="3">
        <v>3.4665420269533701E-3</v>
      </c>
      <c r="L1973">
        <v>2373797283</v>
      </c>
      <c r="M1973" s="2" t="s">
        <v>16</v>
      </c>
    </row>
    <row r="1974" spans="1:13" x14ac:dyDescent="0.3">
      <c r="A1974" s="1">
        <v>45805</v>
      </c>
      <c r="B1974" s="2" t="s">
        <v>15</v>
      </c>
      <c r="C1974">
        <v>2.3186399999999998</v>
      </c>
      <c r="D1974">
        <v>2.3214100000000002</v>
      </c>
      <c r="E1974">
        <v>2.2305299999999999</v>
      </c>
      <c r="F1974">
        <v>2.2742499999999999</v>
      </c>
      <c r="G1974">
        <f>_xlfn.MAXIFS(Crypto[Close],Crypto[Name],Crypto[[#This Row],[Name]],Crypto[Date],"&lt;="&amp;Crypto[[#This Row],[Date]])</f>
        <v>3.2986399999999998</v>
      </c>
      <c r="H1974" s="3">
        <f>(Crypto[[#This Row],[Close]]/Crypto[[#This Row],[Peak Close]])-1</f>
        <v>-0.31054919603230424</v>
      </c>
      <c r="I1974">
        <v>2.31867</v>
      </c>
      <c r="J1974" s="1">
        <v>45804</v>
      </c>
      <c r="K1974" s="3">
        <v>-1.9157534276115201E-2</v>
      </c>
      <c r="L1974">
        <v>2373668637</v>
      </c>
      <c r="M1974" s="2" t="s">
        <v>16</v>
      </c>
    </row>
    <row r="1975" spans="1:13" x14ac:dyDescent="0.3">
      <c r="A1975" s="1">
        <v>45806</v>
      </c>
      <c r="B1975" s="2" t="s">
        <v>15</v>
      </c>
      <c r="C1975">
        <v>2.2742599999999999</v>
      </c>
      <c r="D1975">
        <v>2.3111299999999999</v>
      </c>
      <c r="E1975">
        <v>2.2440199999999999</v>
      </c>
      <c r="F1975">
        <v>2.2442500000000001</v>
      </c>
      <c r="G1975">
        <f>_xlfn.MAXIFS(Crypto[Close],Crypto[Name],Crypto[[#This Row],[Name]],Crypto[Date],"&lt;="&amp;Crypto[[#This Row],[Date]])</f>
        <v>3.2986399999999998</v>
      </c>
      <c r="H1975" s="3">
        <f>(Crypto[[#This Row],[Close]]/Crypto[[#This Row],[Peak Close]])-1</f>
        <v>-0.31964385322435906</v>
      </c>
      <c r="I1975">
        <v>2.2742499999999999</v>
      </c>
      <c r="J1975" s="1">
        <v>45805</v>
      </c>
      <c r="K1975" s="3">
        <v>-1.31911619215125E-2</v>
      </c>
      <c r="L1975">
        <v>2465662898</v>
      </c>
      <c r="M1975" s="2" t="s">
        <v>16</v>
      </c>
    </row>
    <row r="1976" spans="1:13" x14ac:dyDescent="0.3">
      <c r="A1976" s="1">
        <v>45807</v>
      </c>
      <c r="B1976" s="2" t="s">
        <v>15</v>
      </c>
      <c r="C1976">
        <v>2.2442299999999999</v>
      </c>
      <c r="D1976">
        <v>2.2506300000000001</v>
      </c>
      <c r="E1976">
        <v>2.1384500000000002</v>
      </c>
      <c r="F1976">
        <v>2.13863</v>
      </c>
      <c r="G1976">
        <f>_xlfn.MAXIFS(Crypto[Close],Crypto[Name],Crypto[[#This Row],[Name]],Crypto[Date],"&lt;="&amp;Crypto[[#This Row],[Date]])</f>
        <v>3.2986399999999998</v>
      </c>
      <c r="H1976" s="3">
        <f>(Crypto[[#This Row],[Close]]/Crypto[[#This Row],[Peak Close]])-1</f>
        <v>-0.3516631096451871</v>
      </c>
      <c r="I1976">
        <v>2.2442500000000001</v>
      </c>
      <c r="J1976" s="1">
        <v>45806</v>
      </c>
      <c r="K1976" s="3">
        <v>-4.7062493037763199E-2</v>
      </c>
      <c r="L1976">
        <v>3891788509</v>
      </c>
      <c r="M1976" s="2" t="s">
        <v>16</v>
      </c>
    </row>
    <row r="1977" spans="1:13" x14ac:dyDescent="0.3">
      <c r="A1977" s="1">
        <v>45808</v>
      </c>
      <c r="B1977" s="2" t="s">
        <v>15</v>
      </c>
      <c r="C1977">
        <v>2.1387200000000002</v>
      </c>
      <c r="D1977">
        <v>2.2038799999999998</v>
      </c>
      <c r="E1977">
        <v>2.0855299999999999</v>
      </c>
      <c r="F1977">
        <v>2.1750600000000002</v>
      </c>
      <c r="G1977">
        <f>_xlfn.MAXIFS(Crypto[Close],Crypto[Name],Crypto[[#This Row],[Name]],Crypto[Date],"&lt;="&amp;Crypto[[#This Row],[Date]])</f>
        <v>3.2986399999999998</v>
      </c>
      <c r="H1977" s="3">
        <f>(Crypto[[#This Row],[Close]]/Crypto[[#This Row],[Peak Close]])-1</f>
        <v>-0.34061916426163497</v>
      </c>
      <c r="I1977">
        <v>2.13863</v>
      </c>
      <c r="J1977" s="1">
        <v>45807</v>
      </c>
      <c r="K1977" s="3">
        <v>1.7034269602502601E-2</v>
      </c>
      <c r="L1977">
        <v>2684904446</v>
      </c>
      <c r="M1977" s="2" t="s">
        <v>16</v>
      </c>
    </row>
    <row r="1978" spans="1:13" x14ac:dyDescent="0.3">
      <c r="A1978" s="1">
        <v>45809</v>
      </c>
      <c r="B1978" s="2" t="s">
        <v>15</v>
      </c>
      <c r="C1978">
        <v>2.1751100000000001</v>
      </c>
      <c r="D1978">
        <v>2.18716</v>
      </c>
      <c r="E1978">
        <v>2.1289699999999998</v>
      </c>
      <c r="F1978">
        <v>2.1791800000000001</v>
      </c>
      <c r="G1978">
        <f>_xlfn.MAXIFS(Crypto[Close],Crypto[Name],Crypto[[#This Row],[Name]],Crypto[Date],"&lt;="&amp;Crypto[[#This Row],[Date]])</f>
        <v>3.2986399999999998</v>
      </c>
      <c r="H1978" s="3">
        <f>(Crypto[[#This Row],[Close]]/Crypto[[#This Row],[Peak Close]])-1</f>
        <v>-0.33937016467392611</v>
      </c>
      <c r="I1978">
        <v>2.1750600000000002</v>
      </c>
      <c r="J1978" s="1">
        <v>45808</v>
      </c>
      <c r="K1978" s="3">
        <v>1.89420061975297E-3</v>
      </c>
      <c r="L1978">
        <v>1763611233</v>
      </c>
      <c r="M1978" s="2" t="s">
        <v>16</v>
      </c>
    </row>
    <row r="1979" spans="1:13" x14ac:dyDescent="0.3">
      <c r="A1979" s="1">
        <v>45810</v>
      </c>
      <c r="B1979" s="2" t="s">
        <v>15</v>
      </c>
      <c r="C1979">
        <v>2.1791800000000001</v>
      </c>
      <c r="D1979">
        <v>2.2030599999999998</v>
      </c>
      <c r="E1979">
        <v>2.1388500000000001</v>
      </c>
      <c r="F1979">
        <v>2.1977600000000002</v>
      </c>
      <c r="G1979">
        <f>_xlfn.MAXIFS(Crypto[Close],Crypto[Name],Crypto[[#This Row],[Name]],Crypto[Date],"&lt;="&amp;Crypto[[#This Row],[Date]])</f>
        <v>3.2986399999999998</v>
      </c>
      <c r="H1979" s="3">
        <f>(Crypto[[#This Row],[Close]]/Crypto[[#This Row],[Peak Close]])-1</f>
        <v>-0.33373754031964675</v>
      </c>
      <c r="I1979">
        <v>2.1791800000000001</v>
      </c>
      <c r="J1979" s="1">
        <v>45809</v>
      </c>
      <c r="K1979" s="3">
        <v>8.5261428610762004E-3</v>
      </c>
      <c r="L1979">
        <v>2150527408</v>
      </c>
      <c r="M1979" s="2" t="s">
        <v>16</v>
      </c>
    </row>
    <row r="1980" spans="1:13" x14ac:dyDescent="0.3">
      <c r="A1980" s="1">
        <v>45811</v>
      </c>
      <c r="B1980" s="2" t="s">
        <v>15</v>
      </c>
      <c r="C1980">
        <v>2.1977600000000002</v>
      </c>
      <c r="D1980">
        <v>2.2806999999999999</v>
      </c>
      <c r="E1980">
        <v>2.18614</v>
      </c>
      <c r="F1980">
        <v>2.2468400000000002</v>
      </c>
      <c r="G1980">
        <f>_xlfn.MAXIFS(Crypto[Close],Crypto[Name],Crypto[[#This Row],[Name]],Crypto[Date],"&lt;="&amp;Crypto[[#This Row],[Date]])</f>
        <v>3.2986399999999998</v>
      </c>
      <c r="H1980" s="3">
        <f>(Crypto[[#This Row],[Close]]/Crypto[[#This Row],[Peak Close]])-1</f>
        <v>-0.31885868115344496</v>
      </c>
      <c r="I1980">
        <v>2.1977600000000002</v>
      </c>
      <c r="J1980" s="1">
        <v>45810</v>
      </c>
      <c r="K1980" s="3">
        <v>2.2331828771112401E-2</v>
      </c>
      <c r="L1980">
        <v>2528637429</v>
      </c>
      <c r="M1980" s="2" t="s">
        <v>16</v>
      </c>
    </row>
    <row r="1981" spans="1:13" x14ac:dyDescent="0.3">
      <c r="A1981" s="1">
        <v>45812</v>
      </c>
      <c r="B1981" s="2" t="s">
        <v>15</v>
      </c>
      <c r="C1981">
        <v>2.2468400000000002</v>
      </c>
      <c r="D1981">
        <v>2.2642600000000002</v>
      </c>
      <c r="E1981">
        <v>2.1981999999999999</v>
      </c>
      <c r="F1981">
        <v>2.2023100000000002</v>
      </c>
      <c r="G1981">
        <f>_xlfn.MAXIFS(Crypto[Close],Crypto[Name],Crypto[[#This Row],[Name]],Crypto[Date],"&lt;="&amp;Crypto[[#This Row],[Date]])</f>
        <v>3.2986399999999998</v>
      </c>
      <c r="H1981" s="3">
        <f>(Crypto[[#This Row],[Close]]/Crypto[[#This Row],[Peak Close]])-1</f>
        <v>-0.33235818397885175</v>
      </c>
      <c r="I1981">
        <v>2.2468400000000002</v>
      </c>
      <c r="J1981" s="1">
        <v>45811</v>
      </c>
      <c r="K1981" s="3">
        <v>-1.9818945719321301E-2</v>
      </c>
      <c r="L1981">
        <v>2010134792</v>
      </c>
      <c r="M1981" s="2" t="s">
        <v>16</v>
      </c>
    </row>
    <row r="1982" spans="1:13" x14ac:dyDescent="0.3">
      <c r="A1982" s="1">
        <v>45813</v>
      </c>
      <c r="B1982" s="2" t="s">
        <v>15</v>
      </c>
      <c r="C1982">
        <v>2.2023199999999998</v>
      </c>
      <c r="D1982">
        <v>2.2252900000000002</v>
      </c>
      <c r="E1982">
        <v>2.06473</v>
      </c>
      <c r="F1982">
        <v>2.0976300000000001</v>
      </c>
      <c r="G1982">
        <f>_xlfn.MAXIFS(Crypto[Close],Crypto[Name],Crypto[[#This Row],[Name]],Crypto[Date],"&lt;="&amp;Crypto[[#This Row],[Date]])</f>
        <v>3.2986399999999998</v>
      </c>
      <c r="H1982" s="3">
        <f>(Crypto[[#This Row],[Close]]/Crypto[[#This Row],[Peak Close]])-1</f>
        <v>-0.3640924744743288</v>
      </c>
      <c r="I1982">
        <v>2.2023100000000002</v>
      </c>
      <c r="J1982" s="1">
        <v>45812</v>
      </c>
      <c r="K1982" s="3">
        <v>-4.7531909676657699E-2</v>
      </c>
      <c r="L1982">
        <v>3283496875</v>
      </c>
      <c r="M1982" s="2" t="s">
        <v>16</v>
      </c>
    </row>
    <row r="1983" spans="1:13" x14ac:dyDescent="0.3">
      <c r="A1983" s="1">
        <v>45814</v>
      </c>
      <c r="B1983" s="2" t="s">
        <v>15</v>
      </c>
      <c r="C1983">
        <v>2.0976499999999998</v>
      </c>
      <c r="D1983">
        <v>2.18885</v>
      </c>
      <c r="E1983">
        <v>2.08867</v>
      </c>
      <c r="F1983">
        <v>2.1624099999999999</v>
      </c>
      <c r="G1983">
        <f>_xlfn.MAXIFS(Crypto[Close],Crypto[Name],Crypto[[#This Row],[Name]],Crypto[Date],"&lt;="&amp;Crypto[[#This Row],[Date]])</f>
        <v>3.2986399999999998</v>
      </c>
      <c r="H1983" s="3">
        <f>(Crypto[[#This Row],[Close]]/Crypto[[#This Row],[Peak Close]])-1</f>
        <v>-0.34445407804428485</v>
      </c>
      <c r="I1983">
        <v>2.0976300000000001</v>
      </c>
      <c r="J1983" s="1">
        <v>45813</v>
      </c>
      <c r="K1983" s="3">
        <v>3.0882472123300999E-2</v>
      </c>
      <c r="L1983">
        <v>2160226661</v>
      </c>
      <c r="M1983" s="2" t="s">
        <v>16</v>
      </c>
    </row>
    <row r="1984" spans="1:13" x14ac:dyDescent="0.3">
      <c r="A1984" s="1">
        <v>45815</v>
      </c>
      <c r="B1984" s="2" t="s">
        <v>15</v>
      </c>
      <c r="C1984">
        <v>2.1624099999999999</v>
      </c>
      <c r="D1984">
        <v>2.1910500000000002</v>
      </c>
      <c r="E1984">
        <v>2.1518199999999998</v>
      </c>
      <c r="F1984">
        <v>2.17855</v>
      </c>
      <c r="G1984">
        <f>_xlfn.MAXIFS(Crypto[Close],Crypto[Name],Crypto[[#This Row],[Name]],Crypto[Date],"&lt;="&amp;Crypto[[#This Row],[Date]])</f>
        <v>3.2986399999999998</v>
      </c>
      <c r="H1984" s="3">
        <f>(Crypto[[#This Row],[Close]]/Crypto[[#This Row],[Peak Close]])-1</f>
        <v>-0.33956115247495933</v>
      </c>
      <c r="I1984">
        <v>2.1624099999999999</v>
      </c>
      <c r="J1984" s="1">
        <v>45814</v>
      </c>
      <c r="K1984" s="3">
        <v>7.46389445109856E-3</v>
      </c>
      <c r="L1984">
        <v>1225984728</v>
      </c>
      <c r="M1984" s="2" t="s">
        <v>16</v>
      </c>
    </row>
    <row r="1985" spans="1:13" x14ac:dyDescent="0.3">
      <c r="A1985" s="1">
        <v>45816</v>
      </c>
      <c r="B1985" s="2" t="s">
        <v>15</v>
      </c>
      <c r="C1985">
        <v>2.1785399999999999</v>
      </c>
      <c r="D1985">
        <v>2.2942100000000001</v>
      </c>
      <c r="E1985">
        <v>2.1692100000000001</v>
      </c>
      <c r="F1985">
        <v>2.2654999999999998</v>
      </c>
      <c r="G1985">
        <f>_xlfn.MAXIFS(Crypto[Close],Crypto[Name],Crypto[[#This Row],[Name]],Crypto[Date],"&lt;="&amp;Crypto[[#This Row],[Date]])</f>
        <v>3.2986399999999998</v>
      </c>
      <c r="H1985" s="3">
        <f>(Crypto[[#This Row],[Close]]/Crypto[[#This Row],[Peak Close]])-1</f>
        <v>-0.3132018043799869</v>
      </c>
      <c r="I1985">
        <v>2.17855</v>
      </c>
      <c r="J1985" s="1">
        <v>45815</v>
      </c>
      <c r="K1985" s="3">
        <v>3.9911867985586699E-2</v>
      </c>
      <c r="L1985">
        <v>2668252038</v>
      </c>
      <c r="M1985" s="2" t="s">
        <v>16</v>
      </c>
    </row>
    <row r="1986" spans="1:13" x14ac:dyDescent="0.3">
      <c r="A1986" s="1">
        <v>45817</v>
      </c>
      <c r="B1986" s="2" t="s">
        <v>15</v>
      </c>
      <c r="C1986">
        <v>2.2654899999999998</v>
      </c>
      <c r="D1986">
        <v>2.3278300000000001</v>
      </c>
      <c r="E1986">
        <v>2.2254999999999998</v>
      </c>
      <c r="F1986">
        <v>2.32037</v>
      </c>
      <c r="G1986">
        <f>_xlfn.MAXIFS(Crypto[Close],Crypto[Name],Crypto[[#This Row],[Name]],Crypto[Date],"&lt;="&amp;Crypto[[#This Row],[Date]])</f>
        <v>3.2986399999999998</v>
      </c>
      <c r="H1986" s="3">
        <f>(Crypto[[#This Row],[Close]]/Crypto[[#This Row],[Peak Close]])-1</f>
        <v>-0.29656767637571846</v>
      </c>
      <c r="I1986">
        <v>2.2654999999999998</v>
      </c>
      <c r="J1986" s="1">
        <v>45816</v>
      </c>
      <c r="K1986" s="3">
        <v>2.4219819024498001E-2</v>
      </c>
      <c r="L1986">
        <v>2876210477</v>
      </c>
      <c r="M1986" s="2" t="s">
        <v>16</v>
      </c>
    </row>
    <row r="1987" spans="1:13" x14ac:dyDescent="0.3">
      <c r="A1987" s="1">
        <v>45818</v>
      </c>
      <c r="B1987" s="2" t="s">
        <v>15</v>
      </c>
      <c r="C1987">
        <v>2.32037</v>
      </c>
      <c r="D1987">
        <v>2.32483</v>
      </c>
      <c r="E1987">
        <v>2.2680099999999999</v>
      </c>
      <c r="F1987">
        <v>2.3052800000000002</v>
      </c>
      <c r="G1987">
        <f>_xlfn.MAXIFS(Crypto[Close],Crypto[Name],Crypto[[#This Row],[Name]],Crypto[Date],"&lt;="&amp;Crypto[[#This Row],[Date]])</f>
        <v>3.2986399999999998</v>
      </c>
      <c r="H1987" s="3">
        <f>(Crypto[[#This Row],[Close]]/Crypto[[#This Row],[Peak Close]])-1</f>
        <v>-0.30114228894332196</v>
      </c>
      <c r="I1987">
        <v>2.32037</v>
      </c>
      <c r="J1987" s="1">
        <v>45817</v>
      </c>
      <c r="K1987" s="3">
        <v>-6.5032731848799199E-3</v>
      </c>
      <c r="L1987">
        <v>2753743744</v>
      </c>
      <c r="M1987" s="2" t="s">
        <v>16</v>
      </c>
    </row>
    <row r="1988" spans="1:13" x14ac:dyDescent="0.3">
      <c r="A1988" s="1">
        <v>45819</v>
      </c>
      <c r="B1988" s="2" t="s">
        <v>15</v>
      </c>
      <c r="C1988">
        <v>2.30532</v>
      </c>
      <c r="D1988">
        <v>2.3354900000000001</v>
      </c>
      <c r="E1988">
        <v>2.2572199999999998</v>
      </c>
      <c r="F1988">
        <v>2.2708699999999999</v>
      </c>
      <c r="G1988">
        <f>_xlfn.MAXIFS(Crypto[Close],Crypto[Name],Crypto[[#This Row],[Name]],Crypto[Date],"&lt;="&amp;Crypto[[#This Row],[Date]])</f>
        <v>3.2986399999999998</v>
      </c>
      <c r="H1988" s="3">
        <f>(Crypto[[#This Row],[Close]]/Crypto[[#This Row],[Peak Close]])-1</f>
        <v>-0.31157386074260907</v>
      </c>
      <c r="I1988">
        <v>2.3052800000000002</v>
      </c>
      <c r="J1988" s="1">
        <v>45818</v>
      </c>
      <c r="K1988" s="3">
        <v>-1.4926603275957901E-2</v>
      </c>
      <c r="L1988">
        <v>3016488242</v>
      </c>
      <c r="M1988" s="2" t="s">
        <v>16</v>
      </c>
    </row>
    <row r="1989" spans="1:13" x14ac:dyDescent="0.3">
      <c r="A1989" s="1">
        <v>45820</v>
      </c>
      <c r="B1989" s="2" t="s">
        <v>15</v>
      </c>
      <c r="C1989">
        <v>2.2708699999999999</v>
      </c>
      <c r="D1989">
        <v>2.27122</v>
      </c>
      <c r="E1989">
        <v>2.17624</v>
      </c>
      <c r="F1989">
        <v>2.1947700000000001</v>
      </c>
      <c r="G1989">
        <f>_xlfn.MAXIFS(Crypto[Close],Crypto[Name],Crypto[[#This Row],[Name]],Crypto[Date],"&lt;="&amp;Crypto[[#This Row],[Date]])</f>
        <v>3.2986399999999998</v>
      </c>
      <c r="H1989" s="3">
        <f>(Crypto[[#This Row],[Close]]/Crypto[[#This Row],[Peak Close]])-1</f>
        <v>-0.334643974486455</v>
      </c>
      <c r="I1989">
        <v>2.2708699999999999</v>
      </c>
      <c r="J1989" s="1">
        <v>45819</v>
      </c>
      <c r="K1989" s="3">
        <v>-3.3511385504233999E-2</v>
      </c>
      <c r="L1989">
        <v>2658926570</v>
      </c>
      <c r="M1989" s="2" t="s">
        <v>16</v>
      </c>
    </row>
    <row r="1990" spans="1:13" x14ac:dyDescent="0.3">
      <c r="A1990" s="1">
        <v>45821</v>
      </c>
      <c r="B1990" s="2" t="s">
        <v>15</v>
      </c>
      <c r="C1990">
        <v>2.1947299999999998</v>
      </c>
      <c r="D1990">
        <v>2.1947399999999999</v>
      </c>
      <c r="E1990">
        <v>2.0890599999999999</v>
      </c>
      <c r="F1990">
        <v>2.1490300000000002</v>
      </c>
      <c r="G1990">
        <f>_xlfn.MAXIFS(Crypto[Close],Crypto[Name],Crypto[[#This Row],[Name]],Crypto[Date],"&lt;="&amp;Crypto[[#This Row],[Date]])</f>
        <v>3.2986399999999998</v>
      </c>
      <c r="H1990" s="3">
        <f>(Crypto[[#This Row],[Close]]/Crypto[[#This Row],[Peak Close]])-1</f>
        <v>-0.34851029515194132</v>
      </c>
      <c r="I1990">
        <v>2.1947700000000001</v>
      </c>
      <c r="J1990" s="1">
        <v>45820</v>
      </c>
      <c r="K1990" s="3">
        <v>-2.0840452530333401E-2</v>
      </c>
      <c r="L1990">
        <v>4448865758</v>
      </c>
      <c r="M1990" s="2" t="s">
        <v>16</v>
      </c>
    </row>
    <row r="1991" spans="1:13" x14ac:dyDescent="0.3">
      <c r="A1991" s="1">
        <v>45822</v>
      </c>
      <c r="B1991" s="2" t="s">
        <v>15</v>
      </c>
      <c r="C1991">
        <v>2.1490300000000002</v>
      </c>
      <c r="D1991">
        <v>2.1783899999999998</v>
      </c>
      <c r="E1991">
        <v>2.1139399999999999</v>
      </c>
      <c r="F1991">
        <v>2.14141</v>
      </c>
      <c r="G1991">
        <f>_xlfn.MAXIFS(Crypto[Close],Crypto[Name],Crypto[[#This Row],[Name]],Crypto[Date],"&lt;="&amp;Crypto[[#This Row],[Date]])</f>
        <v>3.2986399999999998</v>
      </c>
      <c r="H1991" s="3">
        <f>(Crypto[[#This Row],[Close]]/Crypto[[#This Row],[Peak Close]])-1</f>
        <v>-0.35082033807872326</v>
      </c>
      <c r="I1991">
        <v>2.1490300000000002</v>
      </c>
      <c r="J1991" s="1">
        <v>45821</v>
      </c>
      <c r="K1991" s="3">
        <v>-3.5457857731163302E-3</v>
      </c>
      <c r="L1991">
        <v>2001104713</v>
      </c>
      <c r="M1991" s="2" t="s">
        <v>16</v>
      </c>
    </row>
    <row r="1992" spans="1:13" x14ac:dyDescent="0.3">
      <c r="A1992" s="1">
        <v>45823</v>
      </c>
      <c r="B1992" s="2" t="s">
        <v>15</v>
      </c>
      <c r="C1992">
        <v>2.1414</v>
      </c>
      <c r="D1992">
        <v>2.1749700000000001</v>
      </c>
      <c r="E1992">
        <v>2.1402299999999999</v>
      </c>
      <c r="F1992">
        <v>2.1671800000000001</v>
      </c>
      <c r="G1992">
        <f>_xlfn.MAXIFS(Crypto[Close],Crypto[Name],Crypto[[#This Row],[Name]],Crypto[Date],"&lt;="&amp;Crypto[[#This Row],[Date]])</f>
        <v>3.2986399999999998</v>
      </c>
      <c r="H1992" s="3">
        <f>(Crypto[[#This Row],[Close]]/Crypto[[#This Row],[Peak Close]])-1</f>
        <v>-0.34300802755074811</v>
      </c>
      <c r="I1992">
        <v>2.14141</v>
      </c>
      <c r="J1992" s="1">
        <v>45822</v>
      </c>
      <c r="K1992" s="3">
        <v>1.20341270471325E-2</v>
      </c>
      <c r="L1992">
        <v>1527791412</v>
      </c>
      <c r="M1992" s="2" t="s">
        <v>16</v>
      </c>
    </row>
    <row r="1993" spans="1:13" x14ac:dyDescent="0.3">
      <c r="A1993" s="1">
        <v>45824</v>
      </c>
      <c r="B1993" s="2" t="s">
        <v>15</v>
      </c>
      <c r="C1993">
        <v>2.1671800000000001</v>
      </c>
      <c r="D1993">
        <v>2.33568</v>
      </c>
      <c r="E1993">
        <v>2.15415</v>
      </c>
      <c r="F1993">
        <v>2.2417699999999998</v>
      </c>
      <c r="G1993">
        <f>_xlfn.MAXIFS(Crypto[Close],Crypto[Name],Crypto[[#This Row],[Name]],Crypto[Date],"&lt;="&amp;Crypto[[#This Row],[Date]])</f>
        <v>3.2986399999999998</v>
      </c>
      <c r="H1993" s="3">
        <f>(Crypto[[#This Row],[Close]]/Crypto[[#This Row],[Peak Close]])-1</f>
        <v>-0.32039567821890236</v>
      </c>
      <c r="I1993">
        <v>2.1671800000000001</v>
      </c>
      <c r="J1993" s="1">
        <v>45823</v>
      </c>
      <c r="K1993" s="3">
        <v>3.4417999427827702E-2</v>
      </c>
      <c r="L1993">
        <v>4685110426</v>
      </c>
      <c r="M1993" s="2" t="s">
        <v>16</v>
      </c>
    </row>
    <row r="1994" spans="1:13" x14ac:dyDescent="0.3">
      <c r="A1994" s="1">
        <v>45825</v>
      </c>
      <c r="B1994" s="2" t="s">
        <v>15</v>
      </c>
      <c r="C1994">
        <v>2.2416900000000002</v>
      </c>
      <c r="D1994">
        <v>2.2549800000000002</v>
      </c>
      <c r="E1994">
        <v>2.1460599999999999</v>
      </c>
      <c r="F1994">
        <v>2.1607099999999999</v>
      </c>
      <c r="G1994">
        <f>_xlfn.MAXIFS(Crypto[Close],Crypto[Name],Crypto[[#This Row],[Name]],Crypto[Date],"&lt;="&amp;Crypto[[#This Row],[Date]])</f>
        <v>3.2986399999999998</v>
      </c>
      <c r="H1994" s="3">
        <f>(Crypto[[#This Row],[Close]]/Crypto[[#This Row],[Peak Close]])-1</f>
        <v>-0.34496944195183465</v>
      </c>
      <c r="I1994">
        <v>2.2417699999999998</v>
      </c>
      <c r="J1994" s="1">
        <v>45824</v>
      </c>
      <c r="K1994" s="3">
        <v>-3.6158927989936501E-2</v>
      </c>
      <c r="L1994">
        <v>3965189619</v>
      </c>
      <c r="M1994" s="2" t="s">
        <v>16</v>
      </c>
    </row>
    <row r="1995" spans="1:13" x14ac:dyDescent="0.3">
      <c r="A1995" s="1">
        <v>45826</v>
      </c>
      <c r="B1995" s="2" t="s">
        <v>15</v>
      </c>
      <c r="C1995">
        <v>2.1607099999999999</v>
      </c>
      <c r="D1995">
        <v>2.1802600000000001</v>
      </c>
      <c r="E1995">
        <v>2.1209699999999998</v>
      </c>
      <c r="F1995">
        <v>2.16967</v>
      </c>
      <c r="G1995">
        <f>_xlfn.MAXIFS(Crypto[Close],Crypto[Name],Crypto[[#This Row],[Name]],Crypto[Date],"&lt;="&amp;Crypto[[#This Row],[Date]])</f>
        <v>3.2986399999999998</v>
      </c>
      <c r="H1995" s="3">
        <f>(Crypto[[#This Row],[Close]]/Crypto[[#This Row],[Peak Close]])-1</f>
        <v>-0.34225317100380759</v>
      </c>
      <c r="I1995">
        <v>2.1607099999999999</v>
      </c>
      <c r="J1995" s="1">
        <v>45825</v>
      </c>
      <c r="K1995" s="3">
        <v>4.1467850845324401E-3</v>
      </c>
      <c r="L1995">
        <v>2800813549</v>
      </c>
      <c r="M1995" s="2" t="s">
        <v>16</v>
      </c>
    </row>
    <row r="1996" spans="1:13" x14ac:dyDescent="0.3">
      <c r="A1996" s="1">
        <v>45827</v>
      </c>
      <c r="B1996" s="2" t="s">
        <v>15</v>
      </c>
      <c r="C1996">
        <v>2.1696800000000001</v>
      </c>
      <c r="D1996">
        <v>2.18208</v>
      </c>
      <c r="E1996">
        <v>2.1463999999999999</v>
      </c>
      <c r="F1996">
        <v>2.16594</v>
      </c>
      <c r="G1996">
        <f>_xlfn.MAXIFS(Crypto[Close],Crypto[Name],Crypto[[#This Row],[Name]],Crypto[Date],"&lt;="&amp;Crypto[[#This Row],[Date]])</f>
        <v>3.2986399999999998</v>
      </c>
      <c r="H1996" s="3">
        <f>(Crypto[[#This Row],[Close]]/Crypto[[#This Row],[Peak Close]])-1</f>
        <v>-0.34338394004801975</v>
      </c>
      <c r="I1996">
        <v>2.16967</v>
      </c>
      <c r="J1996" s="1">
        <v>45826</v>
      </c>
      <c r="K1996" s="3">
        <v>-1.7191554476026401E-3</v>
      </c>
      <c r="L1996">
        <v>1758762458</v>
      </c>
      <c r="M1996" s="2" t="s">
        <v>16</v>
      </c>
    </row>
    <row r="1997" spans="1:13" x14ac:dyDescent="0.3">
      <c r="A1997" s="1">
        <v>45828</v>
      </c>
      <c r="B1997" s="2" t="s">
        <v>15</v>
      </c>
      <c r="C1997">
        <v>2.16594</v>
      </c>
      <c r="D1997">
        <v>2.17842</v>
      </c>
      <c r="E1997">
        <v>2.08928</v>
      </c>
      <c r="F1997">
        <v>2.1203500000000002</v>
      </c>
      <c r="G1997">
        <f>_xlfn.MAXIFS(Crypto[Close],Crypto[Name],Crypto[[#This Row],[Name]],Crypto[Date],"&lt;="&amp;Crypto[[#This Row],[Date]])</f>
        <v>3.2986399999999998</v>
      </c>
      <c r="H1997" s="3">
        <f>(Crypto[[#This Row],[Close]]/Crypto[[#This Row],[Peak Close]])-1</f>
        <v>-0.3572047874275458</v>
      </c>
      <c r="I1997">
        <v>2.16594</v>
      </c>
      <c r="J1997" s="1">
        <v>45827</v>
      </c>
      <c r="K1997" s="3">
        <v>-2.10485978374285E-2</v>
      </c>
      <c r="L1997">
        <v>2626675896</v>
      </c>
      <c r="M1997" s="2" t="s">
        <v>16</v>
      </c>
    </row>
    <row r="1998" spans="1:13" x14ac:dyDescent="0.3">
      <c r="A1998" s="1">
        <v>45829</v>
      </c>
      <c r="B1998" s="2" t="s">
        <v>15</v>
      </c>
      <c r="C1998">
        <v>2.1203500000000002</v>
      </c>
      <c r="D1998">
        <v>2.14398</v>
      </c>
      <c r="E1998">
        <v>2.02677</v>
      </c>
      <c r="F1998">
        <v>2.0575600000000001</v>
      </c>
      <c r="G1998">
        <f>_xlfn.MAXIFS(Crypto[Close],Crypto[Name],Crypto[[#This Row],[Name]],Crypto[Date],"&lt;="&amp;Crypto[[#This Row],[Date]])</f>
        <v>3.2986399999999998</v>
      </c>
      <c r="H1998" s="3">
        <f>(Crypto[[#This Row],[Close]]/Crypto[[#This Row],[Peak Close]])-1</f>
        <v>-0.37623990493051673</v>
      </c>
      <c r="I1998">
        <v>2.1203500000000002</v>
      </c>
      <c r="J1998" s="1">
        <v>45828</v>
      </c>
      <c r="K1998" s="3">
        <v>-2.9613035583748001E-2</v>
      </c>
      <c r="L1998">
        <v>2455229797</v>
      </c>
      <c r="M1998" s="2" t="s">
        <v>16</v>
      </c>
    </row>
    <row r="1999" spans="1:13" x14ac:dyDescent="0.3">
      <c r="A1999" s="1">
        <v>45830</v>
      </c>
      <c r="B1999" s="2" t="s">
        <v>15</v>
      </c>
      <c r="C1999">
        <v>2.05775</v>
      </c>
      <c r="D1999">
        <v>2.0883600000000002</v>
      </c>
      <c r="E1999">
        <v>1.9131499999999999</v>
      </c>
      <c r="F1999">
        <v>2.01403</v>
      </c>
      <c r="G1999">
        <f>_xlfn.MAXIFS(Crypto[Close],Crypto[Name],Crypto[[#This Row],[Name]],Crypto[Date],"&lt;="&amp;Crypto[[#This Row],[Date]])</f>
        <v>3.2986399999999998</v>
      </c>
      <c r="H1999" s="3">
        <f>(Crypto[[#This Row],[Close]]/Crypto[[#This Row],[Peak Close]])-1</f>
        <v>-0.38943625251618841</v>
      </c>
      <c r="I1999">
        <v>2.0575600000000001</v>
      </c>
      <c r="J1999" s="1">
        <v>45829</v>
      </c>
      <c r="K1999" s="3">
        <v>-2.11561266743133E-2</v>
      </c>
      <c r="L1999">
        <v>5108058032</v>
      </c>
      <c r="M1999" s="2" t="s">
        <v>16</v>
      </c>
    </row>
    <row r="2000" spans="1:13" x14ac:dyDescent="0.3">
      <c r="A2000" s="1">
        <v>45831</v>
      </c>
      <c r="B2000" s="2" t="s">
        <v>15</v>
      </c>
      <c r="C2000">
        <v>2.0141</v>
      </c>
      <c r="D2000">
        <v>2.1685599999999998</v>
      </c>
      <c r="E2000">
        <v>1.9673400000000001</v>
      </c>
      <c r="F2000">
        <v>2.1663100000000002</v>
      </c>
      <c r="G2000">
        <f>_xlfn.MAXIFS(Crypto[Close],Crypto[Name],Crypto[[#This Row],[Name]],Crypto[Date],"&lt;="&amp;Crypto[[#This Row],[Date]])</f>
        <v>3.2986399999999998</v>
      </c>
      <c r="H2000" s="3">
        <f>(Crypto[[#This Row],[Close]]/Crypto[[#This Row],[Peak Close]])-1</f>
        <v>-0.34327177260931774</v>
      </c>
      <c r="I2000">
        <v>2.01403</v>
      </c>
      <c r="J2000" s="1">
        <v>45830</v>
      </c>
      <c r="K2000" s="3">
        <v>7.5609598665362598E-2</v>
      </c>
      <c r="L2000">
        <v>4568812691</v>
      </c>
      <c r="M2000" s="2" t="s">
        <v>16</v>
      </c>
    </row>
    <row r="2001" spans="1:13" x14ac:dyDescent="0.3">
      <c r="A2001" s="1">
        <v>45832</v>
      </c>
      <c r="B2001" s="2" t="s">
        <v>15</v>
      </c>
      <c r="C2001">
        <v>2.1663100000000002</v>
      </c>
      <c r="D2001">
        <v>2.2160299999999999</v>
      </c>
      <c r="E2001">
        <v>2.1343399999999999</v>
      </c>
      <c r="F2001">
        <v>2.19082</v>
      </c>
      <c r="G2001">
        <f>_xlfn.MAXIFS(Crypto[Close],Crypto[Name],Crypto[[#This Row],[Name]],Crypto[Date],"&lt;="&amp;Crypto[[#This Row],[Date]])</f>
        <v>3.2986399999999998</v>
      </c>
      <c r="H2001" s="3">
        <f>(Crypto[[#This Row],[Close]]/Crypto[[#This Row],[Peak Close]])-1</f>
        <v>-0.33584143768340891</v>
      </c>
      <c r="I2001">
        <v>2.1663100000000002</v>
      </c>
      <c r="J2001" s="1">
        <v>45831</v>
      </c>
      <c r="K2001" s="3">
        <v>1.13141701787832E-2</v>
      </c>
      <c r="L2001">
        <v>3574001224</v>
      </c>
      <c r="M2001" s="2" t="s">
        <v>16</v>
      </c>
    </row>
    <row r="2002" spans="1:13" x14ac:dyDescent="0.3">
      <c r="A2002" s="1">
        <v>45833</v>
      </c>
      <c r="B2002" s="2" t="s">
        <v>15</v>
      </c>
      <c r="C2002">
        <v>2.1908099999999999</v>
      </c>
      <c r="D2002">
        <v>2.2256399999999998</v>
      </c>
      <c r="E2002">
        <v>2.17266</v>
      </c>
      <c r="F2002">
        <v>2.18587</v>
      </c>
      <c r="G2002">
        <f>_xlfn.MAXIFS(Crypto[Close],Crypto[Name],Crypto[[#This Row],[Name]],Crypto[Date],"&lt;="&amp;Crypto[[#This Row],[Date]])</f>
        <v>3.2986399999999998</v>
      </c>
      <c r="H2002" s="3">
        <f>(Crypto[[#This Row],[Close]]/Crypto[[#This Row],[Peak Close]])-1</f>
        <v>-0.33734205612009793</v>
      </c>
      <c r="I2002">
        <v>2.19082</v>
      </c>
      <c r="J2002" s="1">
        <v>45832</v>
      </c>
      <c r="K2002" s="3">
        <v>-2.2594279767393101E-3</v>
      </c>
      <c r="L2002">
        <v>2632853074</v>
      </c>
      <c r="M2002" s="2" t="s">
        <v>16</v>
      </c>
    </row>
    <row r="2003" spans="1:13" x14ac:dyDescent="0.3">
      <c r="A2003" s="1">
        <v>45834</v>
      </c>
      <c r="B2003" s="2" t="s">
        <v>15</v>
      </c>
      <c r="C2003">
        <v>2.1858599999999999</v>
      </c>
      <c r="D2003">
        <v>2.2118199999999999</v>
      </c>
      <c r="E2003">
        <v>2.1003400000000001</v>
      </c>
      <c r="F2003">
        <v>2.1058500000000002</v>
      </c>
      <c r="G2003">
        <f>_xlfn.MAXIFS(Crypto[Close],Crypto[Name],Crypto[[#This Row],[Name]],Crypto[Date],"&lt;="&amp;Crypto[[#This Row],[Date]])</f>
        <v>3.2986399999999998</v>
      </c>
      <c r="H2003" s="3">
        <f>(Crypto[[#This Row],[Close]]/Crypto[[#This Row],[Peak Close]])-1</f>
        <v>-0.36160053840370565</v>
      </c>
      <c r="I2003">
        <v>2.18587</v>
      </c>
      <c r="J2003" s="1">
        <v>45833</v>
      </c>
      <c r="K2003" s="3">
        <v>-3.6607849506146199E-2</v>
      </c>
      <c r="L2003">
        <v>3042625706</v>
      </c>
      <c r="M2003" s="2" t="s">
        <v>16</v>
      </c>
    </row>
    <row r="2004" spans="1:13" x14ac:dyDescent="0.3">
      <c r="A2004" s="1">
        <v>45835</v>
      </c>
      <c r="B2004" s="2" t="s">
        <v>15</v>
      </c>
      <c r="C2004">
        <v>2.1058500000000002</v>
      </c>
      <c r="D2004">
        <v>2.1504599999999998</v>
      </c>
      <c r="E2004">
        <v>2.0720700000000001</v>
      </c>
      <c r="F2004">
        <v>2.14262</v>
      </c>
      <c r="G2004">
        <f>_xlfn.MAXIFS(Crypto[Close],Crypto[Name],Crypto[[#This Row],[Name]],Crypto[Date],"&lt;="&amp;Crypto[[#This Row],[Date]])</f>
        <v>3.2986399999999998</v>
      </c>
      <c r="H2004" s="3">
        <f>(Crypto[[#This Row],[Close]]/Crypto[[#This Row],[Peak Close]])-1</f>
        <v>-0.35045352023864373</v>
      </c>
      <c r="I2004">
        <v>2.1058500000000002</v>
      </c>
      <c r="J2004" s="1">
        <v>45834</v>
      </c>
      <c r="K2004" s="3">
        <v>1.7460882778925199E-2</v>
      </c>
      <c r="L2004">
        <v>3072597387</v>
      </c>
      <c r="M2004" s="2" t="s">
        <v>16</v>
      </c>
    </row>
    <row r="2005" spans="1:13" x14ac:dyDescent="0.3">
      <c r="A2005" s="1">
        <v>45836</v>
      </c>
      <c r="B2005" s="2" t="s">
        <v>15</v>
      </c>
      <c r="C2005">
        <v>2.14263</v>
      </c>
      <c r="D2005">
        <v>2.2066599999999998</v>
      </c>
      <c r="E2005">
        <v>2.1364700000000001</v>
      </c>
      <c r="F2005">
        <v>2.1860400000000002</v>
      </c>
      <c r="G2005">
        <f>_xlfn.MAXIFS(Crypto[Close],Crypto[Name],Crypto[[#This Row],[Name]],Crypto[Date],"&lt;="&amp;Crypto[[#This Row],[Date]])</f>
        <v>3.2986399999999998</v>
      </c>
      <c r="H2005" s="3">
        <f>(Crypto[[#This Row],[Close]]/Crypto[[#This Row],[Peak Close]])-1</f>
        <v>-0.33729051972934287</v>
      </c>
      <c r="I2005">
        <v>2.14262</v>
      </c>
      <c r="J2005" s="1">
        <v>45835</v>
      </c>
      <c r="K2005" s="3">
        <v>2.0264909316631202E-2</v>
      </c>
      <c r="L2005">
        <v>2047303025</v>
      </c>
      <c r="M2005" s="2" t="s">
        <v>16</v>
      </c>
    </row>
    <row r="2006" spans="1:13" x14ac:dyDescent="0.3">
      <c r="A2006" s="1">
        <v>45837</v>
      </c>
      <c r="B2006" s="2" t="s">
        <v>15</v>
      </c>
      <c r="C2006">
        <v>2.1860400000000002</v>
      </c>
      <c r="D2006">
        <v>2.2182400000000002</v>
      </c>
      <c r="E2006">
        <v>2.1789100000000001</v>
      </c>
      <c r="F2006">
        <v>2.2070699999999999</v>
      </c>
      <c r="G2006">
        <f>_xlfn.MAXIFS(Crypto[Close],Crypto[Name],Crypto[[#This Row],[Name]],Crypto[Date],"&lt;="&amp;Crypto[[#This Row],[Date]])</f>
        <v>3.2986399999999998</v>
      </c>
      <c r="H2006" s="3">
        <f>(Crypto[[#This Row],[Close]]/Crypto[[#This Row],[Peak Close]])-1</f>
        <v>-0.33091516503771257</v>
      </c>
      <c r="I2006">
        <v>2.1860400000000002</v>
      </c>
      <c r="J2006" s="1">
        <v>45836</v>
      </c>
      <c r="K2006" s="3">
        <v>9.62013503869996E-3</v>
      </c>
      <c r="L2006">
        <v>1525772808</v>
      </c>
      <c r="M2006" s="2" t="s">
        <v>16</v>
      </c>
    </row>
    <row r="2007" spans="1:13" x14ac:dyDescent="0.3">
      <c r="A2007" s="1">
        <v>45838</v>
      </c>
      <c r="B2007" s="2" t="s">
        <v>15</v>
      </c>
      <c r="C2007">
        <v>2.2070699999999999</v>
      </c>
      <c r="D2007">
        <v>2.32056</v>
      </c>
      <c r="E2007">
        <v>2.1717300000000002</v>
      </c>
      <c r="F2007">
        <v>2.23875</v>
      </c>
      <c r="G2007">
        <f>_xlfn.MAXIFS(Crypto[Close],Crypto[Name],Crypto[[#This Row],[Name]],Crypto[Date],"&lt;="&amp;Crypto[[#This Row],[Date]])</f>
        <v>3.2986399999999998</v>
      </c>
      <c r="H2007" s="3">
        <f>(Crypto[[#This Row],[Close]]/Crypto[[#This Row],[Peak Close]])-1</f>
        <v>-0.3213112070429025</v>
      </c>
      <c r="I2007">
        <v>2.2070699999999999</v>
      </c>
      <c r="J2007" s="1">
        <v>45837</v>
      </c>
      <c r="K2007" s="3">
        <v>1.4353871875382399E-2</v>
      </c>
      <c r="L2007">
        <v>3788425438</v>
      </c>
      <c r="M2007" s="2" t="s">
        <v>16</v>
      </c>
    </row>
    <row r="2008" spans="1:13" x14ac:dyDescent="0.3">
      <c r="A2008" s="1">
        <v>45839</v>
      </c>
      <c r="B2008" s="2" t="s">
        <v>15</v>
      </c>
      <c r="C2008">
        <v>2.2387100000000002</v>
      </c>
      <c r="D2008">
        <v>2.2523200000000001</v>
      </c>
      <c r="E2008">
        <v>2.1514199999999999</v>
      </c>
      <c r="F2008">
        <v>2.1721900000000001</v>
      </c>
      <c r="G2008">
        <f>_xlfn.MAXIFS(Crypto[Close],Crypto[Name],Crypto[[#This Row],[Name]],Crypto[Date],"&lt;="&amp;Crypto[[#This Row],[Date]])</f>
        <v>3.2986399999999998</v>
      </c>
      <c r="H2008" s="3">
        <f>(Crypto[[#This Row],[Close]]/Crypto[[#This Row],[Peak Close]])-1</f>
        <v>-0.34148921979967495</v>
      </c>
      <c r="I2008">
        <v>2.23875</v>
      </c>
      <c r="J2008" s="1">
        <v>45838</v>
      </c>
      <c r="K2008" s="3">
        <v>-2.97308766052484E-2</v>
      </c>
      <c r="L2008">
        <v>3188065836</v>
      </c>
      <c r="M2008" s="2" t="s">
        <v>16</v>
      </c>
    </row>
    <row r="2009" spans="1:13" x14ac:dyDescent="0.3">
      <c r="A2009" s="1">
        <v>45840</v>
      </c>
      <c r="B2009" s="2" t="s">
        <v>15</v>
      </c>
      <c r="C2009">
        <v>2.17218</v>
      </c>
      <c r="D2009">
        <v>2.2791700000000001</v>
      </c>
      <c r="E2009">
        <v>2.1626400000000001</v>
      </c>
      <c r="F2009">
        <v>2.2337699999999998</v>
      </c>
      <c r="G2009">
        <f>_xlfn.MAXIFS(Crypto[Close],Crypto[Name],Crypto[[#This Row],[Name]],Crypto[Date],"&lt;="&amp;Crypto[[#This Row],[Date]])</f>
        <v>3.2986399999999998</v>
      </c>
      <c r="H2009" s="3">
        <f>(Crypto[[#This Row],[Close]]/Crypto[[#This Row],[Peak Close]])-1</f>
        <v>-0.32282092013678365</v>
      </c>
      <c r="I2009">
        <v>2.1721900000000001</v>
      </c>
      <c r="J2009" s="1">
        <v>45839</v>
      </c>
      <c r="K2009" s="3">
        <v>2.8349269631109501E-2</v>
      </c>
      <c r="L2009">
        <v>3852349881</v>
      </c>
      <c r="M2009" s="2" t="s">
        <v>16</v>
      </c>
    </row>
    <row r="2010" spans="1:13" x14ac:dyDescent="0.3">
      <c r="A2010" s="1">
        <v>45841</v>
      </c>
      <c r="B2010" s="2" t="s">
        <v>15</v>
      </c>
      <c r="C2010">
        <v>2.2337799999999999</v>
      </c>
      <c r="D2010">
        <v>2.30844</v>
      </c>
      <c r="E2010">
        <v>2.22919</v>
      </c>
      <c r="F2010">
        <v>2.25766</v>
      </c>
      <c r="G2010">
        <f>_xlfn.MAXIFS(Crypto[Close],Crypto[Name],Crypto[[#This Row],[Name]],Crypto[Date],"&lt;="&amp;Crypto[[#This Row],[Date]])</f>
        <v>3.2986399999999998</v>
      </c>
      <c r="H2010" s="3">
        <f>(Crypto[[#This Row],[Close]]/Crypto[[#This Row],[Peak Close]])-1</f>
        <v>-0.31557854145951059</v>
      </c>
      <c r="I2010">
        <v>2.2337699999999998</v>
      </c>
      <c r="J2010" s="1">
        <v>45840</v>
      </c>
      <c r="K2010" s="3">
        <v>1.06949238283262E-2</v>
      </c>
      <c r="L2010">
        <v>3715918884</v>
      </c>
      <c r="M2010" s="2" t="s">
        <v>16</v>
      </c>
    </row>
    <row r="2011" spans="1:13" x14ac:dyDescent="0.3">
      <c r="A2011" s="1">
        <v>45842</v>
      </c>
      <c r="B2011" s="2" t="s">
        <v>15</v>
      </c>
      <c r="C2011">
        <v>2.2576299999999998</v>
      </c>
      <c r="D2011">
        <v>2.2671800000000002</v>
      </c>
      <c r="E2011">
        <v>2.20051</v>
      </c>
      <c r="F2011">
        <v>2.2211400000000001</v>
      </c>
      <c r="G2011">
        <f>_xlfn.MAXIFS(Crypto[Close],Crypto[Name],Crypto[[#This Row],[Name]],Crypto[Date],"&lt;="&amp;Crypto[[#This Row],[Date]])</f>
        <v>3.2986399999999998</v>
      </c>
      <c r="H2011" s="3">
        <f>(Crypto[[#This Row],[Close]]/Crypto[[#This Row],[Peak Close]])-1</f>
        <v>-0.32664977081463864</v>
      </c>
      <c r="I2011">
        <v>2.25766</v>
      </c>
      <c r="J2011" s="1">
        <v>45841</v>
      </c>
      <c r="K2011" s="3">
        <v>-1.61760406792874E-2</v>
      </c>
      <c r="L2011">
        <v>2085461653</v>
      </c>
      <c r="M2011" s="2" t="s">
        <v>16</v>
      </c>
    </row>
    <row r="2012" spans="1:13" x14ac:dyDescent="0.3">
      <c r="A2012" s="1">
        <v>45843</v>
      </c>
      <c r="B2012" s="2" t="s">
        <v>15</v>
      </c>
      <c r="C2012">
        <v>2.2211400000000001</v>
      </c>
      <c r="D2012">
        <v>2.23346</v>
      </c>
      <c r="E2012">
        <v>2.20363</v>
      </c>
      <c r="F2012">
        <v>2.2185199999999998</v>
      </c>
      <c r="G2012">
        <f>_xlfn.MAXIFS(Crypto[Close],Crypto[Name],Crypto[[#This Row],[Name]],Crypto[Date],"&lt;="&amp;Crypto[[#This Row],[Date]])</f>
        <v>3.2986399999999998</v>
      </c>
      <c r="H2012" s="3">
        <f>(Crypto[[#This Row],[Close]]/Crypto[[#This Row],[Peak Close]])-1</f>
        <v>-0.32744403754274487</v>
      </c>
      <c r="I2012">
        <v>2.2211400000000001</v>
      </c>
      <c r="J2012" s="1">
        <v>45842</v>
      </c>
      <c r="K2012" s="3">
        <v>-1.1795744527586199E-3</v>
      </c>
      <c r="L2012">
        <v>1176056923</v>
      </c>
      <c r="M2012" s="2" t="s">
        <v>16</v>
      </c>
    </row>
    <row r="2013" spans="1:13" x14ac:dyDescent="0.3">
      <c r="A2013" s="1">
        <v>45844</v>
      </c>
      <c r="B2013" s="2" t="s">
        <v>15</v>
      </c>
      <c r="C2013">
        <v>2.2185199999999998</v>
      </c>
      <c r="D2013">
        <v>2.28688</v>
      </c>
      <c r="E2013">
        <v>2.2115399999999998</v>
      </c>
      <c r="F2013">
        <v>2.2725399999999998</v>
      </c>
      <c r="G2013">
        <f>_xlfn.MAXIFS(Crypto[Close],Crypto[Name],Crypto[[#This Row],[Name]],Crypto[Date],"&lt;="&amp;Crypto[[#This Row],[Date]])</f>
        <v>3.2986399999999998</v>
      </c>
      <c r="H2013" s="3">
        <f>(Crypto[[#This Row],[Close]]/Crypto[[#This Row],[Peak Close]])-1</f>
        <v>-0.31106759149225138</v>
      </c>
      <c r="I2013">
        <v>2.2185199999999998</v>
      </c>
      <c r="J2013" s="1">
        <v>45843</v>
      </c>
      <c r="K2013" s="3">
        <v>2.4349566377585001E-2</v>
      </c>
      <c r="L2013">
        <v>2494482032</v>
      </c>
      <c r="M2013" s="2" t="s">
        <v>16</v>
      </c>
    </row>
    <row r="2014" spans="1:13" x14ac:dyDescent="0.3">
      <c r="A2014" s="1">
        <v>45845</v>
      </c>
      <c r="B2014" s="2" t="s">
        <v>15</v>
      </c>
      <c r="C2014">
        <v>2.2725399999999998</v>
      </c>
      <c r="D2014">
        <v>2.3485200000000002</v>
      </c>
      <c r="E2014">
        <v>2.2579699999999998</v>
      </c>
      <c r="F2014">
        <v>2.2740800000000001</v>
      </c>
      <c r="G2014">
        <f>_xlfn.MAXIFS(Crypto[Close],Crypto[Name],Crypto[[#This Row],[Name]],Crypto[Date],"&lt;="&amp;Crypto[[#This Row],[Date]])</f>
        <v>3.2986399999999998</v>
      </c>
      <c r="H2014" s="3">
        <f>(Crypto[[#This Row],[Close]]/Crypto[[#This Row],[Peak Close]])-1</f>
        <v>-0.31060073242305908</v>
      </c>
      <c r="I2014">
        <v>2.2725399999999998</v>
      </c>
      <c r="J2014" s="1">
        <v>45844</v>
      </c>
      <c r="K2014" s="3">
        <v>6.7765583884126098E-4</v>
      </c>
      <c r="L2014">
        <v>4447363877</v>
      </c>
      <c r="M2014" s="2" t="s">
        <v>16</v>
      </c>
    </row>
    <row r="2015" spans="1:13" x14ac:dyDescent="0.3">
      <c r="A2015" s="1">
        <v>45846</v>
      </c>
      <c r="B2015" s="2" t="s">
        <v>15</v>
      </c>
      <c r="C2015">
        <v>2.2740800000000001</v>
      </c>
      <c r="D2015">
        <v>2.3197100000000002</v>
      </c>
      <c r="E2015">
        <v>2.25007</v>
      </c>
      <c r="F2015">
        <v>2.3112300000000001</v>
      </c>
      <c r="G2015">
        <f>_xlfn.MAXIFS(Crypto[Close],Crypto[Name],Crypto[[#This Row],[Name]],Crypto[Date],"&lt;="&amp;Crypto[[#This Row],[Date]])</f>
        <v>3.2986399999999998</v>
      </c>
      <c r="H2015" s="3">
        <f>(Crypto[[#This Row],[Close]]/Crypto[[#This Row],[Peak Close]])-1</f>
        <v>-0.29933851526689781</v>
      </c>
      <c r="I2015">
        <v>2.2740800000000001</v>
      </c>
      <c r="J2015" s="1">
        <v>45845</v>
      </c>
      <c r="K2015" s="3">
        <v>1.6336276648139001E-2</v>
      </c>
      <c r="L2015">
        <v>3096977787</v>
      </c>
      <c r="M2015" s="2" t="s">
        <v>16</v>
      </c>
    </row>
    <row r="2016" spans="1:13" x14ac:dyDescent="0.3">
      <c r="A2016" s="1">
        <v>45847</v>
      </c>
      <c r="B2016" s="2" t="s">
        <v>15</v>
      </c>
      <c r="C2016">
        <v>2.3112300000000001</v>
      </c>
      <c r="D2016">
        <v>2.4232499999999999</v>
      </c>
      <c r="E2016">
        <v>2.2990699999999999</v>
      </c>
      <c r="F2016">
        <v>2.40564</v>
      </c>
      <c r="G2016">
        <f>_xlfn.MAXIFS(Crypto[Close],Crypto[Name],Crypto[[#This Row],[Name]],Crypto[Date],"&lt;="&amp;Crypto[[#This Row],[Date]])</f>
        <v>3.2986399999999998</v>
      </c>
      <c r="H2016" s="3">
        <f>(Crypto[[#This Row],[Close]]/Crypto[[#This Row],[Peak Close]])-1</f>
        <v>-0.27071762908350105</v>
      </c>
      <c r="I2016">
        <v>2.3112300000000001</v>
      </c>
      <c r="J2016" s="1">
        <v>45846</v>
      </c>
      <c r="K2016" s="3">
        <v>4.0848379434327099E-2</v>
      </c>
      <c r="L2016">
        <v>5095934679</v>
      </c>
      <c r="M2016" s="2" t="s">
        <v>16</v>
      </c>
    </row>
    <row r="2017" spans="1:13" x14ac:dyDescent="0.3">
      <c r="A2017" s="1">
        <v>45848</v>
      </c>
      <c r="B2017" s="2" t="s">
        <v>15</v>
      </c>
      <c r="C2017">
        <v>2.40564</v>
      </c>
      <c r="D2017">
        <v>2.5580599999999998</v>
      </c>
      <c r="E2017">
        <v>2.3972899999999999</v>
      </c>
      <c r="F2017">
        <v>2.5466799999999998</v>
      </c>
      <c r="G2017">
        <f>_xlfn.MAXIFS(Crypto[Close],Crypto[Name],Crypto[[#This Row],[Name]],Crypto[Date],"&lt;="&amp;Crypto[[#This Row],[Date]])</f>
        <v>3.2986399999999998</v>
      </c>
      <c r="H2017" s="3">
        <f>(Crypto[[#This Row],[Close]]/Crypto[[#This Row],[Peak Close]])-1</f>
        <v>-0.22796061407125356</v>
      </c>
      <c r="I2017">
        <v>2.40564</v>
      </c>
      <c r="J2017" s="1">
        <v>45847</v>
      </c>
      <c r="K2017" s="3">
        <v>5.86288887780382E-2</v>
      </c>
      <c r="L2017">
        <v>6049788225</v>
      </c>
      <c r="M2017" s="2" t="s">
        <v>16</v>
      </c>
    </row>
    <row r="2018" spans="1:13" x14ac:dyDescent="0.3">
      <c r="A2018" s="1">
        <v>45849</v>
      </c>
      <c r="B2018" s="2" t="s">
        <v>15</v>
      </c>
      <c r="C2018">
        <v>2.5466299999999999</v>
      </c>
      <c r="D2018">
        <v>2.96427</v>
      </c>
      <c r="E2018">
        <v>2.51755</v>
      </c>
      <c r="F2018">
        <v>2.7348599999999998</v>
      </c>
      <c r="G2018">
        <f>_xlfn.MAXIFS(Crypto[Close],Crypto[Name],Crypto[[#This Row],[Name]],Crypto[Date],"&lt;="&amp;Crypto[[#This Row],[Date]])</f>
        <v>3.2986399999999998</v>
      </c>
      <c r="H2018" s="3">
        <f>(Crypto[[#This Row],[Close]]/Crypto[[#This Row],[Peak Close]])-1</f>
        <v>-0.1709128610578905</v>
      </c>
      <c r="I2018">
        <v>2.5466799999999998</v>
      </c>
      <c r="J2018" s="1">
        <v>45848</v>
      </c>
      <c r="K2018" s="3">
        <v>7.3892283286474902E-2</v>
      </c>
      <c r="L2018">
        <v>15789098843</v>
      </c>
      <c r="M2018" s="2" t="s">
        <v>16</v>
      </c>
    </row>
    <row r="2019" spans="1:13" x14ac:dyDescent="0.3">
      <c r="A2019" s="1">
        <v>45850</v>
      </c>
      <c r="B2019" s="2" t="s">
        <v>15</v>
      </c>
      <c r="C2019">
        <v>2.7348499999999998</v>
      </c>
      <c r="D2019">
        <v>2.8412500000000001</v>
      </c>
      <c r="E2019">
        <v>2.6699099999999998</v>
      </c>
      <c r="F2019">
        <v>2.7376399999999999</v>
      </c>
      <c r="G2019">
        <f>_xlfn.MAXIFS(Crypto[Close],Crypto[Name],Crypto[[#This Row],[Name]],Crypto[Date],"&lt;="&amp;Crypto[[#This Row],[Date]])</f>
        <v>3.2986399999999998</v>
      </c>
      <c r="H2019" s="3">
        <f>(Crypto[[#This Row],[Close]]/Crypto[[#This Row],[Peak Close]])-1</f>
        <v>-0.17007008949142677</v>
      </c>
      <c r="I2019">
        <v>2.7348599999999998</v>
      </c>
      <c r="J2019" s="1">
        <v>45849</v>
      </c>
      <c r="K2019" s="3">
        <v>1.01650541526806E-3</v>
      </c>
      <c r="L2019">
        <v>8647115362</v>
      </c>
      <c r="M2019" s="2" t="s">
        <v>16</v>
      </c>
    </row>
    <row r="2020" spans="1:13" x14ac:dyDescent="0.3">
      <c r="A2020" s="1">
        <v>45851</v>
      </c>
      <c r="B2020" s="2" t="s">
        <v>15</v>
      </c>
      <c r="C2020">
        <v>2.7376399999999999</v>
      </c>
      <c r="D2020">
        <v>2.8784999999999998</v>
      </c>
      <c r="E2020">
        <v>2.7269000000000001</v>
      </c>
      <c r="F2020">
        <v>2.8359399999999999</v>
      </c>
      <c r="G2020">
        <f>_xlfn.MAXIFS(Crypto[Close],Crypto[Name],Crypto[[#This Row],[Name]],Crypto[Date],"&lt;="&amp;Crypto[[#This Row],[Date]])</f>
        <v>3.2986399999999998</v>
      </c>
      <c r="H2020" s="3">
        <f>(Crypto[[#This Row],[Close]]/Crypto[[#This Row],[Peak Close]])-1</f>
        <v>-0.14026992942546013</v>
      </c>
      <c r="I2020">
        <v>2.7376399999999999</v>
      </c>
      <c r="J2020" s="1">
        <v>45850</v>
      </c>
      <c r="K2020" s="3">
        <v>3.5906839467570603E-2</v>
      </c>
      <c r="L2020">
        <v>7159804375</v>
      </c>
      <c r="M2020" s="2" t="s">
        <v>16</v>
      </c>
    </row>
    <row r="2021" spans="1:13" x14ac:dyDescent="0.3">
      <c r="A2021" s="1">
        <v>45852</v>
      </c>
      <c r="B2021" s="2" t="s">
        <v>15</v>
      </c>
      <c r="C2021">
        <v>2.8359200000000002</v>
      </c>
      <c r="D2021">
        <v>3.0217900000000002</v>
      </c>
      <c r="E2021">
        <v>2.8271799999999998</v>
      </c>
      <c r="F2021">
        <v>2.9549799999999999</v>
      </c>
      <c r="G2021">
        <f>_xlfn.MAXIFS(Crypto[Close],Crypto[Name],Crypto[[#This Row],[Name]],Crypto[Date],"&lt;="&amp;Crypto[[#This Row],[Date]])</f>
        <v>3.2986399999999998</v>
      </c>
      <c r="H2021" s="3">
        <f>(Crypto[[#This Row],[Close]]/Crypto[[#This Row],[Peak Close]])-1</f>
        <v>-0.10418232968738628</v>
      </c>
      <c r="I2021">
        <v>2.8359399999999999</v>
      </c>
      <c r="J2021" s="1">
        <v>45851</v>
      </c>
      <c r="K2021" s="3">
        <v>4.1975500186886901E-2</v>
      </c>
      <c r="L2021">
        <v>12393161327</v>
      </c>
      <c r="M2021" s="2" t="s">
        <v>16</v>
      </c>
    </row>
    <row r="2022" spans="1:13" x14ac:dyDescent="0.3">
      <c r="A2022" s="1">
        <v>45853</v>
      </c>
      <c r="B2022" s="2" t="s">
        <v>15</v>
      </c>
      <c r="C2022">
        <v>2.9548800000000002</v>
      </c>
      <c r="D2022">
        <v>2.9574699999999998</v>
      </c>
      <c r="E2022">
        <v>2.8085</v>
      </c>
      <c r="F2022">
        <v>2.9189500000000002</v>
      </c>
      <c r="G2022">
        <f>_xlfn.MAXIFS(Crypto[Close],Crypto[Name],Crypto[[#This Row],[Name]],Crypto[Date],"&lt;="&amp;Crypto[[#This Row],[Date]])</f>
        <v>3.2986399999999998</v>
      </c>
      <c r="H2022" s="3">
        <f>(Crypto[[#This Row],[Close]]/Crypto[[#This Row],[Peak Close]])-1</f>
        <v>-0.11510501297504416</v>
      </c>
      <c r="I2022">
        <v>2.9549799999999999</v>
      </c>
      <c r="J2022" s="1">
        <v>45852</v>
      </c>
      <c r="K2022" s="3">
        <v>-1.2192975925386901E-2</v>
      </c>
      <c r="L2022">
        <v>8879749638</v>
      </c>
      <c r="M2022" s="2" t="s">
        <v>16</v>
      </c>
    </row>
    <row r="2023" spans="1:13" x14ac:dyDescent="0.3">
      <c r="A2023" s="1">
        <v>45854</v>
      </c>
      <c r="B2023" s="2" t="s">
        <v>15</v>
      </c>
      <c r="C2023">
        <v>2.9189500000000002</v>
      </c>
      <c r="D2023">
        <v>3.09707</v>
      </c>
      <c r="E2023">
        <v>2.8827099999999999</v>
      </c>
      <c r="F2023">
        <v>3.0413999999999999</v>
      </c>
      <c r="G2023">
        <f>_xlfn.MAXIFS(Crypto[Close],Crypto[Name],Crypto[[#This Row],[Name]],Crypto[Date],"&lt;="&amp;Crypto[[#This Row],[Date]])</f>
        <v>3.2986399999999998</v>
      </c>
      <c r="H2023" s="3">
        <f>(Crypto[[#This Row],[Close]]/Crypto[[#This Row],[Peak Close]])-1</f>
        <v>-7.7983653869473479E-2</v>
      </c>
      <c r="I2023">
        <v>2.9189500000000002</v>
      </c>
      <c r="J2023" s="1">
        <v>45853</v>
      </c>
      <c r="K2023" s="3">
        <v>4.1950016272974802E-2</v>
      </c>
      <c r="L2023">
        <v>8884765458</v>
      </c>
      <c r="M2023" s="2" t="s">
        <v>16</v>
      </c>
    </row>
    <row r="2024" spans="1:13" x14ac:dyDescent="0.3">
      <c r="A2024" s="1">
        <v>45855</v>
      </c>
      <c r="B2024" s="2" t="s">
        <v>15</v>
      </c>
      <c r="C2024">
        <v>3.0413800000000002</v>
      </c>
      <c r="D2024">
        <v>3.5406</v>
      </c>
      <c r="E2024">
        <v>3.0058400000000001</v>
      </c>
      <c r="F2024">
        <v>3.4951300000000001</v>
      </c>
      <c r="G2024">
        <f>_xlfn.MAXIFS(Crypto[Close],Crypto[Name],Crypto[[#This Row],[Name]],Crypto[Date],"&lt;="&amp;Crypto[[#This Row],[Date]])</f>
        <v>3.4951300000000001</v>
      </c>
      <c r="H2024" s="3">
        <f>(Crypto[[#This Row],[Close]]/Crypto[[#This Row],[Peak Close]])-1</f>
        <v>0</v>
      </c>
      <c r="I2024">
        <v>3.0413999999999999</v>
      </c>
      <c r="J2024" s="1">
        <v>45854</v>
      </c>
      <c r="K2024" s="3">
        <v>0.14918458604589999</v>
      </c>
      <c r="L2024">
        <v>19109831396</v>
      </c>
      <c r="M2024" s="2" t="s">
        <v>16</v>
      </c>
    </row>
    <row r="2025" spans="1:13" x14ac:dyDescent="0.3">
      <c r="A2025" s="1">
        <v>45856</v>
      </c>
      <c r="B2025" s="2" t="s">
        <v>15</v>
      </c>
      <c r="C2025">
        <v>3.49492</v>
      </c>
      <c r="D2025">
        <v>3.65021</v>
      </c>
      <c r="E2025">
        <v>3.3606199999999999</v>
      </c>
      <c r="F2025">
        <v>3.4182100000000002</v>
      </c>
      <c r="G2025">
        <f>_xlfn.MAXIFS(Crypto[Close],Crypto[Name],Crypto[[#This Row],[Name]],Crypto[Date],"&lt;="&amp;Crypto[[#This Row],[Date]])</f>
        <v>3.4951300000000001</v>
      </c>
      <c r="H2025" s="3">
        <f>(Crypto[[#This Row],[Close]]/Crypto[[#This Row],[Peak Close]])-1</f>
        <v>-2.2007765090282683E-2</v>
      </c>
      <c r="I2025">
        <v>3.4951300000000001</v>
      </c>
      <c r="J2025" s="1">
        <v>45855</v>
      </c>
      <c r="K2025" s="3">
        <v>-2.20077650902827E-2</v>
      </c>
      <c r="L2025">
        <v>18226483531</v>
      </c>
      <c r="M2025" s="2" t="s">
        <v>16</v>
      </c>
    </row>
    <row r="2026" spans="1:13" x14ac:dyDescent="0.3">
      <c r="A2026" s="1">
        <v>45857</v>
      </c>
      <c r="B2026" s="2" t="s">
        <v>15</v>
      </c>
      <c r="C2026">
        <v>3.4181599999999999</v>
      </c>
      <c r="D2026">
        <v>3.4801099999999998</v>
      </c>
      <c r="E2026">
        <v>3.3617599999999999</v>
      </c>
      <c r="F2026">
        <v>3.4294099999999998</v>
      </c>
      <c r="G2026">
        <f>_xlfn.MAXIFS(Crypto[Close],Crypto[Name],Crypto[[#This Row],[Name]],Crypto[Date],"&lt;="&amp;Crypto[[#This Row],[Date]])</f>
        <v>3.4951300000000001</v>
      </c>
      <c r="H2026" s="3">
        <f>(Crypto[[#This Row],[Close]]/Crypto[[#This Row],[Peak Close]])-1</f>
        <v>-1.8803306314786661E-2</v>
      </c>
      <c r="I2026">
        <v>3.4182100000000002</v>
      </c>
      <c r="J2026" s="1">
        <v>45856</v>
      </c>
      <c r="K2026" s="3">
        <v>3.2765687304172801E-3</v>
      </c>
      <c r="L2026">
        <v>6728548741</v>
      </c>
      <c r="M2026" s="2" t="s">
        <v>16</v>
      </c>
    </row>
    <row r="2027" spans="1:13" x14ac:dyDescent="0.3">
      <c r="A2027" s="1">
        <v>45858</v>
      </c>
      <c r="B2027" s="2" t="s">
        <v>15</v>
      </c>
      <c r="C2027">
        <v>3.4293800000000001</v>
      </c>
      <c r="D2027">
        <v>3.55443</v>
      </c>
      <c r="E2027">
        <v>3.3909899999999999</v>
      </c>
      <c r="F2027">
        <v>3.45953</v>
      </c>
      <c r="G2027">
        <f>_xlfn.MAXIFS(Crypto[Close],Crypto[Name],Crypto[[#This Row],[Name]],Crypto[Date],"&lt;="&amp;Crypto[[#This Row],[Date]])</f>
        <v>3.4951300000000001</v>
      </c>
      <c r="H2027" s="3">
        <f>(Crypto[[#This Row],[Close]]/Crypto[[#This Row],[Peak Close]])-1</f>
        <v>-1.018560110782718E-2</v>
      </c>
      <c r="I2027">
        <v>3.4294099999999998</v>
      </c>
      <c r="J2027" s="1">
        <v>45857</v>
      </c>
      <c r="K2027" s="3">
        <v>8.7828518608157498E-3</v>
      </c>
      <c r="L2027">
        <v>8763366578</v>
      </c>
      <c r="M2027" s="2" t="s">
        <v>16</v>
      </c>
    </row>
    <row r="2028" spans="1:13" x14ac:dyDescent="0.3">
      <c r="A2028" s="1">
        <v>45859</v>
      </c>
      <c r="B2028" s="2" t="s">
        <v>15</v>
      </c>
      <c r="C2028">
        <v>3.4595400000000001</v>
      </c>
      <c r="D2028">
        <v>3.6424099999999999</v>
      </c>
      <c r="E2028">
        <v>3.4161600000000001</v>
      </c>
      <c r="F2028">
        <v>3.5557599999999998</v>
      </c>
      <c r="G2028">
        <f>_xlfn.MAXIFS(Crypto[Close],Crypto[Name],Crypto[[#This Row],[Name]],Crypto[Date],"&lt;="&amp;Crypto[[#This Row],[Date]])</f>
        <v>3.5557599999999998</v>
      </c>
      <c r="H2028" s="3">
        <f>(Crypto[[#This Row],[Close]]/Crypto[[#This Row],[Peak Close]])-1</f>
        <v>0</v>
      </c>
      <c r="I2028">
        <v>3.45953</v>
      </c>
      <c r="J2028" s="1">
        <v>45858</v>
      </c>
      <c r="K2028" s="3">
        <v>2.7815917191063501E-2</v>
      </c>
      <c r="L2028">
        <v>9514968528</v>
      </c>
      <c r="M2028" s="2" t="s">
        <v>16</v>
      </c>
    </row>
    <row r="2029" spans="1:13" x14ac:dyDescent="0.3">
      <c r="A2029" s="1">
        <v>45860</v>
      </c>
      <c r="B2029" s="2" t="s">
        <v>15</v>
      </c>
      <c r="C2029">
        <v>3.5556399999999999</v>
      </c>
      <c r="D2029">
        <v>3.57694</v>
      </c>
      <c r="E2029">
        <v>3.4308399999999999</v>
      </c>
      <c r="F2029">
        <v>3.5516800000000002</v>
      </c>
      <c r="G2029">
        <f>_xlfn.MAXIFS(Crypto[Close],Crypto[Name],Crypto[[#This Row],[Name]],Crypto[Date],"&lt;="&amp;Crypto[[#This Row],[Date]])</f>
        <v>3.5557599999999998</v>
      </c>
      <c r="H2029" s="3">
        <f>(Crypto[[#This Row],[Close]]/Crypto[[#This Row],[Peak Close]])-1</f>
        <v>-1.1474340225435808E-3</v>
      </c>
      <c r="I2029">
        <v>3.5557599999999998</v>
      </c>
      <c r="J2029" s="1">
        <v>45859</v>
      </c>
      <c r="K2029" s="3">
        <v>-1.1474340225435999E-3</v>
      </c>
      <c r="L2029">
        <v>8927291368</v>
      </c>
      <c r="M2029" s="2" t="s">
        <v>16</v>
      </c>
    </row>
    <row r="2030" spans="1:13" x14ac:dyDescent="0.3">
      <c r="A2030" s="1">
        <v>45861</v>
      </c>
      <c r="B2030" s="2" t="s">
        <v>15</v>
      </c>
      <c r="C2030">
        <v>3.5516700000000001</v>
      </c>
      <c r="D2030">
        <v>3.5521500000000001</v>
      </c>
      <c r="E2030">
        <v>3.06995</v>
      </c>
      <c r="F2030">
        <v>3.18493</v>
      </c>
      <c r="G2030">
        <f>_xlfn.MAXIFS(Crypto[Close],Crypto[Name],Crypto[[#This Row],[Name]],Crypto[Date],"&lt;="&amp;Crypto[[#This Row],[Date]])</f>
        <v>3.5557599999999998</v>
      </c>
      <c r="H2030" s="3">
        <f>(Crypto[[#This Row],[Close]]/Crypto[[#This Row],[Peak Close]])-1</f>
        <v>-0.10428994082840226</v>
      </c>
      <c r="I2030">
        <v>3.5516800000000002</v>
      </c>
      <c r="J2030" s="1">
        <v>45860</v>
      </c>
      <c r="K2030" s="3">
        <v>-0.10326099198126</v>
      </c>
      <c r="L2030">
        <v>13463451823</v>
      </c>
      <c r="M2030" s="2" t="s">
        <v>16</v>
      </c>
    </row>
    <row r="2031" spans="1:13" x14ac:dyDescent="0.3">
      <c r="A2031" s="1">
        <v>45862</v>
      </c>
      <c r="B2031" s="2" t="s">
        <v>15</v>
      </c>
      <c r="C2031">
        <v>3.1849400000000001</v>
      </c>
      <c r="D2031">
        <v>3.26003</v>
      </c>
      <c r="E2031">
        <v>2.9854799999999999</v>
      </c>
      <c r="F2031">
        <v>3.1438899999999999</v>
      </c>
      <c r="G2031">
        <f>_xlfn.MAXIFS(Crypto[Close],Crypto[Name],Crypto[[#This Row],[Name]],Crypto[Date],"&lt;="&amp;Crypto[[#This Row],[Date]])</f>
        <v>3.5557599999999998</v>
      </c>
      <c r="H2031" s="3">
        <f>(Crypto[[#This Row],[Close]]/Crypto[[#This Row],[Peak Close]])-1</f>
        <v>-0.11583177717281257</v>
      </c>
      <c r="I2031">
        <v>3.18493</v>
      </c>
      <c r="J2031" s="1">
        <v>45861</v>
      </c>
      <c r="K2031" s="3">
        <v>-1.28856835158073E-2</v>
      </c>
      <c r="L2031">
        <v>12401558966</v>
      </c>
      <c r="M2031" s="2" t="s">
        <v>16</v>
      </c>
    </row>
    <row r="2032" spans="1:13" x14ac:dyDescent="0.3">
      <c r="A2032" s="1">
        <v>45863</v>
      </c>
      <c r="B2032" s="2" t="s">
        <v>15</v>
      </c>
      <c r="C2032">
        <v>3.1438899999999999</v>
      </c>
      <c r="D2032">
        <v>3.1508600000000002</v>
      </c>
      <c r="E2032">
        <v>3.0091100000000002</v>
      </c>
      <c r="F2032">
        <v>3.1417199999999998</v>
      </c>
      <c r="G2032">
        <f>_xlfn.MAXIFS(Crypto[Close],Crypto[Name],Crypto[[#This Row],[Name]],Crypto[Date],"&lt;="&amp;Crypto[[#This Row],[Date]])</f>
        <v>3.5557599999999998</v>
      </c>
      <c r="H2032" s="3">
        <f>(Crypto[[#This Row],[Close]]/Crypto[[#This Row],[Peak Close]])-1</f>
        <v>-0.11644205458186152</v>
      </c>
      <c r="I2032">
        <v>3.1438899999999999</v>
      </c>
      <c r="J2032" s="1">
        <v>45862</v>
      </c>
      <c r="K2032" s="3">
        <v>-6.9022771152934897E-4</v>
      </c>
      <c r="L2032">
        <v>8709196636</v>
      </c>
      <c r="M2032" s="2" t="s">
        <v>16</v>
      </c>
    </row>
    <row r="2033" spans="1:13" x14ac:dyDescent="0.3">
      <c r="A2033" s="1">
        <v>45864</v>
      </c>
      <c r="B2033" s="2" t="s">
        <v>15</v>
      </c>
      <c r="C2033">
        <v>3.14168</v>
      </c>
      <c r="D2033">
        <v>3.2137699999999998</v>
      </c>
      <c r="E2033">
        <v>3.1130200000000001</v>
      </c>
      <c r="F2033">
        <v>3.1675300000000002</v>
      </c>
      <c r="G2033">
        <f>_xlfn.MAXIFS(Crypto[Close],Crypto[Name],Crypto[[#This Row],[Name]],Crypto[Date],"&lt;="&amp;Crypto[[#This Row],[Date]])</f>
        <v>3.5557599999999998</v>
      </c>
      <c r="H2033" s="3">
        <f>(Crypto[[#This Row],[Close]]/Crypto[[#This Row],[Peak Close]])-1</f>
        <v>-0.10918340945395633</v>
      </c>
      <c r="I2033">
        <v>3.1417199999999998</v>
      </c>
      <c r="J2033" s="1">
        <v>45863</v>
      </c>
      <c r="K2033" s="3">
        <v>8.21524515233704E-3</v>
      </c>
      <c r="L2033">
        <v>4116974190</v>
      </c>
      <c r="M2033" s="2" t="s">
        <v>16</v>
      </c>
    </row>
    <row r="2034" spans="1:13" x14ac:dyDescent="0.3">
      <c r="A2034" s="1">
        <v>45865</v>
      </c>
      <c r="B2034" s="2" t="s">
        <v>15</v>
      </c>
      <c r="C2034">
        <v>3.1674199999999999</v>
      </c>
      <c r="D2034">
        <v>3.2484700000000002</v>
      </c>
      <c r="E2034">
        <v>3.1627000000000001</v>
      </c>
      <c r="F2034">
        <v>3.2412800000000002</v>
      </c>
      <c r="G2034">
        <f>_xlfn.MAXIFS(Crypto[Close],Crypto[Name],Crypto[[#This Row],[Name]],Crypto[Date],"&lt;="&amp;Crypto[[#This Row],[Date]])</f>
        <v>3.5557599999999998</v>
      </c>
      <c r="H2034" s="3">
        <f>(Crypto[[#This Row],[Close]]/Crypto[[#This Row],[Peak Close]])-1</f>
        <v>-8.8442414561162641E-2</v>
      </c>
      <c r="I2034">
        <v>3.1675300000000002</v>
      </c>
      <c r="J2034" s="1">
        <v>45864</v>
      </c>
      <c r="K2034" s="3">
        <v>2.3283125968814801E-2</v>
      </c>
      <c r="L2034">
        <v>5026533835</v>
      </c>
      <c r="M2034" s="2" t="s">
        <v>16</v>
      </c>
    </row>
    <row r="2035" spans="1:13" x14ac:dyDescent="0.3">
      <c r="A2035" s="1">
        <v>45866</v>
      </c>
      <c r="B2035" s="2" t="s">
        <v>15</v>
      </c>
      <c r="C2035">
        <v>3.24125</v>
      </c>
      <c r="D2035">
        <v>3.32436</v>
      </c>
      <c r="E2035">
        <v>3.1140599999999998</v>
      </c>
      <c r="F2035">
        <v>3.1158399999999999</v>
      </c>
      <c r="G2035">
        <f>_xlfn.MAXIFS(Crypto[Close],Crypto[Name],Crypto[[#This Row],[Name]],Crypto[Date],"&lt;="&amp;Crypto[[#This Row],[Date]])</f>
        <v>3.5557599999999998</v>
      </c>
      <c r="H2035" s="3">
        <f>(Crypto[[#This Row],[Close]]/Crypto[[#This Row],[Peak Close]])-1</f>
        <v>-0.12372038607780045</v>
      </c>
      <c r="I2035">
        <v>3.2412800000000002</v>
      </c>
      <c r="J2035" s="1">
        <v>45865</v>
      </c>
      <c r="K2035" s="3">
        <v>-3.8700760193503901E-2</v>
      </c>
      <c r="L2035">
        <v>8060553540</v>
      </c>
      <c r="M2035" s="2" t="s">
        <v>16</v>
      </c>
    </row>
    <row r="2036" spans="1:13" x14ac:dyDescent="0.3">
      <c r="A2036" s="1">
        <v>45867</v>
      </c>
      <c r="B2036" s="2" t="s">
        <v>15</v>
      </c>
      <c r="C2036">
        <v>3.1158999999999999</v>
      </c>
      <c r="D2036">
        <v>3.1827999999999999</v>
      </c>
      <c r="E2036">
        <v>3.0611100000000002</v>
      </c>
      <c r="F2036">
        <v>3.1284299999999998</v>
      </c>
      <c r="G2036">
        <f>_xlfn.MAXIFS(Crypto[Close],Crypto[Name],Crypto[[#This Row],[Name]],Crypto[Date],"&lt;="&amp;Crypto[[#This Row],[Date]])</f>
        <v>3.5557599999999998</v>
      </c>
      <c r="H2036" s="3">
        <f>(Crypto[[#This Row],[Close]]/Crypto[[#This Row],[Peak Close]])-1</f>
        <v>-0.12017965217000026</v>
      </c>
      <c r="I2036">
        <v>3.1158399999999999</v>
      </c>
      <c r="J2036" s="1">
        <v>45866</v>
      </c>
      <c r="K2036" s="3">
        <v>4.0406439355037101E-3</v>
      </c>
      <c r="L2036">
        <v>6224568345</v>
      </c>
      <c r="M2036" s="2" t="s">
        <v>16</v>
      </c>
    </row>
    <row r="2037" spans="1:13" x14ac:dyDescent="0.3">
      <c r="A2037" s="1">
        <v>45868</v>
      </c>
      <c r="B2037" s="2" t="s">
        <v>15</v>
      </c>
      <c r="C2037">
        <v>3.1284299999999998</v>
      </c>
      <c r="D2037">
        <v>3.15761</v>
      </c>
      <c r="E2037">
        <v>3.0166499999999998</v>
      </c>
      <c r="F2037">
        <v>3.0983800000000001</v>
      </c>
      <c r="G2037">
        <f>_xlfn.MAXIFS(Crypto[Close],Crypto[Name],Crypto[[#This Row],[Name]],Crypto[Date],"&lt;="&amp;Crypto[[#This Row],[Date]])</f>
        <v>3.5557599999999998</v>
      </c>
      <c r="H2037" s="3">
        <f>(Crypto[[#This Row],[Close]]/Crypto[[#This Row],[Peak Close]])-1</f>
        <v>-0.12863072873309778</v>
      </c>
      <c r="I2037">
        <v>3.1284299999999998</v>
      </c>
      <c r="J2037" s="1">
        <v>45867</v>
      </c>
      <c r="K2037" s="3">
        <v>-9.6054570503414406E-3</v>
      </c>
      <c r="L2037">
        <v>6525487340</v>
      </c>
      <c r="M2037" s="2" t="s">
        <v>16</v>
      </c>
    </row>
    <row r="2038" spans="1:13" x14ac:dyDescent="0.3">
      <c r="A2038" s="1">
        <v>45869</v>
      </c>
      <c r="B2038" s="2" t="s">
        <v>15</v>
      </c>
      <c r="C2038">
        <v>3.0982799999999999</v>
      </c>
      <c r="D2038">
        <v>3.17381</v>
      </c>
      <c r="E2038">
        <v>3.0180600000000002</v>
      </c>
      <c r="F2038">
        <v>3.0251700000000001</v>
      </c>
      <c r="G2038">
        <f>_xlfn.MAXIFS(Crypto[Close],Crypto[Name],Crypto[[#This Row],[Name]],Crypto[Date],"&lt;="&amp;Crypto[[#This Row],[Date]])</f>
        <v>3.5557599999999998</v>
      </c>
      <c r="H2038" s="3">
        <f>(Crypto[[#This Row],[Close]]/Crypto[[#This Row],[Peak Close]])-1</f>
        <v>-0.14921985735820187</v>
      </c>
      <c r="I2038">
        <v>3.0983800000000001</v>
      </c>
      <c r="J2038" s="1">
        <v>45868</v>
      </c>
      <c r="K2038" s="3">
        <v>-2.36284768169172E-2</v>
      </c>
      <c r="L2038">
        <v>5429993622</v>
      </c>
      <c r="M2038" s="2" t="s">
        <v>16</v>
      </c>
    </row>
    <row r="2039" spans="1:13" x14ac:dyDescent="0.3">
      <c r="A2039" s="1">
        <v>45870</v>
      </c>
      <c r="B2039" s="2" t="s">
        <v>15</v>
      </c>
      <c r="C2039">
        <v>3.0251100000000002</v>
      </c>
      <c r="D2039">
        <v>3.0518800000000001</v>
      </c>
      <c r="E2039">
        <v>2.9082599999999998</v>
      </c>
      <c r="F2039">
        <v>2.9645999999999999</v>
      </c>
      <c r="G2039">
        <f>_xlfn.MAXIFS(Crypto[Close],Crypto[Name],Crypto[[#This Row],[Name]],Crypto[Date],"&lt;="&amp;Crypto[[#This Row],[Date]])</f>
        <v>3.5557599999999998</v>
      </c>
      <c r="H2039" s="3">
        <f>(Crypto[[#This Row],[Close]]/Crypto[[#This Row],[Peak Close]])-1</f>
        <v>-0.16625419038405287</v>
      </c>
      <c r="I2039">
        <v>3.0251700000000001</v>
      </c>
      <c r="J2039" s="1">
        <v>45869</v>
      </c>
      <c r="K2039" s="3">
        <v>-2.0022015291702701E-2</v>
      </c>
      <c r="L2039">
        <v>9496832986</v>
      </c>
      <c r="M2039" s="2" t="s">
        <v>16</v>
      </c>
    </row>
    <row r="2040" spans="1:13" x14ac:dyDescent="0.3">
      <c r="A2040" s="1">
        <v>45871</v>
      </c>
      <c r="B2040" s="2" t="s">
        <v>15</v>
      </c>
      <c r="C2040">
        <v>2.96448</v>
      </c>
      <c r="D2040">
        <v>3.0177700000000001</v>
      </c>
      <c r="E2040">
        <v>2.7470699999999999</v>
      </c>
      <c r="F2040">
        <v>2.7663700000000002</v>
      </c>
      <c r="G2040">
        <f>_xlfn.MAXIFS(Crypto[Close],Crypto[Name],Crypto[[#This Row],[Name]],Crypto[Date],"&lt;="&amp;Crypto[[#This Row],[Date]])</f>
        <v>3.5557599999999998</v>
      </c>
      <c r="H2040" s="3">
        <f>(Crypto[[#This Row],[Close]]/Crypto[[#This Row],[Peak Close]])-1</f>
        <v>-0.22200317231759159</v>
      </c>
      <c r="I2040">
        <v>2.9645999999999999</v>
      </c>
      <c r="J2040" s="1">
        <v>45870</v>
      </c>
      <c r="K2040" s="3">
        <v>-6.6865681710854594E-2</v>
      </c>
      <c r="L2040">
        <v>6806946397</v>
      </c>
      <c r="M2040" s="2" t="s">
        <v>16</v>
      </c>
    </row>
    <row r="2041" spans="1:13" x14ac:dyDescent="0.3">
      <c r="A2041" s="1">
        <v>45872</v>
      </c>
      <c r="B2041" s="2" t="s">
        <v>15</v>
      </c>
      <c r="C2041">
        <v>2.7664300000000002</v>
      </c>
      <c r="D2041">
        <v>2.95838</v>
      </c>
      <c r="E2041">
        <v>2.7463799999999998</v>
      </c>
      <c r="F2041">
        <v>2.9495399999999998</v>
      </c>
      <c r="G2041">
        <f>_xlfn.MAXIFS(Crypto[Close],Crypto[Name],Crypto[[#This Row],[Name]],Crypto[Date],"&lt;="&amp;Crypto[[#This Row],[Date]])</f>
        <v>3.5557599999999998</v>
      </c>
      <c r="H2041" s="3">
        <f>(Crypto[[#This Row],[Close]]/Crypto[[#This Row],[Peak Close]])-1</f>
        <v>-0.17048957184961866</v>
      </c>
      <c r="I2041">
        <v>2.7663700000000002</v>
      </c>
      <c r="J2041" s="1">
        <v>45871</v>
      </c>
      <c r="K2041" s="3">
        <v>6.6213124057880796E-2</v>
      </c>
      <c r="L2041">
        <v>5493336229</v>
      </c>
      <c r="M2041" s="2" t="s">
        <v>16</v>
      </c>
    </row>
    <row r="2042" spans="1:13" x14ac:dyDescent="0.3">
      <c r="A2042" s="1">
        <v>45873</v>
      </c>
      <c r="B2042" s="2" t="s">
        <v>15</v>
      </c>
      <c r="C2042">
        <v>2.9495499999999999</v>
      </c>
      <c r="D2042">
        <v>3.0885899999999999</v>
      </c>
      <c r="E2042">
        <v>2.9358900000000001</v>
      </c>
      <c r="F2042">
        <v>3.07281</v>
      </c>
      <c r="G2042">
        <f>_xlfn.MAXIFS(Crypto[Close],Crypto[Name],Crypto[[#This Row],[Name]],Crypto[Date],"&lt;="&amp;Crypto[[#This Row],[Date]])</f>
        <v>3.5557599999999998</v>
      </c>
      <c r="H2042" s="3">
        <f>(Crypto[[#This Row],[Close]]/Crypto[[#This Row],[Peak Close]])-1</f>
        <v>-0.13582187774202981</v>
      </c>
      <c r="I2042">
        <v>2.9495399999999998</v>
      </c>
      <c r="J2042" s="1">
        <v>45872</v>
      </c>
      <c r="K2042" s="3">
        <v>4.17929575459225E-2</v>
      </c>
      <c r="L2042">
        <v>6105465016</v>
      </c>
      <c r="M2042" s="2" t="s">
        <v>16</v>
      </c>
    </row>
    <row r="2043" spans="1:13" x14ac:dyDescent="0.3">
      <c r="A2043" s="1">
        <v>45874</v>
      </c>
      <c r="B2043" s="2" t="s">
        <v>15</v>
      </c>
      <c r="C2043">
        <v>3.0728</v>
      </c>
      <c r="D2043">
        <v>3.10338</v>
      </c>
      <c r="E2043">
        <v>2.9238900000000001</v>
      </c>
      <c r="F2043">
        <v>2.9637500000000001</v>
      </c>
      <c r="G2043">
        <f>_xlfn.MAXIFS(Crypto[Close],Crypto[Name],Crypto[[#This Row],[Name]],Crypto[Date],"&lt;="&amp;Crypto[[#This Row],[Date]])</f>
        <v>3.5557599999999998</v>
      </c>
      <c r="H2043" s="3">
        <f>(Crypto[[#This Row],[Close]]/Crypto[[#This Row],[Peak Close]])-1</f>
        <v>-0.16649323913874947</v>
      </c>
      <c r="I2043">
        <v>3.07281</v>
      </c>
      <c r="J2043" s="1">
        <v>45873</v>
      </c>
      <c r="K2043" s="3">
        <v>-3.54919438559494E-2</v>
      </c>
      <c r="L2043">
        <v>5761767874</v>
      </c>
      <c r="M2043" s="2" t="s">
        <v>16</v>
      </c>
    </row>
    <row r="2044" spans="1:13" x14ac:dyDescent="0.3">
      <c r="A2044" s="1">
        <v>45875</v>
      </c>
      <c r="B2044" s="2" t="s">
        <v>15</v>
      </c>
      <c r="C2044">
        <v>2.9637500000000001</v>
      </c>
      <c r="D2044">
        <v>3.0172599999999998</v>
      </c>
      <c r="E2044">
        <v>2.90639</v>
      </c>
      <c r="F2044">
        <v>2.9918900000000002</v>
      </c>
      <c r="G2044">
        <f>_xlfn.MAXIFS(Crypto[Close],Crypto[Name],Crypto[[#This Row],[Name]],Crypto[Date],"&lt;="&amp;Crypto[[#This Row],[Date]])</f>
        <v>3.5557599999999998</v>
      </c>
      <c r="H2044" s="3">
        <f>(Crypto[[#This Row],[Close]]/Crypto[[#This Row],[Peak Close]])-1</f>
        <v>-0.15857931918914658</v>
      </c>
      <c r="I2044">
        <v>2.9637500000000001</v>
      </c>
      <c r="J2044" s="1">
        <v>45874</v>
      </c>
      <c r="K2044" s="3">
        <v>9.4947279628848791E-3</v>
      </c>
      <c r="L2044">
        <v>4694230831</v>
      </c>
      <c r="M2044" s="2" t="s">
        <v>16</v>
      </c>
    </row>
    <row r="2045" spans="1:13" x14ac:dyDescent="0.3">
      <c r="A2045" s="1">
        <v>45876</v>
      </c>
      <c r="B2045" s="2" t="s">
        <v>15</v>
      </c>
      <c r="C2045">
        <v>2.9918900000000002</v>
      </c>
      <c r="D2045">
        <v>3.3296000000000001</v>
      </c>
      <c r="E2045">
        <v>2.96834</v>
      </c>
      <c r="F2045">
        <v>3.3182100000000001</v>
      </c>
      <c r="G2045">
        <f>_xlfn.MAXIFS(Crypto[Close],Crypto[Name],Crypto[[#This Row],[Name]],Crypto[Date],"&lt;="&amp;Crypto[[#This Row],[Date]])</f>
        <v>3.5557599999999998</v>
      </c>
      <c r="H2045" s="3">
        <f>(Crypto[[#This Row],[Close]]/Crypto[[#This Row],[Peak Close]])-1</f>
        <v>-6.680709609197466E-2</v>
      </c>
      <c r="I2045">
        <v>2.9918900000000002</v>
      </c>
      <c r="J2045" s="1">
        <v>45875</v>
      </c>
      <c r="K2045" s="3">
        <v>0.10906818098259</v>
      </c>
      <c r="L2045">
        <v>8073584245</v>
      </c>
      <c r="M2045" s="2" t="s">
        <v>16</v>
      </c>
    </row>
    <row r="2046" spans="1:13" x14ac:dyDescent="0.3">
      <c r="A2046" s="1">
        <v>45877</v>
      </c>
      <c r="B2046" s="2" t="s">
        <v>15</v>
      </c>
      <c r="C2046">
        <v>3.3182399999999999</v>
      </c>
      <c r="D2046">
        <v>3.37581</v>
      </c>
      <c r="E2046">
        <v>3.2132399999999999</v>
      </c>
      <c r="F2046">
        <v>3.2871199999999998</v>
      </c>
      <c r="G2046">
        <f>_xlfn.MAXIFS(Crypto[Close],Crypto[Name],Crypto[[#This Row],[Name]],Crypto[Date],"&lt;="&amp;Crypto[[#This Row],[Date]])</f>
        <v>3.5557599999999998</v>
      </c>
      <c r="H2046" s="3">
        <f>(Crypto[[#This Row],[Close]]/Crypto[[#This Row],[Peak Close]])-1</f>
        <v>-7.5550655837289371E-2</v>
      </c>
      <c r="I2046">
        <v>3.3182100000000001</v>
      </c>
      <c r="J2046" s="1">
        <v>45876</v>
      </c>
      <c r="K2046" s="3">
        <v>-9.36950946444025E-3</v>
      </c>
      <c r="L2046">
        <v>10725932348</v>
      </c>
      <c r="M2046" s="2" t="s">
        <v>16</v>
      </c>
    </row>
    <row r="2047" spans="1:13" x14ac:dyDescent="0.3">
      <c r="A2047" s="1">
        <v>45878</v>
      </c>
      <c r="B2047" s="2" t="s">
        <v>15</v>
      </c>
      <c r="C2047">
        <v>3.2870499999999998</v>
      </c>
      <c r="D2047">
        <v>3.3447200000000001</v>
      </c>
      <c r="E2047">
        <v>3.2159599999999999</v>
      </c>
      <c r="F2047">
        <v>3.2278799999999999</v>
      </c>
      <c r="G2047">
        <f>_xlfn.MAXIFS(Crypto[Close],Crypto[Name],Crypto[[#This Row],[Name]],Crypto[Date],"&lt;="&amp;Crypto[[#This Row],[Date]])</f>
        <v>3.5557599999999998</v>
      </c>
      <c r="H2047" s="3">
        <f>(Crypto[[#This Row],[Close]]/Crypto[[#This Row],[Peak Close]])-1</f>
        <v>-9.2210947870497439E-2</v>
      </c>
      <c r="I2047">
        <v>3.2871199999999998</v>
      </c>
      <c r="J2047" s="1">
        <v>45877</v>
      </c>
      <c r="K2047" s="3">
        <v>-1.8021854997687901E-2</v>
      </c>
      <c r="L2047">
        <v>5751246666</v>
      </c>
      <c r="M2047" s="2" t="s">
        <v>16</v>
      </c>
    </row>
    <row r="2048" spans="1:13" x14ac:dyDescent="0.3">
      <c r="A2048" s="1">
        <v>45879</v>
      </c>
      <c r="B2048" s="2" t="s">
        <v>15</v>
      </c>
      <c r="C2048">
        <v>3.2278799999999999</v>
      </c>
      <c r="D2048">
        <v>3.2766299999999999</v>
      </c>
      <c r="E2048">
        <v>3.16025</v>
      </c>
      <c r="F2048">
        <v>3.1878600000000001</v>
      </c>
      <c r="G2048">
        <f>_xlfn.MAXIFS(Crypto[Close],Crypto[Name],Crypto[[#This Row],[Name]],Crypto[Date],"&lt;="&amp;Crypto[[#This Row],[Date]])</f>
        <v>3.5557599999999998</v>
      </c>
      <c r="H2048" s="3">
        <f>(Crypto[[#This Row],[Close]]/Crypto[[#This Row],[Peak Close]])-1</f>
        <v>-0.1034659257092716</v>
      </c>
      <c r="I2048">
        <v>3.2278799999999999</v>
      </c>
      <c r="J2048" s="1">
        <v>45878</v>
      </c>
      <c r="K2048" s="3">
        <v>-1.23982304174876E-2</v>
      </c>
      <c r="L2048">
        <v>5480657770</v>
      </c>
      <c r="M2048" s="2" t="s">
        <v>16</v>
      </c>
    </row>
    <row r="2049" spans="1:13" x14ac:dyDescent="0.3">
      <c r="A2049" s="1">
        <v>45880</v>
      </c>
      <c r="B2049" s="2" t="s">
        <v>15</v>
      </c>
      <c r="C2049">
        <v>3.1878700000000002</v>
      </c>
      <c r="D2049">
        <v>3.3272400000000002</v>
      </c>
      <c r="E2049">
        <v>3.1220500000000002</v>
      </c>
      <c r="F2049">
        <v>3.1345100000000001</v>
      </c>
      <c r="G2049">
        <f>_xlfn.MAXIFS(Crypto[Close],Crypto[Name],Crypto[[#This Row],[Name]],Crypto[Date],"&lt;="&amp;Crypto[[#This Row],[Date]])</f>
        <v>3.5557599999999998</v>
      </c>
      <c r="H2049" s="3">
        <f>(Crypto[[#This Row],[Close]]/Crypto[[#This Row],[Peak Close]])-1</f>
        <v>-0.11846975048934683</v>
      </c>
      <c r="I2049">
        <v>3.1878600000000001</v>
      </c>
      <c r="J2049" s="1">
        <v>45879</v>
      </c>
      <c r="K2049" s="3">
        <v>-1.6735364790172701E-2</v>
      </c>
      <c r="L2049">
        <v>8655881431</v>
      </c>
      <c r="M2049" s="2" t="s">
        <v>16</v>
      </c>
    </row>
    <row r="2050" spans="1:13" x14ac:dyDescent="0.3">
      <c r="A2050" s="1">
        <v>45881</v>
      </c>
      <c r="B2050" s="2" t="s">
        <v>15</v>
      </c>
      <c r="C2050">
        <v>3.13449</v>
      </c>
      <c r="D2050">
        <v>3.3002600000000002</v>
      </c>
      <c r="E2050">
        <v>3.1121500000000002</v>
      </c>
      <c r="F2050">
        <v>3.2665099999999998</v>
      </c>
      <c r="G2050">
        <f>_xlfn.MAXIFS(Crypto[Close],Crypto[Name],Crypto[[#This Row],[Name]],Crypto[Date],"&lt;="&amp;Crypto[[#This Row],[Date]])</f>
        <v>3.5557599999999998</v>
      </c>
      <c r="H2050" s="3">
        <f>(Crypto[[#This Row],[Close]]/Crypto[[#This Row],[Peak Close]])-1</f>
        <v>-8.1346885054109364E-2</v>
      </c>
      <c r="I2050">
        <v>3.1345100000000001</v>
      </c>
      <c r="J2050" s="1">
        <v>45880</v>
      </c>
      <c r="K2050" s="3">
        <v>4.2111845232588097E-2</v>
      </c>
      <c r="L2050">
        <v>8909122577</v>
      </c>
      <c r="M2050" s="2" t="s">
        <v>16</v>
      </c>
    </row>
    <row r="2051" spans="1:13" x14ac:dyDescent="0.3">
      <c r="A2051" s="1">
        <v>45882</v>
      </c>
      <c r="B2051" s="2" t="s">
        <v>15</v>
      </c>
      <c r="C2051">
        <v>3.2665099999999998</v>
      </c>
      <c r="D2051">
        <v>3.3238400000000001</v>
      </c>
      <c r="E2051">
        <v>3.2075</v>
      </c>
      <c r="F2051">
        <v>3.2805900000000001</v>
      </c>
      <c r="G2051">
        <f>_xlfn.MAXIFS(Crypto[Close],Crypto[Name],Crypto[[#This Row],[Name]],Crypto[Date],"&lt;="&amp;Crypto[[#This Row],[Date]])</f>
        <v>3.5557599999999998</v>
      </c>
      <c r="H2051" s="3">
        <f>(Crypto[[#This Row],[Close]]/Crypto[[#This Row],[Peak Close]])-1</f>
        <v>-7.7387112741017283E-2</v>
      </c>
      <c r="I2051">
        <v>3.2665099999999998</v>
      </c>
      <c r="J2051" s="1">
        <v>45881</v>
      </c>
      <c r="K2051" s="3">
        <v>4.3104108054162699E-3</v>
      </c>
      <c r="L2051">
        <v>8866523352</v>
      </c>
      <c r="M2051" s="2" t="s">
        <v>16</v>
      </c>
    </row>
    <row r="2052" spans="1:13" x14ac:dyDescent="0.3">
      <c r="A2052" s="1">
        <v>45883</v>
      </c>
      <c r="B2052" s="2" t="s">
        <v>15</v>
      </c>
      <c r="C2052">
        <v>3.28057</v>
      </c>
      <c r="D2052">
        <v>3.34599</v>
      </c>
      <c r="E2052">
        <v>3.0372599999999998</v>
      </c>
      <c r="F2052">
        <v>3.08352</v>
      </c>
      <c r="G2052">
        <f>_xlfn.MAXIFS(Crypto[Close],Crypto[Name],Crypto[[#This Row],[Name]],Crypto[Date],"&lt;="&amp;Crypto[[#This Row],[Date]])</f>
        <v>3.5557599999999998</v>
      </c>
      <c r="H2052" s="3">
        <f>(Crypto[[#This Row],[Close]]/Crypto[[#This Row],[Peak Close]])-1</f>
        <v>-0.1328098634328525</v>
      </c>
      <c r="I2052">
        <v>3.2805900000000001</v>
      </c>
      <c r="J2052" s="1">
        <v>45882</v>
      </c>
      <c r="K2052" s="3">
        <v>-6.0071511526889998E-2</v>
      </c>
      <c r="L2052">
        <v>12234770540</v>
      </c>
      <c r="M2052" s="2" t="s">
        <v>16</v>
      </c>
    </row>
    <row r="2053" spans="1:13" x14ac:dyDescent="0.3">
      <c r="A2053" s="1">
        <v>45884</v>
      </c>
      <c r="B2053" s="2" t="s">
        <v>15</v>
      </c>
      <c r="C2053">
        <v>3.0835599999999999</v>
      </c>
      <c r="D2053">
        <v>3.14276</v>
      </c>
      <c r="E2053">
        <v>3.0085099999999998</v>
      </c>
      <c r="F2053">
        <v>3.0786699999999998</v>
      </c>
      <c r="G2053">
        <f>_xlfn.MAXIFS(Crypto[Close],Crypto[Name],Crypto[[#This Row],[Name]],Crypto[Date],"&lt;="&amp;Crypto[[#This Row],[Date]])</f>
        <v>3.5557599999999998</v>
      </c>
      <c r="H2053" s="3">
        <f>(Crypto[[#This Row],[Close]]/Crypto[[#This Row],[Peak Close]])-1</f>
        <v>-0.1341738475037686</v>
      </c>
      <c r="I2053">
        <v>3.08352</v>
      </c>
      <c r="J2053" s="1">
        <v>45883</v>
      </c>
      <c r="K2053" s="3">
        <v>-1.57287775010386E-3</v>
      </c>
      <c r="L2053">
        <v>7119201345</v>
      </c>
      <c r="M2053" s="2" t="s">
        <v>16</v>
      </c>
    </row>
    <row r="2054" spans="1:13" x14ac:dyDescent="0.3">
      <c r="A2054" s="1">
        <v>45885</v>
      </c>
      <c r="B2054" s="2" t="s">
        <v>15</v>
      </c>
      <c r="C2054">
        <v>3.0786699999999998</v>
      </c>
      <c r="D2054">
        <v>3.1562600000000001</v>
      </c>
      <c r="E2054">
        <v>3.07803</v>
      </c>
      <c r="F2054">
        <v>3.1081400000000001</v>
      </c>
      <c r="G2054">
        <f>_xlfn.MAXIFS(Crypto[Close],Crypto[Name],Crypto[[#This Row],[Name]],Crypto[Date],"&lt;="&amp;Crypto[[#This Row],[Date]])</f>
        <v>3.5557599999999998</v>
      </c>
      <c r="H2054" s="3">
        <f>(Crypto[[#This Row],[Close]]/Crypto[[#This Row],[Peak Close]])-1</f>
        <v>-0.12588588656152266</v>
      </c>
      <c r="I2054">
        <v>3.0786699999999998</v>
      </c>
      <c r="J2054" s="1">
        <v>45884</v>
      </c>
      <c r="K2054" s="3">
        <v>9.5723153179783204E-3</v>
      </c>
      <c r="L2054">
        <v>4171845770</v>
      </c>
      <c r="M2054" s="2" t="s">
        <v>16</v>
      </c>
    </row>
    <row r="2055" spans="1:13" x14ac:dyDescent="0.3">
      <c r="A2055" s="1">
        <v>45886</v>
      </c>
      <c r="B2055" s="2" t="s">
        <v>15</v>
      </c>
      <c r="C2055">
        <v>3.1081300000000001</v>
      </c>
      <c r="D2055">
        <v>3.1466799999999999</v>
      </c>
      <c r="E2055">
        <v>3.08833</v>
      </c>
      <c r="F2055">
        <v>3.0890399999999998</v>
      </c>
      <c r="G2055">
        <f>_xlfn.MAXIFS(Crypto[Close],Crypto[Name],Crypto[[#This Row],[Name]],Crypto[Date],"&lt;="&amp;Crypto[[#This Row],[Date]])</f>
        <v>3.5557599999999998</v>
      </c>
      <c r="H2055" s="3">
        <f>(Crypto[[#This Row],[Close]]/Crypto[[#This Row],[Peak Close]])-1</f>
        <v>-0.13125745269646993</v>
      </c>
      <c r="I2055">
        <v>3.1081400000000001</v>
      </c>
      <c r="J2055" s="1">
        <v>45885</v>
      </c>
      <c r="K2055" s="3">
        <v>-6.14515433667735E-3</v>
      </c>
      <c r="L2055">
        <v>3705547889</v>
      </c>
      <c r="M2055" s="2" t="s">
        <v>16</v>
      </c>
    </row>
    <row r="2056" spans="1:13" x14ac:dyDescent="0.3">
      <c r="A2056" s="1">
        <v>45887</v>
      </c>
      <c r="B2056" s="2" t="s">
        <v>15</v>
      </c>
      <c r="C2056">
        <v>3.0890399999999998</v>
      </c>
      <c r="D2056">
        <v>3.09565</v>
      </c>
      <c r="E2056">
        <v>2.9472700000000001</v>
      </c>
      <c r="F2056">
        <v>3.06148</v>
      </c>
      <c r="G2056">
        <f>_xlfn.MAXIFS(Crypto[Close],Crypto[Name],Crypto[[#This Row],[Name]],Crypto[Date],"&lt;="&amp;Crypto[[#This Row],[Date]])</f>
        <v>3.5557599999999998</v>
      </c>
      <c r="H2056" s="3">
        <f>(Crypto[[#This Row],[Close]]/Crypto[[#This Row],[Peak Close]])-1</f>
        <v>-0.13900825702522102</v>
      </c>
      <c r="I2056">
        <v>3.0890399999999998</v>
      </c>
      <c r="J2056" s="1">
        <v>45886</v>
      </c>
      <c r="K2056" s="3">
        <v>-8.9218656929012895E-3</v>
      </c>
      <c r="L2056">
        <v>8082538521</v>
      </c>
      <c r="M2056" s="2" t="s">
        <v>16</v>
      </c>
    </row>
    <row r="2057" spans="1:13" x14ac:dyDescent="0.3">
      <c r="A2057" s="1">
        <v>45888</v>
      </c>
      <c r="B2057" s="2" t="s">
        <v>15</v>
      </c>
      <c r="C2057">
        <v>3.06149</v>
      </c>
      <c r="D2057">
        <v>3.08026</v>
      </c>
      <c r="E2057">
        <v>2.85195</v>
      </c>
      <c r="F2057">
        <v>2.8529200000000001</v>
      </c>
      <c r="G2057">
        <f>_xlfn.MAXIFS(Crypto[Close],Crypto[Name],Crypto[[#This Row],[Name]],Crypto[Date],"&lt;="&amp;Crypto[[#This Row],[Date]])</f>
        <v>3.5557599999999998</v>
      </c>
      <c r="H2057" s="3">
        <f>(Crypto[[#This Row],[Close]]/Crypto[[#This Row],[Peak Close]])-1</f>
        <v>-0.19766238441289619</v>
      </c>
      <c r="I2057">
        <v>3.06148</v>
      </c>
      <c r="J2057" s="1">
        <v>45887</v>
      </c>
      <c r="K2057" s="3">
        <v>-6.8123913923984397E-2</v>
      </c>
      <c r="L2057">
        <v>7026863070</v>
      </c>
      <c r="M2057" s="2" t="s">
        <v>16</v>
      </c>
    </row>
    <row r="2058" spans="1:13" x14ac:dyDescent="0.3">
      <c r="A2058" s="1">
        <v>45889</v>
      </c>
      <c r="B2058" s="2" t="s">
        <v>15</v>
      </c>
      <c r="C2058">
        <v>2.8530700000000002</v>
      </c>
      <c r="D2058">
        <v>2.9853000000000001</v>
      </c>
      <c r="E2058">
        <v>2.82673</v>
      </c>
      <c r="F2058">
        <v>2.9507500000000002</v>
      </c>
      <c r="G2058">
        <f>_xlfn.MAXIFS(Crypto[Close],Crypto[Name],Crypto[[#This Row],[Name]],Crypto[Date],"&lt;="&amp;Crypto[[#This Row],[Date]])</f>
        <v>3.5557599999999998</v>
      </c>
      <c r="H2058" s="3">
        <f>(Crypto[[#This Row],[Close]]/Crypto[[#This Row],[Peak Close]])-1</f>
        <v>-0.17014927891646225</v>
      </c>
      <c r="I2058">
        <v>2.8529200000000001</v>
      </c>
      <c r="J2058" s="1">
        <v>45888</v>
      </c>
      <c r="K2058" s="3">
        <v>3.4291182367539197E-2</v>
      </c>
      <c r="L2058">
        <v>7007191461</v>
      </c>
      <c r="M2058" s="2" t="s">
        <v>16</v>
      </c>
    </row>
    <row r="2059" spans="1:13" x14ac:dyDescent="0.3">
      <c r="A2059" s="1">
        <v>45890</v>
      </c>
      <c r="B2059" s="2" t="s">
        <v>15</v>
      </c>
      <c r="C2059">
        <v>2.9507500000000002</v>
      </c>
      <c r="D2059">
        <v>2.9521700000000002</v>
      </c>
      <c r="E2059">
        <v>2.8439700000000001</v>
      </c>
      <c r="F2059">
        <v>2.8504700000000001</v>
      </c>
      <c r="G2059">
        <f>_xlfn.MAXIFS(Crypto[Close],Crypto[Name],Crypto[[#This Row],[Name]],Crypto[Date],"&lt;="&amp;Crypto[[#This Row],[Date]])</f>
        <v>3.5557599999999998</v>
      </c>
      <c r="H2059" s="3">
        <f>(Crypto[[#This Row],[Close]]/Crypto[[#This Row],[Peak Close]])-1</f>
        <v>-0.19835140729408052</v>
      </c>
      <c r="I2059">
        <v>2.9507500000000002</v>
      </c>
      <c r="J2059" s="1">
        <v>45889</v>
      </c>
      <c r="K2059" s="3">
        <v>-3.39845801914768E-2</v>
      </c>
      <c r="L2059">
        <v>4660595472</v>
      </c>
      <c r="M2059" s="2" t="s">
        <v>16</v>
      </c>
    </row>
    <row r="2060" spans="1:13" x14ac:dyDescent="0.3">
      <c r="A2060" s="1">
        <v>45891</v>
      </c>
      <c r="B2060" s="2" t="s">
        <v>15</v>
      </c>
      <c r="C2060">
        <v>2.8505099999999999</v>
      </c>
      <c r="D2060">
        <v>3.0979899999999998</v>
      </c>
      <c r="E2060">
        <v>2.7843399999999998</v>
      </c>
      <c r="F2060">
        <v>3.0757699999999999</v>
      </c>
      <c r="G2060">
        <f>_xlfn.MAXIFS(Crypto[Close],Crypto[Name],Crypto[[#This Row],[Name]],Crypto[Date],"&lt;="&amp;Crypto[[#This Row],[Date]])</f>
        <v>3.5557599999999998</v>
      </c>
      <c r="H2060" s="3">
        <f>(Crypto[[#This Row],[Close]]/Crypto[[#This Row],[Peak Close]])-1</f>
        <v>-0.13498942560802751</v>
      </c>
      <c r="I2060">
        <v>2.8504700000000001</v>
      </c>
      <c r="J2060" s="1">
        <v>45890</v>
      </c>
      <c r="K2060" s="3">
        <v>7.9039596978743798E-2</v>
      </c>
      <c r="L2060">
        <v>10060500291</v>
      </c>
      <c r="M2060" s="2" t="s">
        <v>16</v>
      </c>
    </row>
    <row r="2061" spans="1:13" x14ac:dyDescent="0.3">
      <c r="A2061" s="1">
        <v>45892</v>
      </c>
      <c r="B2061" s="2" t="s">
        <v>15</v>
      </c>
      <c r="C2061">
        <v>3.07578</v>
      </c>
      <c r="D2061">
        <v>3.07579</v>
      </c>
      <c r="E2061">
        <v>2.9706800000000002</v>
      </c>
      <c r="F2061">
        <v>3.0462099999999999</v>
      </c>
      <c r="G2061">
        <f>_xlfn.MAXIFS(Crypto[Close],Crypto[Name],Crypto[[#This Row],[Name]],Crypto[Date],"&lt;="&amp;Crypto[[#This Row],[Date]])</f>
        <v>3.5557599999999998</v>
      </c>
      <c r="H2061" s="3">
        <f>(Crypto[[#This Row],[Close]]/Crypto[[#This Row],[Peak Close]])-1</f>
        <v>-0.14330269759488834</v>
      </c>
      <c r="I2061">
        <v>3.0757699999999999</v>
      </c>
      <c r="J2061" s="1">
        <v>45891</v>
      </c>
      <c r="K2061" s="3">
        <v>-9.61060157293947E-3</v>
      </c>
      <c r="L2061">
        <v>4711873113</v>
      </c>
      <c r="M2061" s="2" t="s">
        <v>16</v>
      </c>
    </row>
    <row r="2062" spans="1:13" x14ac:dyDescent="0.3">
      <c r="A2062" s="1">
        <v>45893</v>
      </c>
      <c r="B2062" s="2" t="s">
        <v>15</v>
      </c>
      <c r="C2062">
        <v>3.04623</v>
      </c>
      <c r="D2062">
        <v>3.1236700000000002</v>
      </c>
      <c r="E2062">
        <v>2.99892</v>
      </c>
      <c r="F2062">
        <v>3.0258699999999998</v>
      </c>
      <c r="G2062">
        <f>_xlfn.MAXIFS(Crypto[Close],Crypto[Name],Crypto[[#This Row],[Name]],Crypto[Date],"&lt;="&amp;Crypto[[#This Row],[Date]])</f>
        <v>3.5557599999999998</v>
      </c>
      <c r="H2062" s="3">
        <f>(Crypto[[#This Row],[Close]]/Crypto[[#This Row],[Peak Close]])-1</f>
        <v>-0.14902299367786354</v>
      </c>
      <c r="I2062">
        <v>3.0462099999999999</v>
      </c>
      <c r="J2062" s="1">
        <v>45892</v>
      </c>
      <c r="K2062" s="3">
        <v>-6.6771496384031397E-3</v>
      </c>
      <c r="L2062">
        <v>6414069609</v>
      </c>
      <c r="M2062" s="2" t="s">
        <v>16</v>
      </c>
    </row>
    <row r="2063" spans="1:13" x14ac:dyDescent="0.3">
      <c r="A2063" s="1">
        <v>45894</v>
      </c>
      <c r="B2063" s="2" t="s">
        <v>15</v>
      </c>
      <c r="C2063">
        <v>3.0258799999999999</v>
      </c>
      <c r="D2063">
        <v>3.0491600000000001</v>
      </c>
      <c r="E2063">
        <v>2.83338</v>
      </c>
      <c r="F2063">
        <v>2.8612700000000002</v>
      </c>
      <c r="G2063">
        <f>_xlfn.MAXIFS(Crypto[Close],Crypto[Name],Crypto[[#This Row],[Name]],Crypto[Date],"&lt;="&amp;Crypto[[#This Row],[Date]])</f>
        <v>3.5557599999999998</v>
      </c>
      <c r="H2063" s="3">
        <f>(Crypto[[#This Row],[Close]]/Crypto[[#This Row],[Peak Close]])-1</f>
        <v>-0.19531408194028832</v>
      </c>
      <c r="I2063">
        <v>3.0258699999999998</v>
      </c>
      <c r="J2063" s="1">
        <v>45893</v>
      </c>
      <c r="K2063" s="3">
        <v>-5.4397578217173802E-2</v>
      </c>
      <c r="L2063">
        <v>7446594518</v>
      </c>
      <c r="M2063" s="2" t="s">
        <v>16</v>
      </c>
    </row>
    <row r="2064" spans="1:13" x14ac:dyDescent="0.3">
      <c r="A2064" s="1">
        <v>45895</v>
      </c>
      <c r="B2064" s="2" t="s">
        <v>15</v>
      </c>
      <c r="C2064">
        <v>2.8612600000000001</v>
      </c>
      <c r="D2064">
        <v>3.0737399999999999</v>
      </c>
      <c r="E2064">
        <v>2.85772</v>
      </c>
      <c r="F2064">
        <v>3.0122200000000001</v>
      </c>
      <c r="G2064">
        <f>_xlfn.MAXIFS(Crypto[Close],Crypto[Name],Crypto[[#This Row],[Name]],Crypto[Date],"&lt;="&amp;Crypto[[#This Row],[Date]])</f>
        <v>3.5557599999999998</v>
      </c>
      <c r="H2064" s="3">
        <f>(Crypto[[#This Row],[Close]]/Crypto[[#This Row],[Peak Close]])-1</f>
        <v>-0.15286183544446186</v>
      </c>
      <c r="I2064">
        <v>2.8612700000000002</v>
      </c>
      <c r="J2064" s="1">
        <v>45894</v>
      </c>
      <c r="K2064" s="3">
        <v>5.2756293533990098E-2</v>
      </c>
      <c r="L2064">
        <v>7015039498</v>
      </c>
      <c r="M2064" s="2" t="s">
        <v>16</v>
      </c>
    </row>
    <row r="2065" spans="1:13" x14ac:dyDescent="0.3">
      <c r="A2065" s="1">
        <v>45896</v>
      </c>
      <c r="B2065" s="2" t="s">
        <v>15</v>
      </c>
      <c r="C2065">
        <v>3.0122300000000002</v>
      </c>
      <c r="D2065">
        <v>3.0425300000000002</v>
      </c>
      <c r="E2065">
        <v>2.96428</v>
      </c>
      <c r="F2065">
        <v>2.9666199999999998</v>
      </c>
      <c r="G2065">
        <f>_xlfn.MAXIFS(Crypto[Close],Crypto[Name],Crypto[[#This Row],[Name]],Crypto[Date],"&lt;="&amp;Crypto[[#This Row],[Date]])</f>
        <v>3.5557599999999998</v>
      </c>
      <c r="H2065" s="3">
        <f>(Crypto[[#This Row],[Close]]/Crypto[[#This Row],[Peak Close]])-1</f>
        <v>-0.16568609804936218</v>
      </c>
      <c r="I2065">
        <v>3.0122200000000001</v>
      </c>
      <c r="J2065" s="1">
        <v>45895</v>
      </c>
      <c r="K2065" s="3">
        <v>-1.51383365092856E-2</v>
      </c>
      <c r="L2065">
        <v>6656258780</v>
      </c>
      <c r="M2065" s="2" t="s">
        <v>16</v>
      </c>
    </row>
    <row r="2066" spans="1:13" x14ac:dyDescent="0.3">
      <c r="A2066" s="1">
        <v>45897</v>
      </c>
      <c r="B2066" s="2" t="s">
        <v>15</v>
      </c>
      <c r="C2066">
        <v>2.96672</v>
      </c>
      <c r="D2066">
        <v>3.02407</v>
      </c>
      <c r="E2066">
        <v>2.9460999999999999</v>
      </c>
      <c r="F2066">
        <v>2.9670899999999998</v>
      </c>
      <c r="G2066">
        <f>_xlfn.MAXIFS(Crypto[Close],Crypto[Name],Crypto[[#This Row],[Name]],Crypto[Date],"&lt;="&amp;Crypto[[#This Row],[Date]])</f>
        <v>3.5557599999999998</v>
      </c>
      <c r="H2066" s="3">
        <f>(Crypto[[#This Row],[Close]]/Crypto[[#This Row],[Peak Close]])-1</f>
        <v>-0.16555391814970644</v>
      </c>
      <c r="I2066">
        <v>2.9666199999999998</v>
      </c>
      <c r="J2066" s="1">
        <v>45896</v>
      </c>
      <c r="K2066" s="3">
        <v>1.5842945844090901E-4</v>
      </c>
      <c r="L2066">
        <v>5961279099</v>
      </c>
      <c r="M2066" s="2" t="s">
        <v>16</v>
      </c>
    </row>
    <row r="2067" spans="1:13" x14ac:dyDescent="0.3">
      <c r="A2067" s="1">
        <v>45898</v>
      </c>
      <c r="B2067" s="2" t="s">
        <v>15</v>
      </c>
      <c r="C2067">
        <v>2.96705</v>
      </c>
      <c r="D2067">
        <v>2.9724400000000002</v>
      </c>
      <c r="E2067">
        <v>2.7809599999999999</v>
      </c>
      <c r="F2067">
        <v>2.8219599999999998</v>
      </c>
      <c r="G2067">
        <f>_xlfn.MAXIFS(Crypto[Close],Crypto[Name],Crypto[[#This Row],[Name]],Crypto[Date],"&lt;="&amp;Crypto[[#This Row],[Date]])</f>
        <v>3.5557599999999998</v>
      </c>
      <c r="H2067" s="3">
        <f>(Crypto[[#This Row],[Close]]/Crypto[[#This Row],[Peak Close]])-1</f>
        <v>-0.20636938376043379</v>
      </c>
      <c r="I2067">
        <v>2.9670899999999998</v>
      </c>
      <c r="J2067" s="1">
        <v>45897</v>
      </c>
      <c r="K2067" s="3">
        <v>-4.8913244963920903E-2</v>
      </c>
      <c r="L2067">
        <v>8455152430</v>
      </c>
      <c r="M2067" s="2" t="s">
        <v>16</v>
      </c>
    </row>
    <row r="2068" spans="1:13" x14ac:dyDescent="0.3">
      <c r="A2068" s="1">
        <v>45899</v>
      </c>
      <c r="B2068" s="2" t="s">
        <v>15</v>
      </c>
      <c r="C2068">
        <v>2.82193</v>
      </c>
      <c r="D2068">
        <v>2.8336800000000002</v>
      </c>
      <c r="E2068">
        <v>2.77129</v>
      </c>
      <c r="F2068">
        <v>2.81819</v>
      </c>
      <c r="G2068">
        <f>_xlfn.MAXIFS(Crypto[Close],Crypto[Name],Crypto[[#This Row],[Name]],Crypto[Date],"&lt;="&amp;Crypto[[#This Row],[Date]])</f>
        <v>3.5557599999999998</v>
      </c>
      <c r="H2068" s="3">
        <f>(Crypto[[#This Row],[Close]]/Crypto[[#This Row],[Peak Close]])-1</f>
        <v>-0.20742963529597047</v>
      </c>
      <c r="I2068">
        <v>2.8219599999999998</v>
      </c>
      <c r="J2068" s="1">
        <v>45898</v>
      </c>
      <c r="K2068" s="3">
        <v>-1.33595089937484E-3</v>
      </c>
      <c r="L2068">
        <v>3786859473</v>
      </c>
      <c r="M2068" s="2" t="s">
        <v>16</v>
      </c>
    </row>
    <row r="2069" spans="1:13" x14ac:dyDescent="0.3">
      <c r="A2069" s="1">
        <v>45900</v>
      </c>
      <c r="B2069" s="2" t="s">
        <v>15</v>
      </c>
      <c r="C2069">
        <v>2.81819</v>
      </c>
      <c r="D2069">
        <v>2.8643100000000001</v>
      </c>
      <c r="E2069">
        <v>2.7743799999999998</v>
      </c>
      <c r="F2069">
        <v>2.77664</v>
      </c>
      <c r="G2069">
        <f>_xlfn.MAXIFS(Crypto[Close],Crypto[Name],Crypto[[#This Row],[Name]],Crypto[Date],"&lt;="&amp;Crypto[[#This Row],[Date]])</f>
        <v>3.5557599999999998</v>
      </c>
      <c r="H2069" s="3">
        <f>(Crypto[[#This Row],[Close]]/Crypto[[#This Row],[Peak Close]])-1</f>
        <v>-0.21911490089319863</v>
      </c>
      <c r="I2069">
        <v>2.81819</v>
      </c>
      <c r="J2069" s="1">
        <v>45899</v>
      </c>
      <c r="K2069" s="3">
        <v>-1.4743505583370901E-2</v>
      </c>
      <c r="L2069">
        <v>3292986154</v>
      </c>
      <c r="M2069" s="2" t="s">
        <v>16</v>
      </c>
    </row>
    <row r="2070" spans="1:13" x14ac:dyDescent="0.3">
      <c r="A2070" s="1">
        <v>45901</v>
      </c>
      <c r="B2070" s="2" t="s">
        <v>15</v>
      </c>
      <c r="C2070">
        <v>2.7766799999999998</v>
      </c>
      <c r="D2070">
        <v>2.8342700000000001</v>
      </c>
      <c r="E2070">
        <v>2.7064400000000002</v>
      </c>
      <c r="F2070">
        <v>2.7536999999999998</v>
      </c>
      <c r="G2070">
        <f>_xlfn.MAXIFS(Crypto[Close],Crypto[Name],Crypto[[#This Row],[Name]],Crypto[Date],"&lt;="&amp;Crypto[[#This Row],[Date]])</f>
        <v>3.5557599999999998</v>
      </c>
      <c r="H2070" s="3">
        <f>(Crypto[[#This Row],[Close]]/Crypto[[#This Row],[Peak Close]])-1</f>
        <v>-0.22556640493171642</v>
      </c>
      <c r="I2070">
        <v>2.77664</v>
      </c>
      <c r="J2070" s="1">
        <v>45900</v>
      </c>
      <c r="K2070" s="3">
        <v>-8.2617840267374208E-3</v>
      </c>
      <c r="L2070">
        <v>8041446525</v>
      </c>
      <c r="M2070" s="2" t="s">
        <v>16</v>
      </c>
    </row>
    <row r="2071" spans="1:13" x14ac:dyDescent="0.3">
      <c r="A2071" s="1">
        <v>45902</v>
      </c>
      <c r="B2071" s="2" t="s">
        <v>15</v>
      </c>
      <c r="C2071">
        <v>2.7538399999999998</v>
      </c>
      <c r="D2071">
        <v>2.86252</v>
      </c>
      <c r="E2071">
        <v>2.75075</v>
      </c>
      <c r="F2071">
        <v>2.8618600000000001</v>
      </c>
      <c r="G2071">
        <f>_xlfn.MAXIFS(Crypto[Close],Crypto[Name],Crypto[[#This Row],[Name]],Crypto[Date],"&lt;="&amp;Crypto[[#This Row],[Date]])</f>
        <v>3.5557599999999998</v>
      </c>
      <c r="H2071" s="3">
        <f>(Crypto[[#This Row],[Close]]/Crypto[[#This Row],[Peak Close]])-1</f>
        <v>-0.19514815398114604</v>
      </c>
      <c r="I2071">
        <v>2.7536999999999998</v>
      </c>
      <c r="J2071" s="1">
        <v>45901</v>
      </c>
      <c r="K2071" s="3">
        <v>3.9278062243527E-2</v>
      </c>
      <c r="L2071">
        <v>7493678799</v>
      </c>
      <c r="M2071" s="2" t="s">
        <v>16</v>
      </c>
    </row>
    <row r="2072" spans="1:13" x14ac:dyDescent="0.3">
      <c r="A2072" s="1">
        <v>45903</v>
      </c>
      <c r="B2072" s="2" t="s">
        <v>15</v>
      </c>
      <c r="C2072">
        <v>2.86185</v>
      </c>
      <c r="D2072">
        <v>2.8848500000000001</v>
      </c>
      <c r="E2072">
        <v>2.8140399999999999</v>
      </c>
      <c r="F2072">
        <v>2.8448899999999999</v>
      </c>
      <c r="G2072">
        <f>_xlfn.MAXIFS(Crypto[Close],Crypto[Name],Crypto[[#This Row],[Name]],Crypto[Date],"&lt;="&amp;Crypto[[#This Row],[Date]])</f>
        <v>3.5557599999999998</v>
      </c>
      <c r="H2072" s="3">
        <f>(Crypto[[#This Row],[Close]]/Crypto[[#This Row],[Peak Close]])-1</f>
        <v>-0.19992069206020657</v>
      </c>
      <c r="I2072">
        <v>2.8618600000000001</v>
      </c>
      <c r="J2072" s="1">
        <v>45902</v>
      </c>
      <c r="K2072" s="3">
        <v>-5.9297100487096296E-3</v>
      </c>
      <c r="L2072">
        <v>4435438842</v>
      </c>
      <c r="M2072" s="2" t="s">
        <v>16</v>
      </c>
    </row>
    <row r="2073" spans="1:13" x14ac:dyDescent="0.3">
      <c r="A2073" s="1">
        <v>45904</v>
      </c>
      <c r="B2073" s="2" t="s">
        <v>15</v>
      </c>
      <c r="C2073">
        <v>2.8449</v>
      </c>
      <c r="D2073">
        <v>2.85907</v>
      </c>
      <c r="E2073">
        <v>2.7885900000000001</v>
      </c>
      <c r="F2073">
        <v>2.79583</v>
      </c>
      <c r="G2073">
        <f>_xlfn.MAXIFS(Crypto[Close],Crypto[Name],Crypto[[#This Row],[Name]],Crypto[Date],"&lt;="&amp;Crypto[[#This Row],[Date]])</f>
        <v>3.5557599999999998</v>
      </c>
      <c r="H2073" s="3">
        <f>(Crypto[[#This Row],[Close]]/Crypto[[#This Row],[Peak Close]])-1</f>
        <v>-0.21371802371363646</v>
      </c>
      <c r="I2073">
        <v>2.8448899999999999</v>
      </c>
      <c r="J2073" s="1">
        <v>45903</v>
      </c>
      <c r="K2073" s="3">
        <v>-1.7244954989472299E-2</v>
      </c>
      <c r="L2073">
        <v>4856488220</v>
      </c>
      <c r="M2073" s="2" t="s">
        <v>16</v>
      </c>
    </row>
    <row r="2074" spans="1:13" x14ac:dyDescent="0.3">
      <c r="A2074" s="1">
        <v>45905</v>
      </c>
      <c r="B2074" s="2" t="s">
        <v>15</v>
      </c>
      <c r="C2074">
        <v>2.79582</v>
      </c>
      <c r="D2074">
        <v>2.8827099999999999</v>
      </c>
      <c r="E2074">
        <v>2.7810899999999998</v>
      </c>
      <c r="F2074">
        <v>2.8162500000000001</v>
      </c>
      <c r="G2074">
        <f>_xlfn.MAXIFS(Crypto[Close],Crypto[Name],Crypto[[#This Row],[Name]],Crypto[Date],"&lt;="&amp;Crypto[[#This Row],[Date]])</f>
        <v>3.5557599999999998</v>
      </c>
      <c r="H2074" s="3">
        <f>(Crypto[[#This Row],[Close]]/Crypto[[#This Row],[Peak Close]])-1</f>
        <v>-0.20797522892433673</v>
      </c>
      <c r="I2074">
        <v>2.79583</v>
      </c>
      <c r="J2074" s="1">
        <v>45904</v>
      </c>
      <c r="K2074" s="3">
        <v>7.3037344902945099E-3</v>
      </c>
      <c r="L2074">
        <v>6912100967</v>
      </c>
      <c r="M2074" s="2" t="s">
        <v>16</v>
      </c>
    </row>
    <row r="2075" spans="1:13" x14ac:dyDescent="0.3">
      <c r="A2075" s="1">
        <v>45906</v>
      </c>
      <c r="B2075" s="2" t="s">
        <v>15</v>
      </c>
      <c r="C2075">
        <v>2.8162500000000001</v>
      </c>
      <c r="D2075">
        <v>2.82782</v>
      </c>
      <c r="E2075">
        <v>2.7945099999999998</v>
      </c>
      <c r="F2075">
        <v>2.8108499999999998</v>
      </c>
      <c r="G2075">
        <f>_xlfn.MAXIFS(Crypto[Close],Crypto[Name],Crypto[[#This Row],[Name]],Crypto[Date],"&lt;="&amp;Crypto[[#This Row],[Date]])</f>
        <v>3.5557599999999998</v>
      </c>
      <c r="H2075" s="3">
        <f>(Crypto[[#This Row],[Close]]/Crypto[[#This Row],[Peak Close]])-1</f>
        <v>-0.20949389160123288</v>
      </c>
      <c r="I2075">
        <v>2.8162500000000001</v>
      </c>
      <c r="J2075" s="1">
        <v>45905</v>
      </c>
      <c r="K2075" s="3">
        <v>-1.9174434087883901E-3</v>
      </c>
      <c r="L2075">
        <v>2098512724</v>
      </c>
      <c r="M2075" s="2" t="s">
        <v>16</v>
      </c>
    </row>
    <row r="2076" spans="1:13" x14ac:dyDescent="0.3">
      <c r="A2076" s="1">
        <v>45907</v>
      </c>
      <c r="B2076" s="2" t="s">
        <v>15</v>
      </c>
      <c r="C2076">
        <v>2.8108499999999998</v>
      </c>
      <c r="D2076">
        <v>2.9104100000000002</v>
      </c>
      <c r="E2076">
        <v>2.8106300000000002</v>
      </c>
      <c r="F2076">
        <v>2.8785599999999998</v>
      </c>
      <c r="G2076">
        <f>_xlfn.MAXIFS(Crypto[Close],Crypto[Name],Crypto[[#This Row],[Name]],Crypto[Date],"&lt;="&amp;Crypto[[#This Row],[Date]])</f>
        <v>3.5557599999999998</v>
      </c>
      <c r="H2076" s="3">
        <f>(Crypto[[#This Row],[Close]]/Crypto[[#This Row],[Peak Close]])-1</f>
        <v>-0.19045154903593042</v>
      </c>
      <c r="I2076">
        <v>2.8108499999999998</v>
      </c>
      <c r="J2076" s="1">
        <v>45906</v>
      </c>
      <c r="K2076" s="3">
        <v>2.4088798761940301E-2</v>
      </c>
      <c r="L2076">
        <v>3861213414</v>
      </c>
      <c r="M2076" s="2" t="s">
        <v>16</v>
      </c>
    </row>
    <row r="2077" spans="1:13" x14ac:dyDescent="0.3">
      <c r="A2077" s="1">
        <v>45908</v>
      </c>
      <c r="B2077" s="2" t="s">
        <v>15</v>
      </c>
      <c r="C2077">
        <v>2.8785599999999998</v>
      </c>
      <c r="D2077">
        <v>2.9918999999999998</v>
      </c>
      <c r="E2077">
        <v>2.8672</v>
      </c>
      <c r="F2077">
        <v>2.9704000000000002</v>
      </c>
      <c r="G2077">
        <f>_xlfn.MAXIFS(Crypto[Close],Crypto[Name],Crypto[[#This Row],[Name]],Crypto[Date],"&lt;="&amp;Crypto[[#This Row],[Date]])</f>
        <v>3.5557599999999998</v>
      </c>
      <c r="H2077" s="3">
        <f>(Crypto[[#This Row],[Close]]/Crypto[[#This Row],[Peak Close]])-1</f>
        <v>-0.16462303417553481</v>
      </c>
      <c r="I2077">
        <v>2.8785599999999998</v>
      </c>
      <c r="J2077" s="1">
        <v>45907</v>
      </c>
      <c r="K2077" s="3">
        <v>3.1904841309543797E-2</v>
      </c>
      <c r="L2077">
        <v>6130006998</v>
      </c>
      <c r="M2077" s="2" t="s">
        <v>16</v>
      </c>
    </row>
    <row r="2078" spans="1:13" x14ac:dyDescent="0.3">
      <c r="A2078" s="1">
        <v>45909</v>
      </c>
      <c r="B2078" s="2" t="s">
        <v>15</v>
      </c>
      <c r="C2078">
        <v>2.9704000000000002</v>
      </c>
      <c r="D2078">
        <v>3.03321</v>
      </c>
      <c r="E2078">
        <v>2.9352100000000001</v>
      </c>
      <c r="F2078">
        <v>2.9466100000000002</v>
      </c>
      <c r="G2078">
        <f>_xlfn.MAXIFS(Crypto[Close],Crypto[Name],Crypto[[#This Row],[Name]],Crypto[Date],"&lt;="&amp;Crypto[[#This Row],[Date]])</f>
        <v>3.5557599999999998</v>
      </c>
      <c r="H2078" s="3">
        <f>(Crypto[[#This Row],[Close]]/Crypto[[#This Row],[Peak Close]])-1</f>
        <v>-0.17131358696874921</v>
      </c>
      <c r="I2078">
        <v>2.9704000000000002</v>
      </c>
      <c r="J2078" s="1">
        <v>45908</v>
      </c>
      <c r="K2078" s="3">
        <v>-8.0090223538917208E-3</v>
      </c>
      <c r="L2078">
        <v>5916483406</v>
      </c>
      <c r="M2078" s="2" t="s">
        <v>16</v>
      </c>
    </row>
    <row r="2079" spans="1:13" x14ac:dyDescent="0.3">
      <c r="A2079" s="1">
        <v>45910</v>
      </c>
      <c r="B2079" s="2" t="s">
        <v>15</v>
      </c>
      <c r="C2079">
        <v>2.9466100000000002</v>
      </c>
      <c r="D2079">
        <v>3.0198900000000002</v>
      </c>
      <c r="E2079">
        <v>2.9369100000000001</v>
      </c>
      <c r="F2079">
        <v>2.9817100000000001</v>
      </c>
      <c r="G2079">
        <f>_xlfn.MAXIFS(Crypto[Close],Crypto[Name],Crypto[[#This Row],[Name]],Crypto[Date],"&lt;="&amp;Crypto[[#This Row],[Date]])</f>
        <v>3.5557599999999998</v>
      </c>
      <c r="H2079" s="3">
        <f>(Crypto[[#This Row],[Close]]/Crypto[[#This Row],[Peak Close]])-1</f>
        <v>-0.16144227956892476</v>
      </c>
      <c r="I2079">
        <v>2.9466100000000002</v>
      </c>
      <c r="J2079" s="1">
        <v>45909</v>
      </c>
      <c r="K2079" s="3">
        <v>1.1911993782685801E-2</v>
      </c>
      <c r="L2079">
        <v>4335352685</v>
      </c>
      <c r="M2079" s="2" t="s">
        <v>16</v>
      </c>
    </row>
    <row r="2080" spans="1:13" x14ac:dyDescent="0.3">
      <c r="A2080" s="1">
        <v>45911</v>
      </c>
      <c r="B2080" s="2" t="s">
        <v>15</v>
      </c>
      <c r="C2080">
        <v>2.9817300000000002</v>
      </c>
      <c r="D2080">
        <v>3.0474000000000001</v>
      </c>
      <c r="E2080">
        <v>2.9791699999999999</v>
      </c>
      <c r="F2080">
        <v>3.0409299999999999</v>
      </c>
      <c r="G2080">
        <f>_xlfn.MAXIFS(Crypto[Close],Crypto[Name],Crypto[[#This Row],[Name]],Crypto[Date],"&lt;="&amp;Crypto[[#This Row],[Date]])</f>
        <v>3.5557599999999998</v>
      </c>
      <c r="H2080" s="3">
        <f>(Crypto[[#This Row],[Close]]/Crypto[[#This Row],[Peak Close]])-1</f>
        <v>-0.14478761221229774</v>
      </c>
      <c r="I2080">
        <v>2.9817100000000001</v>
      </c>
      <c r="J2080" s="1">
        <v>45910</v>
      </c>
      <c r="K2080" s="3">
        <v>1.98610864235623E-2</v>
      </c>
      <c r="L2080">
        <v>5308930163</v>
      </c>
      <c r="M2080" s="2" t="s">
        <v>16</v>
      </c>
    </row>
    <row r="2081" spans="1:13" x14ac:dyDescent="0.3">
      <c r="A2081" s="1">
        <v>45912</v>
      </c>
      <c r="B2081" s="2" t="s">
        <v>15</v>
      </c>
      <c r="C2081">
        <v>3.04094</v>
      </c>
      <c r="D2081">
        <v>3.1293000000000002</v>
      </c>
      <c r="E2081">
        <v>3.0211800000000002</v>
      </c>
      <c r="F2081">
        <v>3.10764</v>
      </c>
      <c r="G2081">
        <f>_xlfn.MAXIFS(Crypto[Close],Crypto[Name],Crypto[[#This Row],[Name]],Crypto[Date],"&lt;="&amp;Crypto[[#This Row],[Date]])</f>
        <v>3.5557599999999998</v>
      </c>
      <c r="H2081" s="3">
        <f>(Crypto[[#This Row],[Close]]/Crypto[[#This Row],[Peak Close]])-1</f>
        <v>-0.12602650347605004</v>
      </c>
      <c r="I2081">
        <v>3.0409299999999999</v>
      </c>
      <c r="J2081" s="1">
        <v>45911</v>
      </c>
      <c r="K2081" s="3">
        <v>2.1937367844705399E-2</v>
      </c>
      <c r="L2081">
        <v>6243311041</v>
      </c>
      <c r="M2081" s="2" t="s">
        <v>16</v>
      </c>
    </row>
    <row r="2082" spans="1:13" x14ac:dyDescent="0.3">
      <c r="A2082" s="1">
        <v>45913</v>
      </c>
      <c r="B2082" s="2" t="s">
        <v>15</v>
      </c>
      <c r="C2082">
        <v>3.1076199999999998</v>
      </c>
      <c r="D2082">
        <v>3.1834500000000001</v>
      </c>
      <c r="E2082">
        <v>3.09457</v>
      </c>
      <c r="F2082">
        <v>3.12147</v>
      </c>
      <c r="G2082">
        <f>_xlfn.MAXIFS(Crypto[Close],Crypto[Name],Crypto[[#This Row],[Name]],Crypto[Date],"&lt;="&amp;Crypto[[#This Row],[Date]])</f>
        <v>3.5557599999999998</v>
      </c>
      <c r="H2082" s="3">
        <f>(Crypto[[#This Row],[Close]]/Crypto[[#This Row],[Peak Close]])-1</f>
        <v>-0.12213703962022182</v>
      </c>
      <c r="I2082">
        <v>3.10764</v>
      </c>
      <c r="J2082" s="1">
        <v>45912</v>
      </c>
      <c r="K2082" s="3">
        <v>4.4503224311696404E-3</v>
      </c>
      <c r="L2082">
        <v>5576961697</v>
      </c>
      <c r="M2082" s="2" t="s">
        <v>16</v>
      </c>
    </row>
    <row r="2083" spans="1:13" x14ac:dyDescent="0.3">
      <c r="A2083" s="1">
        <v>45914</v>
      </c>
      <c r="B2083" s="2" t="s">
        <v>15</v>
      </c>
      <c r="C2083">
        <v>3.1214499999999998</v>
      </c>
      <c r="D2083">
        <v>3.1250800000000001</v>
      </c>
      <c r="E2083">
        <v>3.0131800000000002</v>
      </c>
      <c r="F2083">
        <v>3.0325299999999999</v>
      </c>
      <c r="G2083">
        <f>_xlfn.MAXIFS(Crypto[Close],Crypto[Name],Crypto[[#This Row],[Name]],Crypto[Date],"&lt;="&amp;Crypto[[#This Row],[Date]])</f>
        <v>3.5557599999999998</v>
      </c>
      <c r="H2083" s="3">
        <f>(Crypto[[#This Row],[Close]]/Crypto[[#This Row],[Peak Close]])-1</f>
        <v>-0.14714997637635829</v>
      </c>
      <c r="I2083">
        <v>3.12147</v>
      </c>
      <c r="J2083" s="1">
        <v>45913</v>
      </c>
      <c r="K2083" s="3">
        <v>-2.84929856766203E-2</v>
      </c>
      <c r="L2083">
        <v>4780192678</v>
      </c>
      <c r="M2083" s="2" t="s">
        <v>16</v>
      </c>
    </row>
    <row r="2084" spans="1:13" x14ac:dyDescent="0.3">
      <c r="A2084" s="1">
        <v>45915</v>
      </c>
      <c r="B2084" s="2" t="s">
        <v>15</v>
      </c>
      <c r="C2084">
        <v>3.0325199999999999</v>
      </c>
      <c r="D2084">
        <v>3.0665</v>
      </c>
      <c r="E2084">
        <v>2.96089</v>
      </c>
      <c r="F2084">
        <v>2.9971100000000002</v>
      </c>
      <c r="G2084">
        <f>_xlfn.MAXIFS(Crypto[Close],Crypto[Name],Crypto[[#This Row],[Name]],Crypto[Date],"&lt;="&amp;Crypto[[#This Row],[Date]])</f>
        <v>3.5557599999999998</v>
      </c>
      <c r="H2084" s="3">
        <f>(Crypto[[#This Row],[Close]]/Crypto[[#This Row],[Peak Close]])-1</f>
        <v>-0.15711127860148033</v>
      </c>
      <c r="I2084">
        <v>3.0325299999999999</v>
      </c>
      <c r="J2084" s="1">
        <v>45914</v>
      </c>
      <c r="K2084" s="3">
        <v>-1.16800163559799E-2</v>
      </c>
      <c r="L2084">
        <v>6168345239</v>
      </c>
      <c r="M2084" s="2" t="s">
        <v>16</v>
      </c>
    </row>
    <row r="2085" spans="1:13" x14ac:dyDescent="0.3">
      <c r="A2085" s="1">
        <v>45916</v>
      </c>
      <c r="B2085" s="2" t="s">
        <v>15</v>
      </c>
      <c r="C2085">
        <v>2.9971100000000002</v>
      </c>
      <c r="D2085">
        <v>3.0577299999999998</v>
      </c>
      <c r="E2085">
        <v>2.9702500000000001</v>
      </c>
      <c r="F2085">
        <v>3.0384899999999999</v>
      </c>
      <c r="G2085">
        <f>_xlfn.MAXIFS(Crypto[Close],Crypto[Name],Crypto[[#This Row],[Name]],Crypto[Date],"&lt;="&amp;Crypto[[#This Row],[Date]])</f>
        <v>3.5557599999999998</v>
      </c>
      <c r="H2085" s="3">
        <f>(Crypto[[#This Row],[Close]]/Crypto[[#This Row],[Peak Close]])-1</f>
        <v>-0.14547382275519161</v>
      </c>
      <c r="I2085">
        <v>2.9971100000000002</v>
      </c>
      <c r="J2085" s="1">
        <v>45915</v>
      </c>
      <c r="K2085" s="3">
        <v>1.3806633723820501E-2</v>
      </c>
      <c r="L2085">
        <v>4790701693</v>
      </c>
      <c r="M2085" s="2" t="s">
        <v>16</v>
      </c>
    </row>
    <row r="2086" spans="1:13" x14ac:dyDescent="0.3">
      <c r="A2086" s="1">
        <v>45917</v>
      </c>
      <c r="B2086" s="2" t="s">
        <v>15</v>
      </c>
      <c r="C2086">
        <v>3.0384899999999999</v>
      </c>
      <c r="D2086">
        <v>3.1062099999999999</v>
      </c>
      <c r="E2086">
        <v>2.98935</v>
      </c>
      <c r="F2086">
        <v>3.0849899999999999</v>
      </c>
      <c r="G2086">
        <f>_xlfn.MAXIFS(Crypto[Close],Crypto[Name],Crypto[[#This Row],[Name]],Crypto[Date],"&lt;="&amp;Crypto[[#This Row],[Date]])</f>
        <v>3.5557599999999998</v>
      </c>
      <c r="H2086" s="3">
        <f>(Crypto[[#This Row],[Close]]/Crypto[[#This Row],[Peak Close]])-1</f>
        <v>-0.13239644970414199</v>
      </c>
      <c r="I2086">
        <v>3.0384899999999999</v>
      </c>
      <c r="J2086" s="1">
        <v>45916</v>
      </c>
      <c r="K2086" s="3">
        <v>1.53036541176703E-2</v>
      </c>
      <c r="L2086">
        <v>6464944702</v>
      </c>
      <c r="M2086" s="2" t="s">
        <v>16</v>
      </c>
    </row>
    <row r="2087" spans="1:13" x14ac:dyDescent="0.3">
      <c r="A2087" s="1">
        <v>45918</v>
      </c>
      <c r="B2087" s="2" t="s">
        <v>15</v>
      </c>
      <c r="C2087">
        <v>3.0849500000000001</v>
      </c>
      <c r="D2087">
        <v>3.1373700000000002</v>
      </c>
      <c r="E2087">
        <v>3.0591200000000001</v>
      </c>
      <c r="F2087">
        <v>3.0762700000000001</v>
      </c>
      <c r="G2087">
        <f>_xlfn.MAXIFS(Crypto[Close],Crypto[Name],Crypto[[#This Row],[Name]],Crypto[Date],"&lt;="&amp;Crypto[[#This Row],[Date]])</f>
        <v>3.5557599999999998</v>
      </c>
      <c r="H2087" s="3">
        <f>(Crypto[[#This Row],[Close]]/Crypto[[#This Row],[Peak Close]])-1</f>
        <v>-0.13484880869350002</v>
      </c>
      <c r="I2087">
        <v>3.0849899999999999</v>
      </c>
      <c r="J2087" s="1">
        <v>45917</v>
      </c>
      <c r="K2087" s="3">
        <v>-2.8265893892686299E-3</v>
      </c>
      <c r="L2087">
        <v>6370715154</v>
      </c>
      <c r="M2087" s="2" t="s">
        <v>16</v>
      </c>
    </row>
    <row r="2088" spans="1:13" x14ac:dyDescent="0.3">
      <c r="A2088" s="1">
        <v>45919</v>
      </c>
      <c r="B2088" s="2" t="s">
        <v>15</v>
      </c>
      <c r="C2088">
        <v>3.0762700000000001</v>
      </c>
      <c r="D2088">
        <v>3.0919599999999998</v>
      </c>
      <c r="E2088">
        <v>2.9828100000000002</v>
      </c>
      <c r="F2088">
        <v>2.9918499999999999</v>
      </c>
      <c r="G2088">
        <f>_xlfn.MAXIFS(Crypto[Close],Crypto[Name],Crypto[[#This Row],[Name]],Crypto[Date],"&lt;="&amp;Crypto[[#This Row],[Date]])</f>
        <v>3.5557599999999998</v>
      </c>
      <c r="H2088" s="3">
        <f>(Crypto[[#This Row],[Close]]/Crypto[[#This Row],[Peak Close]])-1</f>
        <v>-0.1585905685423088</v>
      </c>
      <c r="I2088">
        <v>3.0762700000000001</v>
      </c>
      <c r="J2088" s="1">
        <v>45918</v>
      </c>
      <c r="K2088" s="3">
        <v>-2.74423246334035E-2</v>
      </c>
      <c r="L2088">
        <v>5081524032</v>
      </c>
      <c r="M2088" s="2" t="s">
        <v>16</v>
      </c>
    </row>
    <row r="2089" spans="1:13" x14ac:dyDescent="0.3">
      <c r="A2089" s="1">
        <v>45920</v>
      </c>
      <c r="B2089" s="2" t="s">
        <v>15</v>
      </c>
      <c r="C2089">
        <v>2.9918300000000002</v>
      </c>
      <c r="D2089">
        <v>3.0097700000000001</v>
      </c>
      <c r="E2089">
        <v>2.9726900000000001</v>
      </c>
      <c r="F2089">
        <v>2.97892</v>
      </c>
      <c r="G2089">
        <f>_xlfn.MAXIFS(Crypto[Close],Crypto[Name],Crypto[[#This Row],[Name]],Crypto[Date],"&lt;="&amp;Crypto[[#This Row],[Date]])</f>
        <v>3.5557599999999998</v>
      </c>
      <c r="H2089" s="3">
        <f>(Crypto[[#This Row],[Close]]/Crypto[[#This Row],[Peak Close]])-1</f>
        <v>-0.16222692195198773</v>
      </c>
      <c r="I2089">
        <v>2.9918499999999999</v>
      </c>
      <c r="J2089" s="1">
        <v>45919</v>
      </c>
      <c r="K2089" s="3">
        <v>-4.3217407289803597E-3</v>
      </c>
      <c r="L2089">
        <v>3128134656</v>
      </c>
      <c r="M2089" s="2" t="s">
        <v>16</v>
      </c>
    </row>
    <row r="2090" spans="1:13" x14ac:dyDescent="0.3">
      <c r="A2090" s="1">
        <v>45921</v>
      </c>
      <c r="B2090" s="2" t="s">
        <v>15</v>
      </c>
      <c r="C2090">
        <v>2.9789300000000001</v>
      </c>
      <c r="D2090">
        <v>3.0128599999999999</v>
      </c>
      <c r="E2090">
        <v>2.9580099999999998</v>
      </c>
      <c r="F2090">
        <v>2.9734099999999999</v>
      </c>
      <c r="G2090">
        <f>_xlfn.MAXIFS(Crypto[Close],Crypto[Name],Crypto[[#This Row],[Name]],Crypto[Date],"&lt;="&amp;Crypto[[#This Row],[Date]])</f>
        <v>3.5557599999999998</v>
      </c>
      <c r="H2090" s="3">
        <f>(Crypto[[#This Row],[Close]]/Crypto[[#This Row],[Peak Close]])-1</f>
        <v>-0.16377652035007983</v>
      </c>
      <c r="I2090">
        <v>2.97892</v>
      </c>
      <c r="J2090" s="1">
        <v>45920</v>
      </c>
      <c r="K2090" s="3">
        <v>-1.84966363648575E-3</v>
      </c>
      <c r="L2090">
        <v>3006847619</v>
      </c>
      <c r="M2090" s="2" t="s">
        <v>16</v>
      </c>
    </row>
    <row r="2091" spans="1:13" x14ac:dyDescent="0.3">
      <c r="A2091" s="1">
        <v>45922</v>
      </c>
      <c r="B2091" s="2" t="s">
        <v>15</v>
      </c>
      <c r="C2091">
        <v>2.97342</v>
      </c>
      <c r="D2091">
        <v>2.9750899999999998</v>
      </c>
      <c r="E2091">
        <v>2.7758400000000001</v>
      </c>
      <c r="F2091">
        <v>2.8530099999999998</v>
      </c>
      <c r="G2091">
        <f>_xlfn.MAXIFS(Crypto[Close],Crypto[Name],Crypto[[#This Row],[Name]],Crypto[Date],"&lt;="&amp;Crypto[[#This Row],[Date]])</f>
        <v>3.5557599999999998</v>
      </c>
      <c r="H2091" s="3">
        <f>(Crypto[[#This Row],[Close]]/Crypto[[#This Row],[Peak Close]])-1</f>
        <v>-0.19763707336828129</v>
      </c>
      <c r="I2091">
        <v>2.9734099999999999</v>
      </c>
      <c r="J2091" s="1">
        <v>45921</v>
      </c>
      <c r="K2091" s="3">
        <v>-4.0492229460451203E-2</v>
      </c>
      <c r="L2091">
        <v>10061060584</v>
      </c>
      <c r="M2091" s="2" t="s">
        <v>16</v>
      </c>
    </row>
    <row r="2092" spans="1:13" x14ac:dyDescent="0.3">
      <c r="A2092" s="1">
        <v>45923</v>
      </c>
      <c r="B2092" s="2" t="s">
        <v>15</v>
      </c>
      <c r="C2092">
        <v>2.8530199999999999</v>
      </c>
      <c r="D2092">
        <v>2.8936199999999999</v>
      </c>
      <c r="E2092">
        <v>2.8051200000000001</v>
      </c>
      <c r="F2092">
        <v>2.82816</v>
      </c>
      <c r="G2092">
        <f>_xlfn.MAXIFS(Crypto[Close],Crypto[Name],Crypto[[#This Row],[Name]],Crypto[Date],"&lt;="&amp;Crypto[[#This Row],[Date]])</f>
        <v>3.5557599999999998</v>
      </c>
      <c r="H2092" s="3">
        <f>(Crypto[[#This Row],[Close]]/Crypto[[#This Row],[Peak Close]])-1</f>
        <v>-0.20462573402029383</v>
      </c>
      <c r="I2092">
        <v>2.8530099999999998</v>
      </c>
      <c r="J2092" s="1">
        <v>45922</v>
      </c>
      <c r="K2092" s="3">
        <v>-8.7100991584326097E-3</v>
      </c>
      <c r="L2092">
        <v>5443127217</v>
      </c>
      <c r="M2092" s="2" t="s">
        <v>16</v>
      </c>
    </row>
    <row r="2093" spans="1:13" x14ac:dyDescent="0.3">
      <c r="A2093" s="1">
        <v>45924</v>
      </c>
      <c r="B2093" s="2" t="s">
        <v>15</v>
      </c>
      <c r="C2093">
        <v>2.8281200000000002</v>
      </c>
      <c r="D2093">
        <v>2.9935900000000002</v>
      </c>
      <c r="E2093">
        <v>2.80314</v>
      </c>
      <c r="F2093">
        <v>2.9280400000000002</v>
      </c>
      <c r="G2093">
        <f>_xlfn.MAXIFS(Crypto[Close],Crypto[Name],Crypto[[#This Row],[Name]],Crypto[Date],"&lt;="&amp;Crypto[[#This Row],[Date]])</f>
        <v>3.5557599999999998</v>
      </c>
      <c r="H2093" s="3">
        <f>(Crypto[[#This Row],[Close]]/Crypto[[#This Row],[Peak Close]])-1</f>
        <v>-0.17653609917429736</v>
      </c>
      <c r="I2093">
        <v>2.82816</v>
      </c>
      <c r="J2093" s="1">
        <v>45923</v>
      </c>
      <c r="K2093" s="3">
        <v>3.53162480199141E-2</v>
      </c>
      <c r="L2093">
        <v>6233618625</v>
      </c>
      <c r="M2093" s="2" t="s">
        <v>16</v>
      </c>
    </row>
    <row r="2094" spans="1:13" x14ac:dyDescent="0.3">
      <c r="A2094" s="1">
        <v>45925</v>
      </c>
      <c r="B2094" s="2" t="s">
        <v>15</v>
      </c>
      <c r="C2094">
        <v>2.9280499999999998</v>
      </c>
      <c r="D2094">
        <v>2.94346</v>
      </c>
      <c r="E2094">
        <v>2.7387199999999998</v>
      </c>
      <c r="F2094">
        <v>2.7423199999999999</v>
      </c>
      <c r="G2094">
        <f>_xlfn.MAXIFS(Crypto[Close],Crypto[Name],Crypto[[#This Row],[Name]],Crypto[Date],"&lt;="&amp;Crypto[[#This Row],[Date]])</f>
        <v>3.5557599999999998</v>
      </c>
      <c r="H2094" s="3">
        <f>(Crypto[[#This Row],[Close]]/Crypto[[#This Row],[Peak Close]])-1</f>
        <v>-0.22876684590636043</v>
      </c>
      <c r="I2094">
        <v>2.9280400000000002</v>
      </c>
      <c r="J2094" s="1">
        <v>45924</v>
      </c>
      <c r="K2094" s="3">
        <v>-6.3428095244600594E-2</v>
      </c>
      <c r="L2094">
        <v>9262038626</v>
      </c>
      <c r="M2094" s="2" t="s">
        <v>16</v>
      </c>
    </row>
    <row r="2095" spans="1:13" x14ac:dyDescent="0.3">
      <c r="A2095" s="1">
        <v>45926</v>
      </c>
      <c r="B2095" s="2" t="s">
        <v>15</v>
      </c>
      <c r="C2095">
        <v>2.7423600000000001</v>
      </c>
      <c r="D2095">
        <v>2.80905</v>
      </c>
      <c r="E2095">
        <v>2.70397</v>
      </c>
      <c r="F2095">
        <v>2.7858100000000001</v>
      </c>
      <c r="G2095">
        <f>_xlfn.MAXIFS(Crypto[Close],Crypto[Name],Crypto[[#This Row],[Name]],Crypto[Date],"&lt;="&amp;Crypto[[#This Row],[Date]])</f>
        <v>3.5557599999999998</v>
      </c>
      <c r="H2095" s="3">
        <f>(Crypto[[#This Row],[Close]]/Crypto[[#This Row],[Peak Close]])-1</f>
        <v>-0.21653598668076579</v>
      </c>
      <c r="I2095">
        <v>2.7423199999999999</v>
      </c>
      <c r="J2095" s="1">
        <v>45925</v>
      </c>
      <c r="K2095" s="3">
        <v>1.5858834855159199E-2</v>
      </c>
      <c r="L2095">
        <v>7991469350</v>
      </c>
      <c r="M2095" s="2" t="s">
        <v>16</v>
      </c>
    </row>
    <row r="2096" spans="1:13" x14ac:dyDescent="0.3">
      <c r="A2096" s="1">
        <v>45927</v>
      </c>
      <c r="B2096" s="2" t="s">
        <v>15</v>
      </c>
      <c r="C2096">
        <v>2.7858000000000001</v>
      </c>
      <c r="D2096">
        <v>2.8261599999999998</v>
      </c>
      <c r="E2096">
        <v>2.7664300000000002</v>
      </c>
      <c r="F2096">
        <v>2.8077299999999998</v>
      </c>
      <c r="G2096">
        <f>_xlfn.MAXIFS(Crypto[Close],Crypto[Name],Crypto[[#This Row],[Name]],Crypto[Date],"&lt;="&amp;Crypto[[#This Row],[Date]])</f>
        <v>3.5557599999999998</v>
      </c>
      <c r="H2096" s="3">
        <f>(Crypto[[#This Row],[Close]]/Crypto[[#This Row],[Peak Close]])-1</f>
        <v>-0.21037134114788403</v>
      </c>
      <c r="I2096">
        <v>2.7858100000000001</v>
      </c>
      <c r="J2096" s="1">
        <v>45926</v>
      </c>
      <c r="K2096" s="3">
        <v>7.86844759692862E-3</v>
      </c>
      <c r="L2096">
        <v>2924457406</v>
      </c>
      <c r="M2096" s="2" t="s">
        <v>16</v>
      </c>
    </row>
    <row r="2097" spans="1:13" x14ac:dyDescent="0.3">
      <c r="A2097" s="1">
        <v>45928</v>
      </c>
      <c r="B2097" s="2" t="s">
        <v>15</v>
      </c>
      <c r="C2097">
        <v>2.8077100000000002</v>
      </c>
      <c r="D2097">
        <v>2.8668200000000001</v>
      </c>
      <c r="E2097">
        <v>2.7698900000000002</v>
      </c>
      <c r="F2097">
        <v>2.86659</v>
      </c>
      <c r="G2097">
        <f>_xlfn.MAXIFS(Crypto[Close],Crypto[Name],Crypto[[#This Row],[Name]],Crypto[Date],"&lt;="&amp;Crypto[[#This Row],[Date]])</f>
        <v>3.5557599999999998</v>
      </c>
      <c r="H2097" s="3">
        <f>(Crypto[[#This Row],[Close]]/Crypto[[#This Row],[Peak Close]])-1</f>
        <v>-0.1938179179697167</v>
      </c>
      <c r="I2097">
        <v>2.8077299999999998</v>
      </c>
      <c r="J2097" s="1">
        <v>45927</v>
      </c>
      <c r="K2097" s="3">
        <v>2.0963554187902699E-2</v>
      </c>
      <c r="L2097">
        <v>3306243728</v>
      </c>
      <c r="M2097" s="2" t="s">
        <v>16</v>
      </c>
    </row>
    <row r="2098" spans="1:13" x14ac:dyDescent="0.3">
      <c r="A2098" s="1">
        <v>45929</v>
      </c>
      <c r="B2098" s="2" t="s">
        <v>15</v>
      </c>
      <c r="C2098">
        <v>2.86659</v>
      </c>
      <c r="D2098">
        <v>2.9153699999999998</v>
      </c>
      <c r="E2098">
        <v>2.8486199999999999</v>
      </c>
      <c r="F2098">
        <v>2.8826900000000002</v>
      </c>
      <c r="G2098">
        <f>_xlfn.MAXIFS(Crypto[Close],Crypto[Name],Crypto[[#This Row],[Name]],Crypto[Date],"&lt;="&amp;Crypto[[#This Row],[Date]])</f>
        <v>3.5557599999999998</v>
      </c>
      <c r="H2098" s="3">
        <f>(Crypto[[#This Row],[Close]]/Crypto[[#This Row],[Peak Close]])-1</f>
        <v>-0.18929005332193394</v>
      </c>
      <c r="I2098">
        <v>2.86659</v>
      </c>
      <c r="J2098" s="1">
        <v>45928</v>
      </c>
      <c r="K2098" s="3">
        <v>5.6164292765970101E-3</v>
      </c>
      <c r="L2098">
        <v>5241844741</v>
      </c>
      <c r="M2098" s="2" t="s">
        <v>16</v>
      </c>
    </row>
    <row r="2099" spans="1:13" x14ac:dyDescent="0.3">
      <c r="A2099" s="1">
        <v>45930</v>
      </c>
      <c r="B2099" s="2" t="s">
        <v>15</v>
      </c>
      <c r="C2099">
        <v>2.88266</v>
      </c>
      <c r="D2099">
        <v>2.9061400000000002</v>
      </c>
      <c r="E2099">
        <v>2.8182900000000002</v>
      </c>
      <c r="F2099">
        <v>2.84693</v>
      </c>
      <c r="G2099">
        <f>_xlfn.MAXIFS(Crypto[Close],Crypto[Name],Crypto[[#This Row],[Name]],Crypto[Date],"&lt;="&amp;Crypto[[#This Row],[Date]])</f>
        <v>3.5557599999999998</v>
      </c>
      <c r="H2099" s="3">
        <f>(Crypto[[#This Row],[Close]]/Crypto[[#This Row],[Peak Close]])-1</f>
        <v>-0.19934697504893462</v>
      </c>
      <c r="I2099">
        <v>2.8826900000000002</v>
      </c>
      <c r="J2099" s="1">
        <v>45929</v>
      </c>
      <c r="K2099" s="3">
        <v>-1.24050799773823E-2</v>
      </c>
      <c r="L2099">
        <v>4983474471</v>
      </c>
      <c r="M2099" s="2" t="s">
        <v>16</v>
      </c>
    </row>
    <row r="2100" spans="1:13" x14ac:dyDescent="0.3">
      <c r="A2100" s="1">
        <v>45931</v>
      </c>
      <c r="B2100" s="2" t="s">
        <v>15</v>
      </c>
      <c r="C2100">
        <v>2.84694</v>
      </c>
      <c r="D2100">
        <v>2.9588199999999998</v>
      </c>
      <c r="E2100">
        <v>2.8168500000000001</v>
      </c>
      <c r="F2100">
        <v>2.9472800000000001</v>
      </c>
      <c r="G2100">
        <f>_xlfn.MAXIFS(Crypto[Close],Crypto[Name],Crypto[[#This Row],[Name]],Crypto[Date],"&lt;="&amp;Crypto[[#This Row],[Date]])</f>
        <v>3.5557599999999998</v>
      </c>
      <c r="H2100" s="3">
        <f>(Crypto[[#This Row],[Close]]/Crypto[[#This Row],[Peak Close]])-1</f>
        <v>-0.17112516030328251</v>
      </c>
      <c r="I2100">
        <v>2.84693</v>
      </c>
      <c r="J2100" s="1">
        <v>45930</v>
      </c>
      <c r="K2100" s="3">
        <v>3.52484957480515E-2</v>
      </c>
      <c r="L2100">
        <v>6320890474</v>
      </c>
      <c r="M2100" s="2" t="s">
        <v>16</v>
      </c>
    </row>
    <row r="2101" spans="1:13" x14ac:dyDescent="0.3">
      <c r="A2101" s="1">
        <v>45932</v>
      </c>
      <c r="B2101" s="2" t="s">
        <v>15</v>
      </c>
      <c r="C2101">
        <v>2.9472900000000002</v>
      </c>
      <c r="D2101">
        <v>3.0992500000000001</v>
      </c>
      <c r="E2101">
        <v>2.9433699999999998</v>
      </c>
      <c r="F2101">
        <v>3.03932</v>
      </c>
      <c r="G2101">
        <f>_xlfn.MAXIFS(Crypto[Close],Crypto[Name],Crypto[[#This Row],[Name]],Crypto[Date],"&lt;="&amp;Crypto[[#This Row],[Date]])</f>
        <v>3.5557599999999998</v>
      </c>
      <c r="H2101" s="3">
        <f>(Crypto[[#This Row],[Close]]/Crypto[[#This Row],[Peak Close]])-1</f>
        <v>-0.14524039867707605</v>
      </c>
      <c r="I2101">
        <v>2.9472800000000001</v>
      </c>
      <c r="J2101" s="1">
        <v>45931</v>
      </c>
      <c r="K2101" s="3">
        <v>3.1228794006677298E-2</v>
      </c>
      <c r="L2101">
        <v>7342967135</v>
      </c>
      <c r="M2101" s="2" t="s">
        <v>16</v>
      </c>
    </row>
    <row r="2102" spans="1:13" x14ac:dyDescent="0.3">
      <c r="A2102" s="1">
        <v>45933</v>
      </c>
      <c r="B2102" s="2" t="s">
        <v>15</v>
      </c>
      <c r="C2102">
        <v>3.0393400000000002</v>
      </c>
      <c r="D2102">
        <v>3.09314</v>
      </c>
      <c r="E2102">
        <v>3.0083700000000002</v>
      </c>
      <c r="F2102">
        <v>3.04088</v>
      </c>
      <c r="G2102">
        <f>_xlfn.MAXIFS(Crypto[Close],Crypto[Name],Crypto[[#This Row],[Name]],Crypto[Date],"&lt;="&amp;Crypto[[#This Row],[Date]])</f>
        <v>3.5557599999999998</v>
      </c>
      <c r="H2102" s="3">
        <f>(Crypto[[#This Row],[Close]]/Crypto[[#This Row],[Peak Close]])-1</f>
        <v>-0.14480167390375043</v>
      </c>
      <c r="I2102">
        <v>3.03932</v>
      </c>
      <c r="J2102" s="1">
        <v>45932</v>
      </c>
      <c r="K2102" s="3">
        <v>5.1327270573681204E-4</v>
      </c>
      <c r="L2102">
        <v>6969299806</v>
      </c>
      <c r="M2102" s="2" t="s">
        <v>16</v>
      </c>
    </row>
    <row r="2103" spans="1:13" x14ac:dyDescent="0.3">
      <c r="A2103" s="1">
        <v>45934</v>
      </c>
      <c r="B2103" s="2" t="s">
        <v>15</v>
      </c>
      <c r="C2103">
        <v>3.0408900000000001</v>
      </c>
      <c r="D2103">
        <v>3.0501900000000002</v>
      </c>
      <c r="E2103">
        <v>2.94251</v>
      </c>
      <c r="F2103">
        <v>2.9693499999999999</v>
      </c>
      <c r="G2103">
        <f>_xlfn.MAXIFS(Crypto[Close],Crypto[Name],Crypto[[#This Row],[Name]],Crypto[Date],"&lt;="&amp;Crypto[[#This Row],[Date]])</f>
        <v>3.5557599999999998</v>
      </c>
      <c r="H2103" s="3">
        <f>(Crypto[[#This Row],[Close]]/Crypto[[#This Row],[Peak Close]])-1</f>
        <v>-0.16491832969604248</v>
      </c>
      <c r="I2103">
        <v>3.04088</v>
      </c>
      <c r="J2103" s="1">
        <v>45933</v>
      </c>
      <c r="K2103" s="3">
        <v>-2.3522796032727399E-2</v>
      </c>
      <c r="L2103">
        <v>4164234298</v>
      </c>
      <c r="M2103" s="2" t="s">
        <v>16</v>
      </c>
    </row>
    <row r="2104" spans="1:13" x14ac:dyDescent="0.3">
      <c r="A2104" s="1">
        <v>45935</v>
      </c>
      <c r="B2104" s="2" t="s">
        <v>15</v>
      </c>
      <c r="C2104">
        <v>2.9693499999999999</v>
      </c>
      <c r="D2104">
        <v>3.0680900000000002</v>
      </c>
      <c r="E2104">
        <v>2.9508000000000001</v>
      </c>
      <c r="F2104">
        <v>2.9706399999999999</v>
      </c>
      <c r="G2104">
        <f>_xlfn.MAXIFS(Crypto[Close],Crypto[Name],Crypto[[#This Row],[Name]],Crypto[Date],"&lt;="&amp;Crypto[[#This Row],[Date]])</f>
        <v>3.5557599999999998</v>
      </c>
      <c r="H2104" s="3">
        <f>(Crypto[[#This Row],[Close]]/Crypto[[#This Row],[Peak Close]])-1</f>
        <v>-0.16455553805656176</v>
      </c>
      <c r="I2104">
        <v>2.9693499999999999</v>
      </c>
      <c r="J2104" s="1">
        <v>45934</v>
      </c>
      <c r="K2104" s="3">
        <v>4.3443851347938601E-4</v>
      </c>
      <c r="L2104">
        <v>5535126764</v>
      </c>
      <c r="M2104" s="2" t="s">
        <v>16</v>
      </c>
    </row>
    <row r="2105" spans="1:13" x14ac:dyDescent="0.3">
      <c r="A2105" s="1">
        <v>45936</v>
      </c>
      <c r="B2105" s="2" t="s">
        <v>15</v>
      </c>
      <c r="C2105">
        <v>2.9706199999999998</v>
      </c>
      <c r="D2105">
        <v>3.04644</v>
      </c>
      <c r="E2105">
        <v>2.95974</v>
      </c>
      <c r="F2105">
        <v>2.99072</v>
      </c>
      <c r="G2105">
        <f>_xlfn.MAXIFS(Crypto[Close],Crypto[Name],Crypto[[#This Row],[Name]],Crypto[Date],"&lt;="&amp;Crypto[[#This Row],[Date]])</f>
        <v>3.5557599999999998</v>
      </c>
      <c r="H2105" s="3">
        <f>(Crypto[[#This Row],[Close]]/Crypto[[#This Row],[Peak Close]])-1</f>
        <v>-0.15890836276914067</v>
      </c>
      <c r="I2105">
        <v>2.9706399999999999</v>
      </c>
      <c r="J2105" s="1">
        <v>45935</v>
      </c>
      <c r="K2105" s="3">
        <v>6.7594861713301197E-3</v>
      </c>
      <c r="L2105">
        <v>6393948188</v>
      </c>
      <c r="M2105" s="2" t="s">
        <v>16</v>
      </c>
    </row>
    <row r="2106" spans="1:13" x14ac:dyDescent="0.3">
      <c r="A2106" s="1">
        <v>45937</v>
      </c>
      <c r="B2106" s="2" t="s">
        <v>15</v>
      </c>
      <c r="C2106">
        <v>2.99071</v>
      </c>
      <c r="D2106">
        <v>2.9997500000000001</v>
      </c>
      <c r="E2106">
        <v>2.8548800000000001</v>
      </c>
      <c r="F2106">
        <v>2.8559700000000001</v>
      </c>
      <c r="G2106">
        <f>_xlfn.MAXIFS(Crypto[Close],Crypto[Name],Crypto[[#This Row],[Name]],Crypto[Date],"&lt;="&amp;Crypto[[#This Row],[Date]])</f>
        <v>3.5557599999999998</v>
      </c>
      <c r="H2106" s="3">
        <f>(Crypto[[#This Row],[Close]]/Crypto[[#This Row],[Peak Close]])-1</f>
        <v>-0.196804621234279</v>
      </c>
      <c r="I2106">
        <v>2.99072</v>
      </c>
      <c r="J2106" s="1">
        <v>45936</v>
      </c>
      <c r="K2106" s="3">
        <v>-4.5056040017119603E-2</v>
      </c>
      <c r="L2106">
        <v>7275425947</v>
      </c>
      <c r="M2106" s="2" t="s">
        <v>16</v>
      </c>
    </row>
    <row r="2107" spans="1:13" x14ac:dyDescent="0.3">
      <c r="A2107" s="1">
        <v>45938</v>
      </c>
      <c r="B2107" s="2" t="s">
        <v>15</v>
      </c>
      <c r="C2107">
        <v>2.8559800000000002</v>
      </c>
      <c r="D2107">
        <v>2.92306</v>
      </c>
      <c r="E2107">
        <v>2.8429700000000002</v>
      </c>
      <c r="F2107">
        <v>2.8807999999999998</v>
      </c>
      <c r="G2107">
        <f>_xlfn.MAXIFS(Crypto[Close],Crypto[Name],Crypto[[#This Row],[Name]],Crypto[Date],"&lt;="&amp;Crypto[[#This Row],[Date]])</f>
        <v>3.5557599999999998</v>
      </c>
      <c r="H2107" s="3">
        <f>(Crypto[[#This Row],[Close]]/Crypto[[#This Row],[Peak Close]])-1</f>
        <v>-0.18982158525884762</v>
      </c>
      <c r="I2107">
        <v>2.8559700000000001</v>
      </c>
      <c r="J2107" s="1">
        <v>45937</v>
      </c>
      <c r="K2107" s="3">
        <v>8.6940689152896194E-3</v>
      </c>
      <c r="L2107">
        <v>4668884369</v>
      </c>
      <c r="M2107" s="2" t="s">
        <v>16</v>
      </c>
    </row>
    <row r="2108" spans="1:13" x14ac:dyDescent="0.3">
      <c r="A2108" s="1">
        <v>45939</v>
      </c>
      <c r="B2108" s="2" t="s">
        <v>15</v>
      </c>
      <c r="C2108">
        <v>2.8807800000000001</v>
      </c>
      <c r="D2108">
        <v>2.8808400000000001</v>
      </c>
      <c r="E2108">
        <v>2.7791100000000002</v>
      </c>
      <c r="F2108">
        <v>2.80491</v>
      </c>
      <c r="G2108">
        <f>_xlfn.MAXIFS(Crypto[Close],Crypto[Name],Crypto[[#This Row],[Name]],Crypto[Date],"&lt;="&amp;Crypto[[#This Row],[Date]])</f>
        <v>3.5557599999999998</v>
      </c>
      <c r="H2108" s="3">
        <f>(Crypto[[#This Row],[Close]]/Crypto[[#This Row],[Peak Close]])-1</f>
        <v>-0.21116442054581852</v>
      </c>
      <c r="I2108">
        <v>2.8807999999999998</v>
      </c>
      <c r="J2108" s="1">
        <v>45938</v>
      </c>
      <c r="K2108" s="3">
        <v>-2.6343376839766699E-2</v>
      </c>
      <c r="L2108">
        <v>5640441736</v>
      </c>
      <c r="M2108" s="2" t="s">
        <v>16</v>
      </c>
    </row>
    <row r="2109" spans="1:13" x14ac:dyDescent="0.3">
      <c r="A2109" s="1">
        <v>45940</v>
      </c>
      <c r="B2109" s="2" t="s">
        <v>15</v>
      </c>
      <c r="C2109">
        <v>2.80491</v>
      </c>
      <c r="D2109">
        <v>2.8336100000000002</v>
      </c>
      <c r="E2109">
        <v>1.5284500000000001</v>
      </c>
      <c r="F2109">
        <v>2.3586</v>
      </c>
      <c r="G2109">
        <f>_xlfn.MAXIFS(Crypto[Close],Crypto[Name],Crypto[[#This Row],[Name]],Crypto[Date],"&lt;="&amp;Crypto[[#This Row],[Date]])</f>
        <v>3.5557599999999998</v>
      </c>
      <c r="H2109" s="3">
        <f>(Crypto[[#This Row],[Close]]/Crypto[[#This Row],[Peak Close]])-1</f>
        <v>-0.33668189079127941</v>
      </c>
      <c r="I2109">
        <v>2.80491</v>
      </c>
      <c r="J2109" s="1">
        <v>45939</v>
      </c>
      <c r="K2109" s="3">
        <v>-0.15911740483651901</v>
      </c>
      <c r="L2109">
        <v>15623107075</v>
      </c>
      <c r="M2109" s="2" t="s">
        <v>16</v>
      </c>
    </row>
    <row r="2110" spans="1:13" x14ac:dyDescent="0.3">
      <c r="A2110" s="1">
        <v>45941</v>
      </c>
      <c r="B2110" s="2" t="s">
        <v>15</v>
      </c>
      <c r="C2110">
        <v>2.3587500000000001</v>
      </c>
      <c r="D2110">
        <v>2.5019900000000002</v>
      </c>
      <c r="E2110">
        <v>2.3221699999999998</v>
      </c>
      <c r="F2110">
        <v>2.38598</v>
      </c>
      <c r="G2110">
        <f>_xlfn.MAXIFS(Crypto[Close],Crypto[Name],Crypto[[#This Row],[Name]],Crypto[Date],"&lt;="&amp;Crypto[[#This Row],[Date]])</f>
        <v>3.5557599999999998</v>
      </c>
      <c r="H2110" s="3">
        <f>(Crypto[[#This Row],[Close]]/Crypto[[#This Row],[Peak Close]])-1</f>
        <v>-0.32898170855175823</v>
      </c>
      <c r="I2110">
        <v>2.3586</v>
      </c>
      <c r="J2110" s="1">
        <v>45940</v>
      </c>
      <c r="K2110" s="3">
        <v>1.1608581361824801E-2</v>
      </c>
      <c r="L2110">
        <v>11749648817</v>
      </c>
      <c r="M2110" s="2" t="s">
        <v>16</v>
      </c>
    </row>
    <row r="2111" spans="1:13" x14ac:dyDescent="0.3">
      <c r="A2111" s="1">
        <v>45942</v>
      </c>
      <c r="B2111" s="2" t="s">
        <v>15</v>
      </c>
      <c r="C2111">
        <v>2.3859599999999999</v>
      </c>
      <c r="D2111">
        <v>2.5817600000000001</v>
      </c>
      <c r="E2111">
        <v>2.32097</v>
      </c>
      <c r="F2111">
        <v>2.5349599999999999</v>
      </c>
      <c r="G2111">
        <f>_xlfn.MAXIFS(Crypto[Close],Crypto[Name],Crypto[[#This Row],[Name]],Crypto[Date],"&lt;="&amp;Crypto[[#This Row],[Date]])</f>
        <v>3.5557599999999998</v>
      </c>
      <c r="H2111" s="3">
        <f>(Crypto[[#This Row],[Close]]/Crypto[[#This Row],[Peak Close]])-1</f>
        <v>-0.28708349269916977</v>
      </c>
      <c r="I2111">
        <v>2.38598</v>
      </c>
      <c r="J2111" s="1">
        <v>45941</v>
      </c>
      <c r="K2111" s="3">
        <v>6.2439752219213898E-2</v>
      </c>
      <c r="L2111">
        <v>9877639191</v>
      </c>
      <c r="M2111" s="2" t="s">
        <v>16</v>
      </c>
    </row>
    <row r="2112" spans="1:13" x14ac:dyDescent="0.3">
      <c r="A2112" s="1">
        <v>45943</v>
      </c>
      <c r="B2112" s="2" t="s">
        <v>15</v>
      </c>
      <c r="C2112">
        <v>2.5350899999999998</v>
      </c>
      <c r="D2112">
        <v>2.6452100000000001</v>
      </c>
      <c r="E2112">
        <v>2.5217900000000002</v>
      </c>
      <c r="F2112">
        <v>2.6065</v>
      </c>
      <c r="G2112">
        <f>_xlfn.MAXIFS(Crypto[Close],Crypto[Name],Crypto[[#This Row],[Name]],Crypto[Date],"&lt;="&amp;Crypto[[#This Row],[Date]])</f>
        <v>3.5557599999999998</v>
      </c>
      <c r="H2112" s="3">
        <f>(Crypto[[#This Row],[Close]]/Crypto[[#This Row],[Peak Close]])-1</f>
        <v>-0.26696402456858725</v>
      </c>
      <c r="I2112">
        <v>2.5349599999999999</v>
      </c>
      <c r="J2112" s="1">
        <v>45942</v>
      </c>
      <c r="K2112" s="3">
        <v>2.8221352605169399E-2</v>
      </c>
      <c r="L2112">
        <v>8579698636</v>
      </c>
      <c r="M2112" s="2" t="s">
        <v>16</v>
      </c>
    </row>
    <row r="2113" spans="1:13" x14ac:dyDescent="0.3">
      <c r="A2113" s="1">
        <v>45944</v>
      </c>
      <c r="B2113" s="2" t="s">
        <v>15</v>
      </c>
      <c r="C2113">
        <v>2.60649</v>
      </c>
      <c r="D2113">
        <v>2.6204700000000001</v>
      </c>
      <c r="E2113">
        <v>2.4076200000000001</v>
      </c>
      <c r="F2113">
        <v>2.5056600000000002</v>
      </c>
      <c r="G2113">
        <f>_xlfn.MAXIFS(Crypto[Close],Crypto[Name],Crypto[[#This Row],[Name]],Crypto[Date],"&lt;="&amp;Crypto[[#This Row],[Date]])</f>
        <v>3.5557599999999998</v>
      </c>
      <c r="H2113" s="3">
        <f>(Crypto[[#This Row],[Close]]/Crypto[[#This Row],[Peak Close]])-1</f>
        <v>-0.29532364389047616</v>
      </c>
      <c r="I2113">
        <v>2.6065</v>
      </c>
      <c r="J2113" s="1">
        <v>45943</v>
      </c>
      <c r="K2113" s="3">
        <v>-3.8687895645501597E-2</v>
      </c>
      <c r="L2113">
        <v>8358303560</v>
      </c>
      <c r="M2113" s="2" t="s">
        <v>16</v>
      </c>
    </row>
    <row r="2114" spans="1:13" x14ac:dyDescent="0.3">
      <c r="A2114" s="1">
        <v>45945</v>
      </c>
      <c r="B2114" s="2" t="s">
        <v>15</v>
      </c>
      <c r="C2114">
        <v>2.5056699999999998</v>
      </c>
      <c r="D2114">
        <v>2.5257200000000002</v>
      </c>
      <c r="E2114">
        <v>2.3895900000000001</v>
      </c>
      <c r="F2114">
        <v>2.4126699999999999</v>
      </c>
      <c r="G2114">
        <f>_xlfn.MAXIFS(Crypto[Close],Crypto[Name],Crypto[[#This Row],[Name]],Crypto[Date],"&lt;="&amp;Crypto[[#This Row],[Date]])</f>
        <v>3.5557599999999998</v>
      </c>
      <c r="H2114" s="3">
        <f>(Crypto[[#This Row],[Close]]/Crypto[[#This Row],[Peak Close]])-1</f>
        <v>-0.32147557765428492</v>
      </c>
      <c r="I2114">
        <v>2.5056600000000002</v>
      </c>
      <c r="J2114" s="1">
        <v>45944</v>
      </c>
      <c r="K2114" s="3">
        <v>-3.7111978480719801E-2</v>
      </c>
      <c r="L2114">
        <v>5540248401</v>
      </c>
      <c r="M2114" s="2" t="s">
        <v>16</v>
      </c>
    </row>
    <row r="2115" spans="1:13" x14ac:dyDescent="0.3">
      <c r="A2115" s="1">
        <v>45946</v>
      </c>
      <c r="B2115" s="2" t="s">
        <v>15</v>
      </c>
      <c r="C2115">
        <v>2.4126699999999999</v>
      </c>
      <c r="D2115">
        <v>2.46286</v>
      </c>
      <c r="E2115">
        <v>2.2876400000000001</v>
      </c>
      <c r="F2115">
        <v>2.3290700000000002</v>
      </c>
      <c r="G2115">
        <f>_xlfn.MAXIFS(Crypto[Close],Crypto[Name],Crypto[[#This Row],[Name]],Crypto[Date],"&lt;="&amp;Crypto[[#This Row],[Date]])</f>
        <v>3.5557599999999998</v>
      </c>
      <c r="H2115" s="3">
        <f>(Crypto[[#This Row],[Close]]/Crypto[[#This Row],[Peak Close]])-1</f>
        <v>-0.3449867257632685</v>
      </c>
      <c r="I2115">
        <v>2.4126699999999999</v>
      </c>
      <c r="J2115" s="1">
        <v>45945</v>
      </c>
      <c r="K2115" s="3">
        <v>-3.4650408054147402E-2</v>
      </c>
      <c r="L2115">
        <v>7020912336</v>
      </c>
      <c r="M2115" s="2" t="s">
        <v>16</v>
      </c>
    </row>
    <row r="2116" spans="1:13" x14ac:dyDescent="0.3">
      <c r="A2116" s="1">
        <v>45947</v>
      </c>
      <c r="B2116" s="2" t="s">
        <v>15</v>
      </c>
      <c r="C2116">
        <v>2.3289900000000001</v>
      </c>
      <c r="D2116">
        <v>2.3804599999999998</v>
      </c>
      <c r="E2116">
        <v>2.1971799999999999</v>
      </c>
      <c r="F2116">
        <v>2.2942399999999998</v>
      </c>
      <c r="G2116">
        <f>_xlfn.MAXIFS(Crypto[Close],Crypto[Name],Crypto[[#This Row],[Name]],Crypto[Date],"&lt;="&amp;Crypto[[#This Row],[Date]])</f>
        <v>3.5557599999999998</v>
      </c>
      <c r="H2116" s="3">
        <f>(Crypto[[#This Row],[Close]]/Crypto[[#This Row],[Peak Close]])-1</f>
        <v>-0.35478210002924837</v>
      </c>
      <c r="I2116">
        <v>2.3290700000000002</v>
      </c>
      <c r="J2116" s="1">
        <v>45946</v>
      </c>
      <c r="K2116" s="3">
        <v>-1.4954466804347E-2</v>
      </c>
      <c r="L2116">
        <v>7915224855</v>
      </c>
      <c r="M2116" s="2" t="s">
        <v>16</v>
      </c>
    </row>
    <row r="2117" spans="1:13" x14ac:dyDescent="0.3">
      <c r="A2117" s="1">
        <v>45948</v>
      </c>
      <c r="B2117" s="2" t="s">
        <v>15</v>
      </c>
      <c r="C2117">
        <v>2.2944100000000001</v>
      </c>
      <c r="D2117">
        <v>2.3915600000000001</v>
      </c>
      <c r="E2117">
        <v>2.2944100000000001</v>
      </c>
      <c r="F2117">
        <v>2.3605100000000001</v>
      </c>
      <c r="G2117">
        <f>_xlfn.MAXIFS(Crypto[Close],Crypto[Name],Crypto[[#This Row],[Name]],Crypto[Date],"&lt;="&amp;Crypto[[#This Row],[Date]])</f>
        <v>3.5557599999999998</v>
      </c>
      <c r="H2117" s="3">
        <f>(Crypto[[#This Row],[Close]]/Crypto[[#This Row],[Peak Close]])-1</f>
        <v>-0.33614473417778468</v>
      </c>
      <c r="I2117">
        <v>2.2942399999999998</v>
      </c>
      <c r="J2117" s="1">
        <v>45947</v>
      </c>
      <c r="K2117" s="3">
        <v>2.8885382523188601E-2</v>
      </c>
      <c r="L2117">
        <v>2903249765</v>
      </c>
      <c r="M2117" s="2" t="s">
        <v>16</v>
      </c>
    </row>
    <row r="2118" spans="1:13" x14ac:dyDescent="0.3">
      <c r="A2118" s="1">
        <v>45949</v>
      </c>
      <c r="B2118" s="2" t="s">
        <v>15</v>
      </c>
      <c r="C2118">
        <v>2.3605100000000001</v>
      </c>
      <c r="D2118">
        <v>2.41757</v>
      </c>
      <c r="E2118">
        <v>2.32104</v>
      </c>
      <c r="F2118">
        <v>2.3906299999999998</v>
      </c>
      <c r="G2118">
        <f>_xlfn.MAXIFS(Crypto[Close],Crypto[Name],Crypto[[#This Row],[Name]],Crypto[Date],"&lt;="&amp;Crypto[[#This Row],[Date]])</f>
        <v>3.5557599999999998</v>
      </c>
      <c r="H2118" s="3">
        <f>(Crypto[[#This Row],[Close]]/Crypto[[#This Row],[Peak Close]])-1</f>
        <v>-0.32767397124665332</v>
      </c>
      <c r="I2118">
        <v>2.3605100000000001</v>
      </c>
      <c r="J2118" s="1">
        <v>45948</v>
      </c>
      <c r="K2118" s="3">
        <v>1.27599544166302E-2</v>
      </c>
      <c r="L2118">
        <v>3399616949</v>
      </c>
      <c r="M2118" s="2" t="s">
        <v>16</v>
      </c>
    </row>
    <row r="2119" spans="1:13" x14ac:dyDescent="0.3">
      <c r="A2119" s="1">
        <v>45950</v>
      </c>
      <c r="B2119" s="2" t="s">
        <v>15</v>
      </c>
      <c r="C2119">
        <v>2.3906499999999999</v>
      </c>
      <c r="D2119">
        <v>2.5430799999999998</v>
      </c>
      <c r="E2119">
        <v>2.3589899999999999</v>
      </c>
      <c r="F2119">
        <v>2.49342</v>
      </c>
      <c r="G2119">
        <f>_xlfn.MAXIFS(Crypto[Close],Crypto[Name],Crypto[[#This Row],[Name]],Crypto[Date],"&lt;="&amp;Crypto[[#This Row],[Date]])</f>
        <v>3.5557599999999998</v>
      </c>
      <c r="H2119" s="3">
        <f>(Crypto[[#This Row],[Close]]/Crypto[[#This Row],[Peak Close]])-1</f>
        <v>-0.29876594595810735</v>
      </c>
      <c r="I2119">
        <v>2.3906299999999998</v>
      </c>
      <c r="J2119" s="1">
        <v>45949</v>
      </c>
      <c r="K2119" s="3">
        <v>4.2997034254569001E-2</v>
      </c>
      <c r="L2119">
        <v>4680466571</v>
      </c>
      <c r="M2119" s="2" t="s">
        <v>16</v>
      </c>
    </row>
    <row r="2120" spans="1:13" x14ac:dyDescent="0.3">
      <c r="A2120" s="1">
        <v>45951</v>
      </c>
      <c r="B2120" s="2" t="s">
        <v>15</v>
      </c>
      <c r="C2120">
        <v>2.49559</v>
      </c>
      <c r="D2120">
        <v>2.5313500000000002</v>
      </c>
      <c r="E2120">
        <v>2.4040699999999999</v>
      </c>
      <c r="F2120">
        <v>2.4242699999999999</v>
      </c>
      <c r="G2120">
        <f>_xlfn.MAXIFS(Crypto[Close],Crypto[Name],Crypto[[#This Row],[Name]],Crypto[Date],"&lt;="&amp;Crypto[[#This Row],[Date]])</f>
        <v>3.5557599999999998</v>
      </c>
      <c r="H2120" s="3">
        <f>(Crypto[[#This Row],[Close]]/Crypto[[#This Row],[Peak Close]])-1</f>
        <v>-0.3182132652372488</v>
      </c>
      <c r="I2120">
        <v>2.49342</v>
      </c>
      <c r="J2120" s="1">
        <v>45950</v>
      </c>
      <c r="K2120" s="3">
        <v>-2.7732993238203E-2</v>
      </c>
      <c r="L2120">
        <v>5162489261</v>
      </c>
      <c r="M2120" s="2" t="s">
        <v>16</v>
      </c>
    </row>
    <row r="2121" spans="1:13" x14ac:dyDescent="0.3">
      <c r="A2121" s="1">
        <v>45952</v>
      </c>
      <c r="B2121" s="2" t="s">
        <v>15</v>
      </c>
      <c r="C2121">
        <v>2.42428</v>
      </c>
      <c r="D2121">
        <v>2.4379200000000001</v>
      </c>
      <c r="E2121">
        <v>2.3350399999999998</v>
      </c>
      <c r="F2121">
        <v>2.3638599999999999</v>
      </c>
      <c r="G2121">
        <f>_xlfn.MAXIFS(Crypto[Close],Crypto[Name],Crypto[[#This Row],[Name]],Crypto[Date],"&lt;="&amp;Crypto[[#This Row],[Date]])</f>
        <v>3.5557599999999998</v>
      </c>
      <c r="H2121" s="3">
        <f>(Crypto[[#This Row],[Close]]/Crypto[[#This Row],[Peak Close]])-1</f>
        <v>-0.33520260085045106</v>
      </c>
      <c r="I2121">
        <v>2.4242699999999999</v>
      </c>
      <c r="J2121" s="1">
        <v>45951</v>
      </c>
      <c r="K2121" s="3">
        <v>-2.49188415481774E-2</v>
      </c>
      <c r="L2121">
        <v>4563355252</v>
      </c>
      <c r="M2121" s="2" t="s">
        <v>16</v>
      </c>
    </row>
    <row r="2122" spans="1:13" x14ac:dyDescent="0.3">
      <c r="A2122" s="1">
        <v>45953</v>
      </c>
      <c r="B2122" s="2" t="s">
        <v>15</v>
      </c>
      <c r="C2122">
        <v>2.3638599999999999</v>
      </c>
      <c r="D2122">
        <v>2.42327</v>
      </c>
      <c r="E2122">
        <v>2.3632300000000002</v>
      </c>
      <c r="F2122">
        <v>2.3951500000000001</v>
      </c>
      <c r="G2122">
        <f>_xlfn.MAXIFS(Crypto[Close],Crypto[Name],Crypto[[#This Row],[Name]],Crypto[Date],"&lt;="&amp;Crypto[[#This Row],[Date]])</f>
        <v>3.5557599999999998</v>
      </c>
      <c r="H2122" s="3">
        <f>(Crypto[[#This Row],[Close]]/Crypto[[#This Row],[Peak Close]])-1</f>
        <v>-0.3264027943393254</v>
      </c>
      <c r="I2122">
        <v>2.3638599999999999</v>
      </c>
      <c r="J2122" s="1">
        <v>45952</v>
      </c>
      <c r="K2122" s="3">
        <v>1.3236824515834401E-2</v>
      </c>
      <c r="L2122">
        <v>3186334728</v>
      </c>
      <c r="M2122" s="2" t="s">
        <v>16</v>
      </c>
    </row>
    <row r="2123" spans="1:13" x14ac:dyDescent="0.3">
      <c r="A2123" s="1">
        <v>45954</v>
      </c>
      <c r="B2123" s="2" t="s">
        <v>15</v>
      </c>
      <c r="C2123">
        <v>2.3951500000000001</v>
      </c>
      <c r="D2123">
        <v>2.5124599999999999</v>
      </c>
      <c r="E2123">
        <v>2.3889300000000002</v>
      </c>
      <c r="F2123">
        <v>2.5074700000000001</v>
      </c>
      <c r="G2123">
        <f>_xlfn.MAXIFS(Crypto[Close],Crypto[Name],Crypto[[#This Row],[Name]],Crypto[Date],"&lt;="&amp;Crypto[[#This Row],[Date]])</f>
        <v>3.5557599999999998</v>
      </c>
      <c r="H2123" s="3">
        <f>(Crypto[[#This Row],[Close]]/Crypto[[#This Row],[Peak Close]])-1</f>
        <v>-0.29481461065988701</v>
      </c>
      <c r="I2123">
        <v>2.3951500000000001</v>
      </c>
      <c r="J2123" s="1">
        <v>45953</v>
      </c>
      <c r="K2123" s="3">
        <v>4.6894766507316901E-2</v>
      </c>
      <c r="L2123">
        <v>4400716181</v>
      </c>
      <c r="M2123" s="2" t="s">
        <v>16</v>
      </c>
    </row>
    <row r="2124" spans="1:13" x14ac:dyDescent="0.3">
      <c r="A2124" s="1">
        <v>45955</v>
      </c>
      <c r="B2124" s="2" t="s">
        <v>15</v>
      </c>
      <c r="C2124">
        <v>2.50753</v>
      </c>
      <c r="D2124">
        <v>2.6452</v>
      </c>
      <c r="E2124">
        <v>2.5058400000000001</v>
      </c>
      <c r="F2124">
        <v>2.5964499999999999</v>
      </c>
      <c r="G2124">
        <f>_xlfn.MAXIFS(Crypto[Close],Crypto[Name],Crypto[[#This Row],[Name]],Crypto[Date],"&lt;="&amp;Crypto[[#This Row],[Date]])</f>
        <v>3.5557599999999998</v>
      </c>
      <c r="H2124" s="3">
        <f>(Crypto[[#This Row],[Close]]/Crypto[[#This Row],[Peak Close]])-1</f>
        <v>-0.26979042455058833</v>
      </c>
      <c r="I2124">
        <v>2.5074700000000001</v>
      </c>
      <c r="J2124" s="1">
        <v>45954</v>
      </c>
      <c r="K2124" s="3">
        <v>3.5485967927831603E-2</v>
      </c>
      <c r="L2124">
        <v>3953836546</v>
      </c>
      <c r="M2124" s="2" t="s">
        <v>16</v>
      </c>
    </row>
    <row r="2125" spans="1:13" x14ac:dyDescent="0.3">
      <c r="A2125" s="1">
        <v>45956</v>
      </c>
      <c r="B2125" s="2" t="s">
        <v>15</v>
      </c>
      <c r="C2125">
        <v>2.5964499999999999</v>
      </c>
      <c r="D2125">
        <v>2.65869</v>
      </c>
      <c r="E2125">
        <v>2.5947900000000002</v>
      </c>
      <c r="F2125">
        <v>2.6451500000000001</v>
      </c>
      <c r="G2125">
        <f>_xlfn.MAXIFS(Crypto[Close],Crypto[Name],Crypto[[#This Row],[Name]],Crypto[Date],"&lt;="&amp;Crypto[[#This Row],[Date]])</f>
        <v>3.5557599999999998</v>
      </c>
      <c r="H2125" s="3">
        <f>(Crypto[[#This Row],[Close]]/Crypto[[#This Row],[Peak Close]])-1</f>
        <v>-0.25609433707561813</v>
      </c>
      <c r="I2125">
        <v>2.5964499999999999</v>
      </c>
      <c r="J2125" s="1">
        <v>45955</v>
      </c>
      <c r="K2125" s="3">
        <v>1.8756378901962401E-2</v>
      </c>
      <c r="L2125">
        <v>3805025865</v>
      </c>
      <c r="M2125" s="2" t="s">
        <v>16</v>
      </c>
    </row>
    <row r="2126" spans="1:13" x14ac:dyDescent="0.3">
      <c r="A2126" s="1">
        <v>45957</v>
      </c>
      <c r="B2126" s="2" t="s">
        <v>15</v>
      </c>
      <c r="C2126">
        <v>2.64514</v>
      </c>
      <c r="D2126">
        <v>2.6934499999999999</v>
      </c>
      <c r="E2126">
        <v>2.60744</v>
      </c>
      <c r="F2126">
        <v>2.63463</v>
      </c>
      <c r="G2126">
        <f>_xlfn.MAXIFS(Crypto[Close],Crypto[Name],Crypto[[#This Row],[Name]],Crypto[Date],"&lt;="&amp;Crypto[[#This Row],[Date]])</f>
        <v>3.5557599999999998</v>
      </c>
      <c r="H2126" s="3">
        <f>(Crypto[[#This Row],[Close]]/Crypto[[#This Row],[Peak Close]])-1</f>
        <v>-0.25905291695727495</v>
      </c>
      <c r="I2126">
        <v>2.6451500000000001</v>
      </c>
      <c r="J2126" s="1">
        <v>45956</v>
      </c>
      <c r="K2126" s="3">
        <v>-3.9770901461165103E-3</v>
      </c>
      <c r="L2126">
        <v>5079861417</v>
      </c>
      <c r="M2126" s="2" t="s">
        <v>16</v>
      </c>
    </row>
    <row r="2127" spans="1:13" x14ac:dyDescent="0.3">
      <c r="A2127" s="1">
        <v>45958</v>
      </c>
      <c r="B2127" s="2" t="s">
        <v>15</v>
      </c>
      <c r="C2127">
        <v>2.6346400000000001</v>
      </c>
      <c r="D2127">
        <v>2.6833300000000002</v>
      </c>
      <c r="E2127">
        <v>2.5741200000000002</v>
      </c>
      <c r="F2127">
        <v>2.6059800000000002</v>
      </c>
      <c r="G2127">
        <f>_xlfn.MAXIFS(Crypto[Close],Crypto[Name],Crypto[[#This Row],[Name]],Crypto[Date],"&lt;="&amp;Crypto[[#This Row],[Date]])</f>
        <v>3.5557599999999998</v>
      </c>
      <c r="H2127" s="3">
        <f>(Crypto[[#This Row],[Close]]/Crypto[[#This Row],[Peak Close]])-1</f>
        <v>-0.26711026615969569</v>
      </c>
      <c r="I2127">
        <v>2.63463</v>
      </c>
      <c r="J2127" s="1">
        <v>45957</v>
      </c>
      <c r="K2127" s="3">
        <v>-1.0874392229648901E-2</v>
      </c>
      <c r="L2127">
        <v>5654771816</v>
      </c>
      <c r="M2127" s="2" t="s">
        <v>16</v>
      </c>
    </row>
    <row r="2128" spans="1:13" x14ac:dyDescent="0.3">
      <c r="A2128" s="1">
        <v>45959</v>
      </c>
      <c r="B2128" s="2" t="s">
        <v>15</v>
      </c>
      <c r="C2128">
        <v>2.6059600000000001</v>
      </c>
      <c r="D2128">
        <v>2.6630199999999999</v>
      </c>
      <c r="E2128">
        <v>2.5433599999999998</v>
      </c>
      <c r="F2128">
        <v>2.5520200000000002</v>
      </c>
      <c r="G2128">
        <f>_xlfn.MAXIFS(Crypto[Close],Crypto[Name],Crypto[[#This Row],[Name]],Crypto[Date],"&lt;="&amp;Crypto[[#This Row],[Date]])</f>
        <v>3.5557599999999998</v>
      </c>
      <c r="H2128" s="3">
        <f>(Crypto[[#This Row],[Close]]/Crypto[[#This Row],[Peak Close]])-1</f>
        <v>-0.28228564357549435</v>
      </c>
      <c r="I2128">
        <v>2.6059800000000002</v>
      </c>
      <c r="J2128" s="1">
        <v>45958</v>
      </c>
      <c r="K2128" s="3">
        <v>-2.0706221843605901E-2</v>
      </c>
      <c r="L2128">
        <v>5094568015</v>
      </c>
      <c r="M2128" s="2" t="s">
        <v>16</v>
      </c>
    </row>
    <row r="2129" spans="1:13" x14ac:dyDescent="0.3">
      <c r="A2129" s="1">
        <v>45960</v>
      </c>
      <c r="B2129" s="2" t="s">
        <v>15</v>
      </c>
      <c r="C2129">
        <v>2.55199</v>
      </c>
      <c r="D2129">
        <v>2.5898099999999999</v>
      </c>
      <c r="E2129">
        <v>2.3902899999999998</v>
      </c>
      <c r="F2129">
        <v>2.4397099999999998</v>
      </c>
      <c r="G2129">
        <f>_xlfn.MAXIFS(Crypto[Close],Crypto[Name],Crypto[[#This Row],[Name]],Crypto[Date],"&lt;="&amp;Crypto[[#This Row],[Date]])</f>
        <v>3.5557599999999998</v>
      </c>
      <c r="H2129" s="3">
        <f>(Crypto[[#This Row],[Close]]/Crypto[[#This Row],[Peak Close]])-1</f>
        <v>-0.31387101491664227</v>
      </c>
      <c r="I2129">
        <v>2.5520200000000002</v>
      </c>
      <c r="J2129" s="1">
        <v>45959</v>
      </c>
      <c r="K2129" s="3">
        <v>-4.4008275797211803E-2</v>
      </c>
      <c r="L2129">
        <v>6124183294</v>
      </c>
      <c r="M2129" s="2" t="s">
        <v>16</v>
      </c>
    </row>
    <row r="2130" spans="1:13" x14ac:dyDescent="0.3">
      <c r="A2130" s="1">
        <v>45961</v>
      </c>
      <c r="B2130" s="2" t="s">
        <v>15</v>
      </c>
      <c r="C2130">
        <v>2.4397199999999999</v>
      </c>
      <c r="D2130">
        <v>2.5467200000000001</v>
      </c>
      <c r="E2130">
        <v>2.4373499999999999</v>
      </c>
      <c r="F2130">
        <v>2.5087299999999999</v>
      </c>
      <c r="G2130">
        <f>_xlfn.MAXIFS(Crypto[Close],Crypto[Name],Crypto[[#This Row],[Name]],Crypto[Date],"&lt;="&amp;Crypto[[#This Row],[Date]])</f>
        <v>3.5557599999999998</v>
      </c>
      <c r="H2130" s="3">
        <f>(Crypto[[#This Row],[Close]]/Crypto[[#This Row],[Peak Close]])-1</f>
        <v>-0.29446025603527792</v>
      </c>
      <c r="I2130">
        <v>2.4397099999999998</v>
      </c>
      <c r="J2130" s="1">
        <v>45960</v>
      </c>
      <c r="K2130" s="3">
        <v>2.82902476113965E-2</v>
      </c>
      <c r="L2130">
        <v>4637688037</v>
      </c>
      <c r="M2130" s="2" t="s">
        <v>16</v>
      </c>
    </row>
    <row r="2131" spans="1:13" x14ac:dyDescent="0.3">
      <c r="A2131" s="1">
        <v>45962</v>
      </c>
      <c r="B2131" s="2" t="s">
        <v>15</v>
      </c>
      <c r="C2131">
        <v>2.5087299999999999</v>
      </c>
      <c r="D2131">
        <v>2.5210300000000001</v>
      </c>
      <c r="E2131">
        <v>2.4799899999999999</v>
      </c>
      <c r="F2131">
        <v>2.5051700000000001</v>
      </c>
      <c r="G2131">
        <f>_xlfn.MAXIFS(Crypto[Close],Crypto[Name],Crypto[[#This Row],[Name]],Crypto[Date],"&lt;="&amp;Crypto[[#This Row],[Date]])</f>
        <v>3.5557599999999998</v>
      </c>
      <c r="H2131" s="3">
        <f>(Crypto[[#This Row],[Close]]/Crypto[[#This Row],[Peak Close]])-1</f>
        <v>-0.29546144846671307</v>
      </c>
      <c r="I2131">
        <v>2.5087299999999999</v>
      </c>
      <c r="J2131" s="1">
        <v>45961</v>
      </c>
      <c r="K2131" s="3">
        <v>-1.4190446959217601E-3</v>
      </c>
      <c r="L2131">
        <v>1999237389</v>
      </c>
      <c r="M2131" s="2" t="s">
        <v>16</v>
      </c>
    </row>
    <row r="2132" spans="1:13" x14ac:dyDescent="0.3">
      <c r="A2132" s="1">
        <v>45963</v>
      </c>
      <c r="B2132" s="2" t="s">
        <v>15</v>
      </c>
      <c r="C2132">
        <v>2.5052099999999999</v>
      </c>
      <c r="D2132">
        <v>2.5460199999999999</v>
      </c>
      <c r="E2132">
        <v>2.4795099999999999</v>
      </c>
      <c r="F2132">
        <v>2.5290900000000001</v>
      </c>
      <c r="G2132">
        <f>_xlfn.MAXIFS(Crypto[Close],Crypto[Name],Crypto[[#This Row],[Name]],Crypto[Date],"&lt;="&amp;Crypto[[#This Row],[Date]])</f>
        <v>3.5557599999999998</v>
      </c>
      <c r="H2132" s="3">
        <f>(Crypto[[#This Row],[Close]]/Crypto[[#This Row],[Peak Close]])-1</f>
        <v>-0.28873433527572157</v>
      </c>
      <c r="I2132">
        <v>2.5051700000000001</v>
      </c>
      <c r="J2132" s="1">
        <v>45962</v>
      </c>
      <c r="K2132" s="3">
        <v>9.5482542102930893E-3</v>
      </c>
      <c r="L2132">
        <v>2469844986</v>
      </c>
      <c r="M2132" s="2" t="s">
        <v>16</v>
      </c>
    </row>
    <row r="2133" spans="1:13" x14ac:dyDescent="0.3">
      <c r="A2133" s="1">
        <v>45964</v>
      </c>
      <c r="B2133" s="2" t="s">
        <v>15</v>
      </c>
      <c r="C2133">
        <v>2.52895</v>
      </c>
      <c r="D2133">
        <v>2.52976</v>
      </c>
      <c r="E2133">
        <v>2.2659699999999998</v>
      </c>
      <c r="F2133">
        <v>2.30938</v>
      </c>
      <c r="G2133">
        <f>_xlfn.MAXIFS(Crypto[Close],Crypto[Name],Crypto[[#This Row],[Name]],Crypto[Date],"&lt;="&amp;Crypto[[#This Row],[Date]])</f>
        <v>3.5557599999999998</v>
      </c>
      <c r="H2133" s="3">
        <f>(Crypto[[#This Row],[Close]]/Crypto[[#This Row],[Peak Close]])-1</f>
        <v>-0.35052421985735815</v>
      </c>
      <c r="I2133">
        <v>2.5290900000000001</v>
      </c>
      <c r="J2133" s="1">
        <v>45963</v>
      </c>
      <c r="K2133" s="3">
        <v>-8.6873144095306998E-2</v>
      </c>
      <c r="L2133">
        <v>6581778268</v>
      </c>
      <c r="M2133" s="2" t="s">
        <v>16</v>
      </c>
    </row>
    <row r="2134" spans="1:13" x14ac:dyDescent="0.3">
      <c r="A2134" s="1">
        <v>45965</v>
      </c>
      <c r="B2134" s="2" t="s">
        <v>15</v>
      </c>
      <c r="C2134">
        <v>2.3093499999999998</v>
      </c>
      <c r="D2134">
        <v>2.3605299999999998</v>
      </c>
      <c r="E2134">
        <v>2.0761500000000002</v>
      </c>
      <c r="F2134">
        <v>2.21062</v>
      </c>
      <c r="G2134">
        <f>_xlfn.MAXIFS(Crypto[Close],Crypto[Name],Crypto[[#This Row],[Name]],Crypto[Date],"&lt;="&amp;Crypto[[#This Row],[Date]])</f>
        <v>3.5557599999999998</v>
      </c>
      <c r="H2134" s="3">
        <f>(Crypto[[#This Row],[Close]]/Crypto[[#This Row],[Peak Close]])-1</f>
        <v>-0.37829887281481311</v>
      </c>
      <c r="I2134">
        <v>2.30938</v>
      </c>
      <c r="J2134" s="1">
        <v>45964</v>
      </c>
      <c r="K2134" s="3">
        <v>-4.2764724731313097E-2</v>
      </c>
      <c r="L2134">
        <v>9860892049</v>
      </c>
      <c r="M2134" s="2" t="s">
        <v>16</v>
      </c>
    </row>
    <row r="2135" spans="1:13" x14ac:dyDescent="0.3">
      <c r="A2135" s="1">
        <v>45966</v>
      </c>
      <c r="B2135" s="2" t="s">
        <v>15</v>
      </c>
      <c r="C2135">
        <v>2.21062</v>
      </c>
      <c r="D2135">
        <v>2.3712900000000001</v>
      </c>
      <c r="E2135">
        <v>2.1093199999999999</v>
      </c>
      <c r="F2135">
        <v>2.3452299999999999</v>
      </c>
      <c r="G2135">
        <f>_xlfn.MAXIFS(Crypto[Close],Crypto[Name],Crypto[[#This Row],[Name]],Crypto[Date],"&lt;="&amp;Crypto[[#This Row],[Date]])</f>
        <v>3.5557599999999998</v>
      </c>
      <c r="H2135" s="3">
        <f>(Crypto[[#This Row],[Close]]/Crypto[[#This Row],[Peak Close]])-1</f>
        <v>-0.34044198708574258</v>
      </c>
      <c r="I2135">
        <v>2.21062</v>
      </c>
      <c r="J2135" s="1">
        <v>45965</v>
      </c>
      <c r="K2135" s="3">
        <v>6.08924193212763E-2</v>
      </c>
      <c r="L2135">
        <v>6893540144</v>
      </c>
      <c r="M2135" s="2" t="s">
        <v>16</v>
      </c>
    </row>
    <row r="2136" spans="1:13" x14ac:dyDescent="0.3">
      <c r="A2136" s="1">
        <v>45967</v>
      </c>
      <c r="B2136" s="2" t="s">
        <v>15</v>
      </c>
      <c r="C2136">
        <v>2.3452099999999998</v>
      </c>
      <c r="D2136">
        <v>2.3857699999999999</v>
      </c>
      <c r="E2136">
        <v>2.1859899999999999</v>
      </c>
      <c r="F2136">
        <v>2.2108500000000002</v>
      </c>
      <c r="G2136">
        <f>_xlfn.MAXIFS(Crypto[Close],Crypto[Name],Crypto[[#This Row],[Name]],Crypto[Date],"&lt;="&amp;Crypto[[#This Row],[Date]])</f>
        <v>3.5557599999999998</v>
      </c>
      <c r="H2136" s="3">
        <f>(Crypto[[#This Row],[Close]]/Crypto[[#This Row],[Peak Close]])-1</f>
        <v>-0.37823418903413042</v>
      </c>
      <c r="I2136">
        <v>2.3452299999999999</v>
      </c>
      <c r="J2136" s="1">
        <v>45966</v>
      </c>
      <c r="K2136" s="3">
        <v>-5.7299284078747001E-2</v>
      </c>
      <c r="L2136">
        <v>5711117897</v>
      </c>
      <c r="M2136" s="2" t="s">
        <v>16</v>
      </c>
    </row>
    <row r="2137" spans="1:13" x14ac:dyDescent="0.3">
      <c r="A2137" s="1">
        <v>45968</v>
      </c>
      <c r="B2137" s="2" t="s">
        <v>15</v>
      </c>
      <c r="C2137">
        <v>2.2108500000000002</v>
      </c>
      <c r="D2137">
        <v>2.3664299999999998</v>
      </c>
      <c r="E2137">
        <v>2.15802</v>
      </c>
      <c r="F2137">
        <v>2.3141600000000002</v>
      </c>
      <c r="G2137">
        <f>_xlfn.MAXIFS(Crypto[Close],Crypto[Name],Crypto[[#This Row],[Name]],Crypto[Date],"&lt;="&amp;Crypto[[#This Row],[Date]])</f>
        <v>3.5557599999999998</v>
      </c>
      <c r="H2137" s="3">
        <f>(Crypto[[#This Row],[Close]]/Crypto[[#This Row],[Peak Close]])-1</f>
        <v>-0.34917992215447602</v>
      </c>
      <c r="I2137">
        <v>2.2108500000000002</v>
      </c>
      <c r="J2137" s="1">
        <v>45967</v>
      </c>
      <c r="K2137" s="3">
        <v>4.67286337833865E-2</v>
      </c>
      <c r="L2137">
        <v>5982883574</v>
      </c>
      <c r="M2137" s="2" t="s">
        <v>16</v>
      </c>
    </row>
    <row r="2138" spans="1:13" x14ac:dyDescent="0.3">
      <c r="A2138" s="1">
        <v>45969</v>
      </c>
      <c r="B2138" s="2" t="s">
        <v>15</v>
      </c>
      <c r="C2138">
        <v>2.3142100000000001</v>
      </c>
      <c r="D2138">
        <v>2.3326899999999999</v>
      </c>
      <c r="E2138">
        <v>2.2471100000000002</v>
      </c>
      <c r="F2138">
        <v>2.2848899999999999</v>
      </c>
      <c r="G2138">
        <f>_xlfn.MAXIFS(Crypto[Close],Crypto[Name],Crypto[[#This Row],[Name]],Crypto[Date],"&lt;="&amp;Crypto[[#This Row],[Date]])</f>
        <v>3.5557599999999998</v>
      </c>
      <c r="H2138" s="3">
        <f>(Crypto[[#This Row],[Close]]/Crypto[[#This Row],[Peak Close]])-1</f>
        <v>-0.357411636330911</v>
      </c>
      <c r="I2138">
        <v>2.3141600000000002</v>
      </c>
      <c r="J2138" s="1">
        <v>45968</v>
      </c>
      <c r="K2138" s="3">
        <v>-1.26482179278876E-2</v>
      </c>
      <c r="L2138">
        <v>3186759680</v>
      </c>
      <c r="M2138" s="2" t="s">
        <v>16</v>
      </c>
    </row>
    <row r="2139" spans="1:13" x14ac:dyDescent="0.3">
      <c r="A2139" s="1">
        <v>45970</v>
      </c>
      <c r="B2139" s="2" t="s">
        <v>15</v>
      </c>
      <c r="C2139">
        <v>2.2849200000000001</v>
      </c>
      <c r="D2139">
        <v>2.3777300000000001</v>
      </c>
      <c r="E2139">
        <v>2.24383</v>
      </c>
      <c r="F2139">
        <v>2.3676599999999999</v>
      </c>
      <c r="G2139">
        <f>_xlfn.MAXIFS(Crypto[Close],Crypto[Name],Crypto[[#This Row],[Name]],Crypto[Date],"&lt;="&amp;Crypto[[#This Row],[Date]])</f>
        <v>3.5557599999999998</v>
      </c>
      <c r="H2139" s="3">
        <f>(Crypto[[#This Row],[Close]]/Crypto[[#This Row],[Peak Close]])-1</f>
        <v>-0.33413391230004275</v>
      </c>
      <c r="I2139">
        <v>2.2848899999999999</v>
      </c>
      <c r="J2139" s="1">
        <v>45969</v>
      </c>
      <c r="K2139" s="3">
        <v>3.62249386184893E-2</v>
      </c>
      <c r="L2139">
        <v>3226988283</v>
      </c>
      <c r="M2139" s="2" t="s">
        <v>16</v>
      </c>
    </row>
    <row r="2140" spans="1:13" x14ac:dyDescent="0.3">
      <c r="A2140" s="1">
        <v>45971</v>
      </c>
      <c r="B2140" s="2" t="s">
        <v>15</v>
      </c>
      <c r="C2140">
        <v>2.3676499999999998</v>
      </c>
      <c r="D2140">
        <v>2.5771799999999998</v>
      </c>
      <c r="E2140">
        <v>2.3561800000000002</v>
      </c>
      <c r="F2140">
        <v>2.52637</v>
      </c>
      <c r="G2140">
        <f>_xlfn.MAXIFS(Crypto[Close],Crypto[Name],Crypto[[#This Row],[Name]],Crypto[Date],"&lt;="&amp;Crypto[[#This Row],[Date]])</f>
        <v>3.5557599999999998</v>
      </c>
      <c r="H2140" s="3">
        <f>(Crypto[[#This Row],[Close]]/Crypto[[#This Row],[Peak Close]])-1</f>
        <v>-0.28949929129075069</v>
      </c>
      <c r="I2140">
        <v>2.3676599999999999</v>
      </c>
      <c r="J2140" s="1">
        <v>45970</v>
      </c>
      <c r="K2140" s="3">
        <v>6.7032428642626096E-2</v>
      </c>
      <c r="L2140">
        <v>6474566793</v>
      </c>
      <c r="M2140" s="2" t="s">
        <v>16</v>
      </c>
    </row>
    <row r="2141" spans="1:13" x14ac:dyDescent="0.3">
      <c r="A2141" s="1">
        <v>45972</v>
      </c>
      <c r="B2141" s="2" t="s">
        <v>15</v>
      </c>
      <c r="C2141">
        <v>2.5263499999999999</v>
      </c>
      <c r="D2141">
        <v>2.5658799999999999</v>
      </c>
      <c r="E2141">
        <v>2.3822399999999999</v>
      </c>
      <c r="F2141">
        <v>2.3917199999999998</v>
      </c>
      <c r="G2141">
        <f>_xlfn.MAXIFS(Crypto[Close],Crypto[Name],Crypto[[#This Row],[Name]],Crypto[Date],"&lt;="&amp;Crypto[[#This Row],[Date]])</f>
        <v>3.5557599999999998</v>
      </c>
      <c r="H2141" s="3">
        <f>(Crypto[[#This Row],[Close]]/Crypto[[#This Row],[Peak Close]])-1</f>
        <v>-0.32736742637298355</v>
      </c>
      <c r="I2141">
        <v>2.52637</v>
      </c>
      <c r="J2141" s="1">
        <v>45971</v>
      </c>
      <c r="K2141" s="3">
        <v>-5.3297814651060697E-2</v>
      </c>
      <c r="L2141">
        <v>4511908616</v>
      </c>
      <c r="M2141" s="2" t="s">
        <v>16</v>
      </c>
    </row>
    <row r="2142" spans="1:13" x14ac:dyDescent="0.3">
      <c r="A2142" s="1">
        <v>45973</v>
      </c>
      <c r="B2142" s="2" t="s">
        <v>15</v>
      </c>
      <c r="C2142">
        <v>2.3917199999999998</v>
      </c>
      <c r="D2142">
        <v>2.4472299999999998</v>
      </c>
      <c r="E2142">
        <v>2.3202799999999999</v>
      </c>
      <c r="F2142">
        <v>2.3868999999999998</v>
      </c>
      <c r="G2142">
        <f>_xlfn.MAXIFS(Crypto[Close],Crypto[Name],Crypto[[#This Row],[Name]],Crypto[Date],"&lt;="&amp;Crypto[[#This Row],[Date]])</f>
        <v>3.5557599999999998</v>
      </c>
      <c r="H2142" s="3">
        <f>(Crypto[[#This Row],[Close]]/Crypto[[#This Row],[Peak Close]])-1</f>
        <v>-0.3287229734290279</v>
      </c>
      <c r="I2142">
        <v>2.3917199999999998</v>
      </c>
      <c r="J2142" s="1">
        <v>45972</v>
      </c>
      <c r="K2142" s="3">
        <v>-2.0152860702758002E-3</v>
      </c>
      <c r="L2142">
        <v>4769353442</v>
      </c>
      <c r="M2142" s="2" t="s">
        <v>16</v>
      </c>
    </row>
    <row r="2143" spans="1:13" x14ac:dyDescent="0.3">
      <c r="A2143" s="1">
        <v>45974</v>
      </c>
      <c r="B2143" s="2" t="s">
        <v>15</v>
      </c>
      <c r="C2143">
        <v>2.3869099999999999</v>
      </c>
      <c r="D2143">
        <v>2.5200499999999999</v>
      </c>
      <c r="E2143">
        <v>2.2845399999999998</v>
      </c>
      <c r="F2143">
        <v>2.33114</v>
      </c>
      <c r="G2143">
        <f>_xlfn.MAXIFS(Crypto[Close],Crypto[Name],Crypto[[#This Row],[Name]],Crypto[Date],"&lt;="&amp;Crypto[[#This Row],[Date]])</f>
        <v>3.5557599999999998</v>
      </c>
      <c r="H2143" s="3">
        <f>(Crypto[[#This Row],[Close]]/Crypto[[#This Row],[Peak Close]])-1</f>
        <v>-0.34440457173712513</v>
      </c>
      <c r="I2143">
        <v>2.3868999999999998</v>
      </c>
      <c r="J2143" s="1">
        <v>45973</v>
      </c>
      <c r="K2143" s="3">
        <v>-2.3360844610163699E-2</v>
      </c>
      <c r="L2143">
        <v>7594356106</v>
      </c>
      <c r="M2143" s="2" t="s">
        <v>16</v>
      </c>
    </row>
    <row r="2144" spans="1:13" x14ac:dyDescent="0.3">
      <c r="A2144" s="1">
        <v>45975</v>
      </c>
      <c r="B2144" s="2" t="s">
        <v>15</v>
      </c>
      <c r="C2144">
        <v>2.3311199999999999</v>
      </c>
      <c r="D2144">
        <v>2.3358500000000002</v>
      </c>
      <c r="E2144">
        <v>2.2313800000000001</v>
      </c>
      <c r="F2144">
        <v>2.2439800000000001</v>
      </c>
      <c r="G2144">
        <f>_xlfn.MAXIFS(Crypto[Close],Crypto[Name],Crypto[[#This Row],[Name]],Crypto[Date],"&lt;="&amp;Crypto[[#This Row],[Date]])</f>
        <v>3.5557599999999998</v>
      </c>
      <c r="H2144" s="3">
        <f>(Crypto[[#This Row],[Close]]/Crypto[[#This Row],[Peak Close]])-1</f>
        <v>-0.36891691227754397</v>
      </c>
      <c r="I2144">
        <v>2.33114</v>
      </c>
      <c r="J2144" s="1">
        <v>45974</v>
      </c>
      <c r="K2144" s="3">
        <v>-3.7389431780159001E-2</v>
      </c>
      <c r="L2144">
        <v>7080963107</v>
      </c>
      <c r="M2144" s="2" t="s">
        <v>16</v>
      </c>
    </row>
    <row r="2145" spans="1:13" x14ac:dyDescent="0.3">
      <c r="A2145" s="1">
        <v>45976</v>
      </c>
      <c r="B2145" s="2" t="s">
        <v>15</v>
      </c>
      <c r="C2145">
        <v>2.24397</v>
      </c>
      <c r="D2145">
        <v>2.2977099999999999</v>
      </c>
      <c r="E2145">
        <v>2.2192799999999999</v>
      </c>
      <c r="F2145">
        <v>2.2352500000000002</v>
      </c>
      <c r="G2145">
        <f>_xlfn.MAXIFS(Crypto[Close],Crypto[Name],Crypto[[#This Row],[Name]],Crypto[Date],"&lt;="&amp;Crypto[[#This Row],[Date]])</f>
        <v>3.5557599999999998</v>
      </c>
      <c r="H2145" s="3">
        <f>(Crypto[[#This Row],[Close]]/Crypto[[#This Row],[Peak Close]])-1</f>
        <v>-0.37137208360519258</v>
      </c>
      <c r="I2145">
        <v>2.2439800000000001</v>
      </c>
      <c r="J2145" s="1">
        <v>45975</v>
      </c>
      <c r="K2145" s="3">
        <v>-3.8904090054278102E-3</v>
      </c>
      <c r="L2145">
        <v>2923818163</v>
      </c>
      <c r="M2145" s="2" t="s">
        <v>16</v>
      </c>
    </row>
    <row r="2146" spans="1:13" x14ac:dyDescent="0.3">
      <c r="A2146" s="1">
        <v>45977</v>
      </c>
      <c r="B2146" s="2" t="s">
        <v>15</v>
      </c>
      <c r="C2146">
        <v>2.2352500000000002</v>
      </c>
      <c r="D2146">
        <v>2.2763599999999999</v>
      </c>
      <c r="E2146">
        <v>2.1610399999999998</v>
      </c>
      <c r="F2146">
        <v>2.2166100000000002</v>
      </c>
      <c r="G2146">
        <f>_xlfn.MAXIFS(Crypto[Close],Crypto[Name],Crypto[[#This Row],[Name]],Crypto[Date],"&lt;="&amp;Crypto[[#This Row],[Date]])</f>
        <v>3.5557599999999998</v>
      </c>
      <c r="H2146" s="3">
        <f>(Crypto[[#This Row],[Close]]/Crypto[[#This Row],[Peak Close]])-1</f>
        <v>-0.37661428217877468</v>
      </c>
      <c r="I2146">
        <v>2.2352500000000002</v>
      </c>
      <c r="J2146" s="1">
        <v>45976</v>
      </c>
      <c r="K2146" s="3">
        <v>-8.3391119561570196E-3</v>
      </c>
      <c r="L2146">
        <v>4217661281</v>
      </c>
      <c r="M2146" s="2" t="s">
        <v>16</v>
      </c>
    </row>
    <row r="2147" spans="1:13" x14ac:dyDescent="0.3">
      <c r="A2147" s="1">
        <v>45978</v>
      </c>
      <c r="B2147" s="2" t="s">
        <v>15</v>
      </c>
      <c r="C2147">
        <v>2.2165900000000001</v>
      </c>
      <c r="D2147">
        <v>2.29135</v>
      </c>
      <c r="E2147">
        <v>2.1182300000000001</v>
      </c>
      <c r="F2147">
        <v>2.1621000000000001</v>
      </c>
      <c r="G2147">
        <f>_xlfn.MAXIFS(Crypto[Close],Crypto[Name],Crypto[[#This Row],[Name]],Crypto[Date],"&lt;="&amp;Crypto[[#This Row],[Date]])</f>
        <v>3.5557599999999998</v>
      </c>
      <c r="H2147" s="3">
        <f>(Crypto[[#This Row],[Close]]/Crypto[[#This Row],[Peak Close]])-1</f>
        <v>-0.39194433820055341</v>
      </c>
      <c r="I2147">
        <v>2.2166100000000002</v>
      </c>
      <c r="J2147" s="1">
        <v>45977</v>
      </c>
      <c r="K2147" s="3">
        <v>-2.4591606101208599E-2</v>
      </c>
      <c r="L2147">
        <v>6068395312</v>
      </c>
      <c r="M2147" s="2" t="s">
        <v>16</v>
      </c>
    </row>
    <row r="2148" spans="1:13" x14ac:dyDescent="0.3">
      <c r="A2148" s="1">
        <v>45979</v>
      </c>
      <c r="B2148" s="2" t="s">
        <v>15</v>
      </c>
      <c r="C2148">
        <v>2.16208</v>
      </c>
      <c r="D2148">
        <v>2.2369699999999999</v>
      </c>
      <c r="E2148">
        <v>2.1150500000000001</v>
      </c>
      <c r="F2148">
        <v>2.2164799999999998</v>
      </c>
      <c r="G2148">
        <f>_xlfn.MAXIFS(Crypto[Close],Crypto[Name],Crypto[[#This Row],[Name]],Crypto[Date],"&lt;="&amp;Crypto[[#This Row],[Date]])</f>
        <v>3.5557599999999998</v>
      </c>
      <c r="H2148" s="3">
        <f>(Crypto[[#This Row],[Close]]/Crypto[[#This Row],[Peak Close]])-1</f>
        <v>-0.3766508425765519</v>
      </c>
      <c r="I2148">
        <v>2.1621000000000001</v>
      </c>
      <c r="J2148" s="1">
        <v>45978</v>
      </c>
      <c r="K2148" s="3">
        <v>2.51514731048516E-2</v>
      </c>
      <c r="L2148">
        <v>5793233516</v>
      </c>
      <c r="M2148" s="2" t="s">
        <v>16</v>
      </c>
    </row>
    <row r="2149" spans="1:13" x14ac:dyDescent="0.3">
      <c r="A2149" s="1">
        <v>45980</v>
      </c>
      <c r="B2149" s="2" t="s">
        <v>15</v>
      </c>
      <c r="C2149">
        <v>2.2164799999999998</v>
      </c>
      <c r="D2149">
        <v>2.2164799999999998</v>
      </c>
      <c r="E2149">
        <v>2.0280300000000002</v>
      </c>
      <c r="F2149">
        <v>2.1076199999999998</v>
      </c>
      <c r="G2149">
        <f>_xlfn.MAXIFS(Crypto[Close],Crypto[Name],Crypto[[#This Row],[Name]],Crypto[Date],"&lt;="&amp;Crypto[[#This Row],[Date]])</f>
        <v>3.5557599999999998</v>
      </c>
      <c r="H2149" s="3">
        <f>(Crypto[[#This Row],[Close]]/Crypto[[#This Row],[Peak Close]])-1</f>
        <v>-0.40726595720746062</v>
      </c>
      <c r="I2149">
        <v>2.2164799999999998</v>
      </c>
      <c r="J2149" s="1">
        <v>45979</v>
      </c>
      <c r="K2149" s="3">
        <v>-4.91139103443297E-2</v>
      </c>
      <c r="L2149">
        <v>6144007301</v>
      </c>
      <c r="M2149" s="2" t="s">
        <v>16</v>
      </c>
    </row>
    <row r="2150" spans="1:13" x14ac:dyDescent="0.3">
      <c r="A2150" s="1">
        <v>45981</v>
      </c>
      <c r="B2150" s="2" t="s">
        <v>15</v>
      </c>
      <c r="C2150">
        <v>2.1076100000000002</v>
      </c>
      <c r="D2150">
        <v>2.1467700000000001</v>
      </c>
      <c r="E2150">
        <v>1.9777400000000001</v>
      </c>
      <c r="F2150">
        <v>1.9987900000000001</v>
      </c>
      <c r="G2150">
        <f>_xlfn.MAXIFS(Crypto[Close],Crypto[Name],Crypto[[#This Row],[Name]],Crypto[Date],"&lt;="&amp;Crypto[[#This Row],[Date]])</f>
        <v>3.5557599999999998</v>
      </c>
      <c r="H2150" s="3">
        <f>(Crypto[[#This Row],[Close]]/Crypto[[#This Row],[Peak Close]])-1</f>
        <v>-0.43787263482349759</v>
      </c>
      <c r="I2150">
        <v>2.1076199999999998</v>
      </c>
      <c r="J2150" s="1">
        <v>45980</v>
      </c>
      <c r="K2150" s="3">
        <v>-5.16364430020591E-2</v>
      </c>
      <c r="L2150">
        <v>6618490721</v>
      </c>
      <c r="M2150" s="2" t="s">
        <v>16</v>
      </c>
    </row>
    <row r="2151" spans="1:13" x14ac:dyDescent="0.3">
      <c r="A2151" s="1">
        <v>45982</v>
      </c>
      <c r="B2151" s="2" t="s">
        <v>15</v>
      </c>
      <c r="C2151">
        <v>1.99871</v>
      </c>
      <c r="D2151">
        <v>2.0236200000000002</v>
      </c>
      <c r="E2151">
        <v>1.83487</v>
      </c>
      <c r="F2151">
        <v>1.9503999999999999</v>
      </c>
      <c r="G2151">
        <f>_xlfn.MAXIFS(Crypto[Close],Crypto[Name],Crypto[[#This Row],[Name]],Crypto[Date],"&lt;="&amp;Crypto[[#This Row],[Date]])</f>
        <v>3.5557599999999998</v>
      </c>
      <c r="H2151" s="3">
        <f>(Crypto[[#This Row],[Close]]/Crypto[[#This Row],[Peak Close]])-1</f>
        <v>-0.45148153981146089</v>
      </c>
      <c r="I2151">
        <v>1.9987900000000001</v>
      </c>
      <c r="J2151" s="1">
        <v>45981</v>
      </c>
      <c r="K2151" s="3">
        <v>-2.4209646836336099E-2</v>
      </c>
      <c r="L2151">
        <v>9204368766</v>
      </c>
      <c r="M2151" s="2" t="s">
        <v>16</v>
      </c>
    </row>
    <row r="2152" spans="1:13" x14ac:dyDescent="0.3">
      <c r="A2152" s="1">
        <v>45983</v>
      </c>
      <c r="B2152" s="2" t="s">
        <v>15</v>
      </c>
      <c r="C2152">
        <v>1.9503900000000001</v>
      </c>
      <c r="D2152">
        <v>1.9626699999999999</v>
      </c>
      <c r="E2152">
        <v>1.89324</v>
      </c>
      <c r="F2152">
        <v>1.9497500000000001</v>
      </c>
      <c r="G2152">
        <f>_xlfn.MAXIFS(Crypto[Close],Crypto[Name],Crypto[[#This Row],[Name]],Crypto[Date],"&lt;="&amp;Crypto[[#This Row],[Date]])</f>
        <v>3.5557599999999998</v>
      </c>
      <c r="H2152" s="3">
        <f>(Crypto[[#This Row],[Close]]/Crypto[[#This Row],[Peak Close]])-1</f>
        <v>-0.45166434180034642</v>
      </c>
      <c r="I2152">
        <v>1.9503999999999999</v>
      </c>
      <c r="J2152" s="1">
        <v>45982</v>
      </c>
      <c r="K2152" s="3">
        <v>-3.3326497128784703E-4</v>
      </c>
      <c r="L2152">
        <v>3115116100</v>
      </c>
      <c r="M2152" s="2" t="s">
        <v>16</v>
      </c>
    </row>
    <row r="2153" spans="1:13" x14ac:dyDescent="0.3">
      <c r="A2153" s="1">
        <v>45984</v>
      </c>
      <c r="B2153" s="2" t="s">
        <v>15</v>
      </c>
      <c r="C2153">
        <v>1.9497500000000001</v>
      </c>
      <c r="D2153">
        <v>2.0800999999999998</v>
      </c>
      <c r="E2153">
        <v>1.9497199999999999</v>
      </c>
      <c r="F2153">
        <v>2.0462600000000002</v>
      </c>
      <c r="G2153">
        <f>_xlfn.MAXIFS(Crypto[Close],Crypto[Name],Crypto[[#This Row],[Name]],Crypto[Date],"&lt;="&amp;Crypto[[#This Row],[Date]])</f>
        <v>3.5557599999999998</v>
      </c>
      <c r="H2153" s="3">
        <f>(Crypto[[#This Row],[Close]]/Crypto[[#This Row],[Peak Close]])-1</f>
        <v>-0.42452246495826484</v>
      </c>
      <c r="I2153">
        <v>1.9497500000000001</v>
      </c>
      <c r="J2153" s="1">
        <v>45983</v>
      </c>
      <c r="K2153" s="3">
        <v>4.9498653673547902E-2</v>
      </c>
      <c r="L2153">
        <v>4120199235</v>
      </c>
      <c r="M2153" s="2" t="s">
        <v>16</v>
      </c>
    </row>
    <row r="2154" spans="1:13" x14ac:dyDescent="0.3">
      <c r="A2154" s="1">
        <v>45985</v>
      </c>
      <c r="B2154" s="2" t="s">
        <v>15</v>
      </c>
      <c r="C2154">
        <v>2.0464000000000002</v>
      </c>
      <c r="D2154">
        <v>2.2784</v>
      </c>
      <c r="E2154">
        <v>2.0267200000000001</v>
      </c>
      <c r="F2154">
        <v>2.2258800000000001</v>
      </c>
      <c r="G2154">
        <f>_xlfn.MAXIFS(Crypto[Close],Crypto[Name],Crypto[[#This Row],[Name]],Crypto[Date],"&lt;="&amp;Crypto[[#This Row],[Date]])</f>
        <v>3.5557599999999998</v>
      </c>
      <c r="H2154" s="3">
        <f>(Crypto[[#This Row],[Close]]/Crypto[[#This Row],[Peak Close]])-1</f>
        <v>-0.37400724458343637</v>
      </c>
      <c r="I2154">
        <v>2.0462600000000002</v>
      </c>
      <c r="J2154" s="1">
        <v>45984</v>
      </c>
      <c r="K2154" s="3">
        <v>8.7779656544134096E-2</v>
      </c>
      <c r="L2154">
        <v>6505730022</v>
      </c>
      <c r="M2154" s="2" t="s">
        <v>16</v>
      </c>
    </row>
    <row r="2155" spans="1:13" x14ac:dyDescent="0.3">
      <c r="A2155" s="1">
        <v>45986</v>
      </c>
      <c r="B2155" s="2" t="s">
        <v>15</v>
      </c>
      <c r="C2155">
        <v>2.22601</v>
      </c>
      <c r="D2155">
        <v>2.2593999999999999</v>
      </c>
      <c r="E2155">
        <v>2.1517400000000002</v>
      </c>
      <c r="F2155">
        <v>2.1985399999999999</v>
      </c>
      <c r="G2155">
        <f>_xlfn.MAXIFS(Crypto[Close],Crypto[Name],Crypto[[#This Row],[Name]],Crypto[Date],"&lt;="&amp;Crypto[[#This Row],[Date]])</f>
        <v>3.5557599999999998</v>
      </c>
      <c r="H2155" s="3">
        <f>(Crypto[[#This Row],[Close]]/Crypto[[#This Row],[Peak Close]])-1</f>
        <v>-0.38169617746979545</v>
      </c>
      <c r="I2155">
        <v>2.2258800000000001</v>
      </c>
      <c r="J2155" s="1">
        <v>45985</v>
      </c>
      <c r="K2155" s="3">
        <v>-1.2282782539939301E-2</v>
      </c>
      <c r="L2155">
        <v>4910340958</v>
      </c>
      <c r="M2155" s="2" t="s">
        <v>16</v>
      </c>
    </row>
    <row r="2156" spans="1:13" x14ac:dyDescent="0.3">
      <c r="A2156" s="1">
        <v>45987</v>
      </c>
      <c r="B2156" s="2" t="s">
        <v>15</v>
      </c>
      <c r="C2156">
        <v>2.1985399999999999</v>
      </c>
      <c r="D2156">
        <v>2.2501600000000002</v>
      </c>
      <c r="E2156">
        <v>2.1482199999999998</v>
      </c>
      <c r="F2156">
        <v>2.2242799999999998</v>
      </c>
      <c r="G2156">
        <f>_xlfn.MAXIFS(Crypto[Close],Crypto[Name],Crypto[[#This Row],[Name]],Crypto[Date],"&lt;="&amp;Crypto[[#This Row],[Date]])</f>
        <v>3.5557599999999998</v>
      </c>
      <c r="H2156" s="3">
        <f>(Crypto[[#This Row],[Close]]/Crypto[[#This Row],[Peak Close]])-1</f>
        <v>-0.37445721870992421</v>
      </c>
      <c r="I2156">
        <v>2.1985399999999999</v>
      </c>
      <c r="J2156" s="1">
        <v>45986</v>
      </c>
      <c r="K2156" s="3">
        <v>1.17077697017111E-2</v>
      </c>
      <c r="L2156">
        <v>3853143882</v>
      </c>
      <c r="M2156" s="2" t="s">
        <v>16</v>
      </c>
    </row>
    <row r="2157" spans="1:13" x14ac:dyDescent="0.3">
      <c r="A2157" s="1">
        <v>45988</v>
      </c>
      <c r="B2157" s="2" t="s">
        <v>15</v>
      </c>
      <c r="C2157">
        <v>2.2242799999999998</v>
      </c>
      <c r="D2157">
        <v>2.23272</v>
      </c>
      <c r="E2157">
        <v>2.1752699999999998</v>
      </c>
      <c r="F2157">
        <v>2.2008200000000002</v>
      </c>
      <c r="G2157">
        <f>_xlfn.MAXIFS(Crypto[Close],Crypto[Name],Crypto[[#This Row],[Name]],Crypto[Date],"&lt;="&amp;Crypto[[#This Row],[Date]])</f>
        <v>3.5557599999999998</v>
      </c>
      <c r="H2157" s="3">
        <f>(Crypto[[#This Row],[Close]]/Crypto[[#This Row],[Peak Close]])-1</f>
        <v>-0.38105496433955033</v>
      </c>
      <c r="I2157">
        <v>2.2242799999999998</v>
      </c>
      <c r="J2157" s="1">
        <v>45987</v>
      </c>
      <c r="K2157" s="3">
        <v>-1.05472332619992E-2</v>
      </c>
      <c r="L2157">
        <v>2820875208</v>
      </c>
      <c r="M2157" s="2" t="s">
        <v>16</v>
      </c>
    </row>
    <row r="2158" spans="1:13" x14ac:dyDescent="0.3">
      <c r="A2158" s="1">
        <v>45989</v>
      </c>
      <c r="B2158" s="2" t="s">
        <v>15</v>
      </c>
      <c r="C2158">
        <v>2.2008299999999998</v>
      </c>
      <c r="D2158">
        <v>2.2629000000000001</v>
      </c>
      <c r="E2158">
        <v>2.1615099999999998</v>
      </c>
      <c r="F2158">
        <v>2.18065</v>
      </c>
      <c r="G2158">
        <f>_xlfn.MAXIFS(Crypto[Close],Crypto[Name],Crypto[[#This Row],[Name]],Crypto[Date],"&lt;="&amp;Crypto[[#This Row],[Date]])</f>
        <v>3.5557599999999998</v>
      </c>
      <c r="H2158" s="3">
        <f>(Crypto[[#This Row],[Close]]/Crypto[[#This Row],[Peak Close]])-1</f>
        <v>-0.38672745067158631</v>
      </c>
      <c r="I2158">
        <v>2.2008200000000002</v>
      </c>
      <c r="J2158" s="1">
        <v>45988</v>
      </c>
      <c r="K2158" s="3">
        <v>-9.1647658599977502E-3</v>
      </c>
      <c r="L2158">
        <v>4332649955</v>
      </c>
      <c r="M2158" s="2" t="s">
        <v>16</v>
      </c>
    </row>
    <row r="2159" spans="1:13" x14ac:dyDescent="0.3">
      <c r="A2159" s="1">
        <v>45990</v>
      </c>
      <c r="B2159" s="2" t="s">
        <v>15</v>
      </c>
      <c r="C2159">
        <v>2.18065</v>
      </c>
      <c r="D2159">
        <v>2.2206000000000001</v>
      </c>
      <c r="E2159">
        <v>2.1725099999999999</v>
      </c>
      <c r="F2159">
        <v>2.2033800000000001</v>
      </c>
      <c r="G2159">
        <f>_xlfn.MAXIFS(Crypto[Close],Crypto[Name],Crypto[[#This Row],[Name]],Crypto[Date],"&lt;="&amp;Crypto[[#This Row],[Date]])</f>
        <v>3.5557599999999998</v>
      </c>
      <c r="H2159" s="3">
        <f>(Crypto[[#This Row],[Close]]/Crypto[[#This Row],[Peak Close]])-1</f>
        <v>-0.38033500573717005</v>
      </c>
      <c r="I2159">
        <v>2.18065</v>
      </c>
      <c r="J2159" s="1">
        <v>45989</v>
      </c>
      <c r="K2159" s="3">
        <v>1.04234975809966E-2</v>
      </c>
      <c r="L2159">
        <v>2108094066</v>
      </c>
      <c r="M2159" s="2" t="s">
        <v>16</v>
      </c>
    </row>
    <row r="2160" spans="1:13" x14ac:dyDescent="0.3">
      <c r="A2160" s="1">
        <v>45991</v>
      </c>
      <c r="B2160" s="2" t="s">
        <v>15</v>
      </c>
      <c r="C2160">
        <v>2.2033700000000001</v>
      </c>
      <c r="D2160">
        <v>2.2123300000000001</v>
      </c>
      <c r="E2160">
        <v>2.1609699999999998</v>
      </c>
      <c r="F2160">
        <v>2.1609699999999998</v>
      </c>
      <c r="G2160">
        <f>_xlfn.MAXIFS(Crypto[Close],Crypto[Name],Crypto[[#This Row],[Name]],Crypto[Date],"&lt;="&amp;Crypto[[#This Row],[Date]])</f>
        <v>3.5557599999999998</v>
      </c>
      <c r="H2160" s="3">
        <f>(Crypto[[#This Row],[Close]]/Crypto[[#This Row],[Peak Close]])-1</f>
        <v>-0.39226213242738539</v>
      </c>
      <c r="I2160">
        <v>2.2033800000000001</v>
      </c>
      <c r="J2160" s="1">
        <v>45990</v>
      </c>
      <c r="K2160" s="3">
        <v>-1.9247701258975E-2</v>
      </c>
      <c r="L2160">
        <v>1888526431</v>
      </c>
      <c r="M2160" s="2" t="s">
        <v>16</v>
      </c>
    </row>
    <row r="2161" spans="1:13" x14ac:dyDescent="0.3">
      <c r="A2161" s="1">
        <v>45992</v>
      </c>
      <c r="B2161" s="2" t="s">
        <v>15</v>
      </c>
      <c r="C2161">
        <v>2.1606399999999999</v>
      </c>
      <c r="D2161">
        <v>2.16079</v>
      </c>
      <c r="E2161">
        <v>1.9879800000000001</v>
      </c>
      <c r="F2161">
        <v>2.0309200000000001</v>
      </c>
      <c r="G2161">
        <f>_xlfn.MAXIFS(Crypto[Close],Crypto[Name],Crypto[[#This Row],[Name]],Crypto[Date],"&lt;="&amp;Crypto[[#This Row],[Date]])</f>
        <v>3.5557599999999998</v>
      </c>
      <c r="H2161" s="3">
        <f>(Crypto[[#This Row],[Close]]/Crypto[[#This Row],[Peak Close]])-1</f>
        <v>-0.4288365918959659</v>
      </c>
      <c r="I2161">
        <v>2.1609699999999998</v>
      </c>
      <c r="J2161" s="1">
        <v>45991</v>
      </c>
      <c r="K2161" s="3">
        <v>-6.0181307468405297E-2</v>
      </c>
      <c r="L2161">
        <v>5482181614</v>
      </c>
      <c r="M2161" s="2" t="s">
        <v>16</v>
      </c>
    </row>
    <row r="2162" spans="1:13" x14ac:dyDescent="0.3">
      <c r="A2162" s="1">
        <v>45993</v>
      </c>
      <c r="B2162" s="2" t="s">
        <v>15</v>
      </c>
      <c r="C2162">
        <v>2.0309200000000001</v>
      </c>
      <c r="D2162">
        <v>2.1788500000000002</v>
      </c>
      <c r="E2162">
        <v>1.9983299999999999</v>
      </c>
      <c r="F2162">
        <v>2.1555200000000001</v>
      </c>
      <c r="G2162">
        <f>_xlfn.MAXIFS(Crypto[Close],Crypto[Name],Crypto[[#This Row],[Name]],Crypto[Date],"&lt;="&amp;Crypto[[#This Row],[Date]])</f>
        <v>3.5557599999999998</v>
      </c>
      <c r="H2162" s="3">
        <f>(Crypto[[#This Row],[Close]]/Crypto[[#This Row],[Peak Close]])-1</f>
        <v>-0.39379485679573423</v>
      </c>
      <c r="I2162">
        <v>2.0309200000000001</v>
      </c>
      <c r="J2162" s="1">
        <v>45992</v>
      </c>
      <c r="K2162" s="3">
        <v>6.1351505721544901E-2</v>
      </c>
      <c r="L2162">
        <v>4387656803</v>
      </c>
      <c r="M2162" s="2" t="s">
        <v>16</v>
      </c>
    </row>
    <row r="2163" spans="1:13" x14ac:dyDescent="0.3">
      <c r="A2163" s="1">
        <v>45994</v>
      </c>
      <c r="B2163" s="2" t="s">
        <v>15</v>
      </c>
      <c r="C2163">
        <v>2.1554700000000002</v>
      </c>
      <c r="D2163">
        <v>2.2173500000000002</v>
      </c>
      <c r="E2163">
        <v>2.1436600000000001</v>
      </c>
      <c r="F2163">
        <v>2.2019099999999998</v>
      </c>
      <c r="G2163">
        <f>_xlfn.MAXIFS(Crypto[Close],Crypto[Name],Crypto[[#This Row],[Name]],Crypto[Date],"&lt;="&amp;Crypto[[#This Row],[Date]])</f>
        <v>3.5557599999999998</v>
      </c>
      <c r="H2163" s="3">
        <f>(Crypto[[#This Row],[Close]]/Crypto[[#This Row],[Peak Close]])-1</f>
        <v>-0.38074841946588078</v>
      </c>
      <c r="I2163">
        <v>2.1555200000000001</v>
      </c>
      <c r="J2163" s="1">
        <v>45993</v>
      </c>
      <c r="K2163" s="3">
        <v>2.1521489014251601E-2</v>
      </c>
      <c r="L2163">
        <v>3860198446</v>
      </c>
      <c r="M2163" s="2" t="s">
        <v>16</v>
      </c>
    </row>
    <row r="2164" spans="1:13" x14ac:dyDescent="0.3">
      <c r="A2164" s="1">
        <v>45995</v>
      </c>
      <c r="B2164" s="2" t="s">
        <v>15</v>
      </c>
      <c r="C2164">
        <v>2.2015899999999999</v>
      </c>
      <c r="D2164">
        <v>2.2096900000000002</v>
      </c>
      <c r="E2164">
        <v>2.0735899999999998</v>
      </c>
      <c r="F2164">
        <v>2.0971700000000002</v>
      </c>
      <c r="G2164">
        <f>_xlfn.MAXIFS(Crypto[Close],Crypto[Name],Crypto[[#This Row],[Name]],Crypto[Date],"&lt;="&amp;Crypto[[#This Row],[Date]])</f>
        <v>3.5557599999999998</v>
      </c>
      <c r="H2164" s="3">
        <f>(Crypto[[#This Row],[Close]]/Crypto[[#This Row],[Peak Close]])-1</f>
        <v>-0.41020485072108348</v>
      </c>
      <c r="I2164">
        <v>2.2019099999999998</v>
      </c>
      <c r="J2164" s="1">
        <v>45994</v>
      </c>
      <c r="K2164" s="3">
        <v>-4.7567793415716202E-2</v>
      </c>
      <c r="L2164">
        <v>3357933972</v>
      </c>
      <c r="M2164" s="2" t="s">
        <v>16</v>
      </c>
    </row>
    <row r="2165" spans="1:13" x14ac:dyDescent="0.3">
      <c r="A2165" s="1">
        <v>45996</v>
      </c>
      <c r="B2165" s="2" t="s">
        <v>15</v>
      </c>
      <c r="C2165">
        <v>2.0971600000000001</v>
      </c>
      <c r="D2165">
        <v>2.1116799999999998</v>
      </c>
      <c r="E2165">
        <v>2.0179499999999999</v>
      </c>
      <c r="F2165">
        <v>2.0376099999999999</v>
      </c>
      <c r="G2165">
        <f>_xlfn.MAXIFS(Crypto[Close],Crypto[Name],Crypto[[#This Row],[Name]],Crypto[Date],"&lt;="&amp;Crypto[[#This Row],[Date]])</f>
        <v>3.5557599999999998</v>
      </c>
      <c r="H2165" s="3">
        <f>(Crypto[[#This Row],[Close]]/Crypto[[#This Row],[Peak Close]])-1</f>
        <v>-0.42695513757958914</v>
      </c>
      <c r="I2165">
        <v>2.0971700000000002</v>
      </c>
      <c r="J2165" s="1">
        <v>45995</v>
      </c>
      <c r="K2165" s="3">
        <v>-2.8400177381900499E-2</v>
      </c>
      <c r="L2165">
        <v>3315458822</v>
      </c>
      <c r="M2165" s="2" t="s">
        <v>16</v>
      </c>
    </row>
    <row r="2166" spans="1:13" x14ac:dyDescent="0.3">
      <c r="A2166" s="1">
        <v>45997</v>
      </c>
      <c r="B2166" s="2" t="s">
        <v>15</v>
      </c>
      <c r="C2166">
        <v>2.0376099999999999</v>
      </c>
      <c r="D2166">
        <v>2.04922</v>
      </c>
      <c r="E2166">
        <v>2.0187599999999999</v>
      </c>
      <c r="F2166">
        <v>2.0326200000000001</v>
      </c>
      <c r="G2166">
        <f>_xlfn.MAXIFS(Crypto[Close],Crypto[Name],Crypto[[#This Row],[Name]],Crypto[Date],"&lt;="&amp;Crypto[[#This Row],[Date]])</f>
        <v>3.5557599999999998</v>
      </c>
      <c r="H2166" s="3">
        <f>(Crypto[[#This Row],[Close]]/Crypto[[#This Row],[Peak Close]])-1</f>
        <v>-0.4283584943865727</v>
      </c>
      <c r="I2166">
        <v>2.0376099999999999</v>
      </c>
      <c r="J2166" s="1">
        <v>45996</v>
      </c>
      <c r="K2166" s="3">
        <v>-2.4489475414823398E-3</v>
      </c>
      <c r="L2166">
        <v>1682146760</v>
      </c>
      <c r="M2166" s="2" t="s">
        <v>16</v>
      </c>
    </row>
    <row r="2167" spans="1:13" x14ac:dyDescent="0.3">
      <c r="A2167" s="1">
        <v>45998</v>
      </c>
      <c r="B2167" s="2" t="s">
        <v>15</v>
      </c>
      <c r="C2167">
        <v>2.0326300000000002</v>
      </c>
      <c r="D2167">
        <v>2.1088100000000001</v>
      </c>
      <c r="E2167">
        <v>2.0001799999999998</v>
      </c>
      <c r="F2167">
        <v>2.0434199999999998</v>
      </c>
      <c r="G2167">
        <f>_xlfn.MAXIFS(Crypto[Close],Crypto[Name],Crypto[[#This Row],[Name]],Crypto[Date],"&lt;="&amp;Crypto[[#This Row],[Date]])</f>
        <v>3.5557599999999998</v>
      </c>
      <c r="H2167" s="3">
        <f>(Crypto[[#This Row],[Close]]/Crypto[[#This Row],[Peak Close]])-1</f>
        <v>-0.42532116903278061</v>
      </c>
      <c r="I2167">
        <v>2.0326200000000001</v>
      </c>
      <c r="J2167" s="1">
        <v>45997</v>
      </c>
      <c r="K2167" s="3">
        <v>5.3133394338340202E-3</v>
      </c>
      <c r="L2167">
        <v>2832015064</v>
      </c>
      <c r="M2167" s="2" t="s">
        <v>16</v>
      </c>
    </row>
    <row r="2168" spans="1:13" x14ac:dyDescent="0.3">
      <c r="A2168" s="1">
        <v>45999</v>
      </c>
      <c r="B2168" s="2" t="s">
        <v>15</v>
      </c>
      <c r="C2168">
        <v>2.0434700000000001</v>
      </c>
      <c r="D2168">
        <v>2.1162700000000001</v>
      </c>
      <c r="E2168">
        <v>2.0369299999999999</v>
      </c>
      <c r="F2168">
        <v>2.0731099999999998</v>
      </c>
      <c r="G2168">
        <f>_xlfn.MAXIFS(Crypto[Close],Crypto[Name],Crypto[[#This Row],[Name]],Crypto[Date],"&lt;="&amp;Crypto[[#This Row],[Date]])</f>
        <v>3.5557599999999998</v>
      </c>
      <c r="H2168" s="3">
        <f>(Crypto[[#This Row],[Close]]/Crypto[[#This Row],[Peak Close]])-1</f>
        <v>-0.41697133664814279</v>
      </c>
      <c r="I2168">
        <v>2.0434199999999998</v>
      </c>
      <c r="J2168" s="1">
        <v>45998</v>
      </c>
      <c r="K2168" s="3">
        <v>1.45295631832908E-2</v>
      </c>
      <c r="L2168">
        <v>2909008695</v>
      </c>
      <c r="M2168" s="2" t="s">
        <v>16</v>
      </c>
    </row>
    <row r="2169" spans="1:13" x14ac:dyDescent="0.3">
      <c r="A2169" s="1">
        <v>46000</v>
      </c>
      <c r="B2169" s="2" t="s">
        <v>15</v>
      </c>
      <c r="C2169">
        <v>2.0731099999999998</v>
      </c>
      <c r="D2169">
        <v>2.17442</v>
      </c>
      <c r="E2169">
        <v>2.0454500000000002</v>
      </c>
      <c r="F2169">
        <v>2.1084200000000002</v>
      </c>
      <c r="G2169">
        <f>_xlfn.MAXIFS(Crypto[Close],Crypto[Name],Crypto[[#This Row],[Name]],Crypto[Date],"&lt;="&amp;Crypto[[#This Row],[Date]])</f>
        <v>3.5557599999999998</v>
      </c>
      <c r="H2169" s="3">
        <f>(Crypto[[#This Row],[Close]]/Crypto[[#This Row],[Peak Close]])-1</f>
        <v>-0.40704097014421659</v>
      </c>
      <c r="I2169">
        <v>2.0731099999999998</v>
      </c>
      <c r="J2169" s="1">
        <v>45999</v>
      </c>
      <c r="K2169" s="3">
        <v>1.7032381301523E-2</v>
      </c>
      <c r="L2169">
        <v>3614920392</v>
      </c>
      <c r="M2169" s="2" t="s">
        <v>16</v>
      </c>
    </row>
    <row r="2170" spans="1:13" x14ac:dyDescent="0.3">
      <c r="A2170" s="1">
        <v>46001</v>
      </c>
      <c r="B2170" s="2" t="s">
        <v>15</v>
      </c>
      <c r="C2170">
        <v>2.1084200000000002</v>
      </c>
      <c r="D2170">
        <v>2.1088800000000001</v>
      </c>
      <c r="E2170">
        <v>2.0413299999999999</v>
      </c>
      <c r="F2170">
        <v>2.0433400000000002</v>
      </c>
      <c r="G2170">
        <f>_xlfn.MAXIFS(Crypto[Close],Crypto[Name],Crypto[[#This Row],[Name]],Crypto[Date],"&lt;="&amp;Crypto[[#This Row],[Date]])</f>
        <v>3.5557599999999998</v>
      </c>
      <c r="H2170" s="3">
        <f>(Crypto[[#This Row],[Close]]/Crypto[[#This Row],[Peak Close]])-1</f>
        <v>-0.42534366773910492</v>
      </c>
      <c r="I2170">
        <v>2.1084200000000002</v>
      </c>
      <c r="J2170" s="1">
        <v>46000</v>
      </c>
      <c r="K2170" s="3">
        <v>-3.0866715360317199E-2</v>
      </c>
      <c r="L2170">
        <v>3768702959</v>
      </c>
      <c r="M2170" s="2" t="s">
        <v>16</v>
      </c>
    </row>
    <row r="2171" spans="1:13" x14ac:dyDescent="0.3">
      <c r="A2171" s="1">
        <v>46002</v>
      </c>
      <c r="B2171" s="2" t="s">
        <v>15</v>
      </c>
      <c r="C2171">
        <v>2.04332</v>
      </c>
      <c r="D2171">
        <v>2.0529799999999998</v>
      </c>
      <c r="E2171">
        <v>1.9865999999999999</v>
      </c>
      <c r="F2171">
        <v>2.0355099999999999</v>
      </c>
      <c r="G2171">
        <f>_xlfn.MAXIFS(Crypto[Close],Crypto[Name],Crypto[[#This Row],[Name]],Crypto[Date],"&lt;="&amp;Crypto[[#This Row],[Date]])</f>
        <v>3.5557599999999998</v>
      </c>
      <c r="H2171" s="3">
        <f>(Crypto[[#This Row],[Close]]/Crypto[[#This Row],[Peak Close]])-1</f>
        <v>-0.42754572862060436</v>
      </c>
      <c r="I2171">
        <v>2.0433400000000002</v>
      </c>
      <c r="J2171" s="1">
        <v>46001</v>
      </c>
      <c r="K2171" s="3">
        <v>-3.83196139653715E-3</v>
      </c>
      <c r="L2171">
        <v>3560399350</v>
      </c>
      <c r="M2171" s="2" t="s">
        <v>16</v>
      </c>
    </row>
    <row r="2172" spans="1:13" x14ac:dyDescent="0.3">
      <c r="A2172" s="1">
        <v>46003</v>
      </c>
      <c r="B2172" s="2" t="s">
        <v>15</v>
      </c>
      <c r="C2172">
        <v>2.0354999999999999</v>
      </c>
      <c r="D2172">
        <v>2.0456400000000001</v>
      </c>
      <c r="E2172">
        <v>1.9795700000000001</v>
      </c>
      <c r="F2172">
        <v>2.00915</v>
      </c>
      <c r="G2172">
        <f>_xlfn.MAXIFS(Crypto[Close],Crypto[Name],Crypto[[#This Row],[Name]],Crypto[Date],"&lt;="&amp;Crypto[[#This Row],[Date]])</f>
        <v>3.5557599999999998</v>
      </c>
      <c r="H2172" s="3">
        <f>(Crypto[[#This Row],[Close]]/Crypto[[#This Row],[Peak Close]])-1</f>
        <v>-0.43495905235448962</v>
      </c>
      <c r="I2172">
        <v>2.0355099999999999</v>
      </c>
      <c r="J2172" s="1">
        <v>46002</v>
      </c>
      <c r="K2172" s="3">
        <v>-1.2950071480857301E-2</v>
      </c>
      <c r="L2172">
        <v>2650764203</v>
      </c>
      <c r="M2172" s="2" t="s">
        <v>16</v>
      </c>
    </row>
    <row r="2173" spans="1:13" x14ac:dyDescent="0.3">
      <c r="A2173" s="1">
        <v>46004</v>
      </c>
      <c r="B2173" s="2" t="s">
        <v>15</v>
      </c>
      <c r="C2173">
        <v>2.00915</v>
      </c>
      <c r="D2173">
        <v>2.0472399999999999</v>
      </c>
      <c r="E2173">
        <v>2.0082300000000002</v>
      </c>
      <c r="F2173">
        <v>2.02399</v>
      </c>
      <c r="G2173">
        <f>_xlfn.MAXIFS(Crypto[Close],Crypto[Name],Crypto[[#This Row],[Name]],Crypto[Date],"&lt;="&amp;Crypto[[#This Row],[Date]])</f>
        <v>3.5557599999999998</v>
      </c>
      <c r="H2173" s="3">
        <f>(Crypto[[#This Row],[Close]]/Crypto[[#This Row],[Peak Close]])-1</f>
        <v>-0.43078554233131594</v>
      </c>
      <c r="I2173">
        <v>2.00915</v>
      </c>
      <c r="J2173" s="1">
        <v>46003</v>
      </c>
      <c r="K2173" s="3">
        <v>7.3862080979518498E-3</v>
      </c>
      <c r="L2173">
        <v>1622802388</v>
      </c>
      <c r="M2173" s="2" t="s">
        <v>16</v>
      </c>
    </row>
    <row r="2174" spans="1:13" x14ac:dyDescent="0.3">
      <c r="A2174" s="1">
        <v>46005</v>
      </c>
      <c r="B2174" s="2" t="s">
        <v>15</v>
      </c>
      <c r="C2174">
        <v>2.024</v>
      </c>
      <c r="D2174">
        <v>2.0300199999999999</v>
      </c>
      <c r="E2174">
        <v>1.97211</v>
      </c>
      <c r="F2174">
        <v>1.97929</v>
      </c>
      <c r="G2174">
        <f>_xlfn.MAXIFS(Crypto[Close],Crypto[Name],Crypto[[#This Row],[Name]],Crypto[Date],"&lt;="&amp;Crypto[[#This Row],[Date]])</f>
        <v>3.5557599999999998</v>
      </c>
      <c r="H2174" s="3">
        <f>(Crypto[[#This Row],[Close]]/Crypto[[#This Row],[Peak Close]])-1</f>
        <v>-0.44335669449006676</v>
      </c>
      <c r="I2174">
        <v>2.02399</v>
      </c>
      <c r="J2174" s="1">
        <v>46004</v>
      </c>
      <c r="K2174" s="3">
        <v>-2.2085089353208201E-2</v>
      </c>
      <c r="L2174">
        <v>1639521426</v>
      </c>
      <c r="M2174" s="2" t="s">
        <v>16</v>
      </c>
    </row>
    <row r="2175" spans="1:13" x14ac:dyDescent="0.3">
      <c r="A2175" s="1">
        <v>46006</v>
      </c>
      <c r="B2175" s="2" t="s">
        <v>15</v>
      </c>
      <c r="C2175">
        <v>1.97929</v>
      </c>
      <c r="D2175">
        <v>2.0092699999999999</v>
      </c>
      <c r="E2175">
        <v>1.87636</v>
      </c>
      <c r="F2175">
        <v>1.8986700000000001</v>
      </c>
      <c r="G2175">
        <f>_xlfn.MAXIFS(Crypto[Close],Crypto[Name],Crypto[[#This Row],[Name]],Crypto[Date],"&lt;="&amp;Crypto[[#This Row],[Date]])</f>
        <v>3.5557599999999998</v>
      </c>
      <c r="H2175" s="3">
        <f>(Crypto[[#This Row],[Close]]/Crypto[[#This Row],[Peak Close]])-1</f>
        <v>-0.46602976578846711</v>
      </c>
      <c r="I2175">
        <v>1.97929</v>
      </c>
      <c r="J2175" s="1">
        <v>46005</v>
      </c>
      <c r="K2175" s="3">
        <v>-4.07317775565985E-2</v>
      </c>
      <c r="L2175">
        <v>3479993806</v>
      </c>
      <c r="M2175" s="2" t="s">
        <v>16</v>
      </c>
    </row>
    <row r="2176" spans="1:13" x14ac:dyDescent="0.3">
      <c r="A2176" s="1">
        <v>46007</v>
      </c>
      <c r="B2176" s="2" t="s">
        <v>15</v>
      </c>
      <c r="C2176">
        <v>1.8986700000000001</v>
      </c>
      <c r="D2176">
        <v>1.9440200000000001</v>
      </c>
      <c r="E2176">
        <v>1.8610599999999999</v>
      </c>
      <c r="F2176">
        <v>1.93007</v>
      </c>
      <c r="G2176">
        <f>_xlfn.MAXIFS(Crypto[Close],Crypto[Name],Crypto[[#This Row],[Name]],Crypto[Date],"&lt;="&amp;Crypto[[#This Row],[Date]])</f>
        <v>3.5557599999999998</v>
      </c>
      <c r="H2176" s="3">
        <f>(Crypto[[#This Row],[Close]]/Crypto[[#This Row],[Peak Close]])-1</f>
        <v>-0.4571990235561455</v>
      </c>
      <c r="I2176">
        <v>1.8986700000000001</v>
      </c>
      <c r="J2176" s="1">
        <v>46006</v>
      </c>
      <c r="K2176" s="3">
        <v>1.65378923140935E-2</v>
      </c>
      <c r="L2176">
        <v>3093566806</v>
      </c>
      <c r="M2176" s="2" t="s">
        <v>16</v>
      </c>
    </row>
    <row r="2177" spans="1:13" x14ac:dyDescent="0.3">
      <c r="A2177" s="1">
        <v>46008</v>
      </c>
      <c r="B2177" s="2" t="s">
        <v>15</v>
      </c>
      <c r="C2177">
        <v>1.93008</v>
      </c>
      <c r="D2177">
        <v>1.9837</v>
      </c>
      <c r="E2177">
        <v>1.85025</v>
      </c>
      <c r="F2177">
        <v>1.8618399999999999</v>
      </c>
      <c r="G2177">
        <f>_xlfn.MAXIFS(Crypto[Close],Crypto[Name],Crypto[[#This Row],[Name]],Crypto[Date],"&lt;="&amp;Crypto[[#This Row],[Date]])</f>
        <v>3.5557599999999998</v>
      </c>
      <c r="H2177" s="3">
        <f>(Crypto[[#This Row],[Close]]/Crypto[[#This Row],[Peak Close]])-1</f>
        <v>-0.4763876077125565</v>
      </c>
      <c r="I2177">
        <v>1.93007</v>
      </c>
      <c r="J2177" s="1">
        <v>46007</v>
      </c>
      <c r="K2177" s="3">
        <v>-3.5351049443802601E-2</v>
      </c>
      <c r="L2177">
        <v>3450002332</v>
      </c>
      <c r="M2177" s="2" t="s">
        <v>16</v>
      </c>
    </row>
    <row r="2178" spans="1:13" x14ac:dyDescent="0.3">
      <c r="A2178" s="1">
        <v>46009</v>
      </c>
      <c r="B2178" s="2" t="s">
        <v>15</v>
      </c>
      <c r="C2178">
        <v>1.86185</v>
      </c>
      <c r="D2178">
        <v>1.9305600000000001</v>
      </c>
      <c r="E2178">
        <v>1.8042</v>
      </c>
      <c r="F2178">
        <v>1.8077799999999999</v>
      </c>
      <c r="G2178">
        <f>_xlfn.MAXIFS(Crypto[Close],Crypto[Name],Crypto[[#This Row],[Name]],Crypto[Date],"&lt;="&amp;Crypto[[#This Row],[Date]])</f>
        <v>3.5557599999999998</v>
      </c>
      <c r="H2178" s="3">
        <f>(Crypto[[#This Row],[Close]]/Crypto[[#This Row],[Peak Close]])-1</f>
        <v>-0.49159110851126064</v>
      </c>
      <c r="I2178">
        <v>1.8618399999999999</v>
      </c>
      <c r="J2178" s="1">
        <v>46008</v>
      </c>
      <c r="K2178" s="3">
        <v>-2.9035792549306098E-2</v>
      </c>
      <c r="L2178">
        <v>3853056261</v>
      </c>
      <c r="M2178" s="2" t="s">
        <v>16</v>
      </c>
    </row>
    <row r="2179" spans="1:13" x14ac:dyDescent="0.3">
      <c r="A2179" s="1">
        <v>46010</v>
      </c>
      <c r="B2179" s="2" t="s">
        <v>15</v>
      </c>
      <c r="C2179">
        <v>1.8077799999999999</v>
      </c>
      <c r="D2179">
        <v>1.91588</v>
      </c>
      <c r="E2179">
        <v>1.7726999999999999</v>
      </c>
      <c r="F2179">
        <v>1.9073899999999999</v>
      </c>
      <c r="G2179">
        <f>_xlfn.MAXIFS(Crypto[Close],Crypto[Name],Crypto[[#This Row],[Name]],Crypto[Date],"&lt;="&amp;Crypto[[#This Row],[Date]])</f>
        <v>3.5557599999999998</v>
      </c>
      <c r="H2179" s="3">
        <f>(Crypto[[#This Row],[Close]]/Crypto[[#This Row],[Peak Close]])-1</f>
        <v>-0.46357740679910908</v>
      </c>
      <c r="I2179">
        <v>1.8077799999999999</v>
      </c>
      <c r="J2179" s="1">
        <v>46009</v>
      </c>
      <c r="K2179" s="3">
        <v>5.5100731283673897E-2</v>
      </c>
      <c r="L2179">
        <v>3923807997</v>
      </c>
      <c r="M2179" s="2" t="s">
        <v>16</v>
      </c>
    </row>
    <row r="2180" spans="1:13" x14ac:dyDescent="0.3">
      <c r="A2180" s="1">
        <v>46011</v>
      </c>
      <c r="B2180" s="2" t="s">
        <v>15</v>
      </c>
      <c r="C2180">
        <v>1.9073899999999999</v>
      </c>
      <c r="D2180">
        <v>1.95394</v>
      </c>
      <c r="E2180">
        <v>1.89514</v>
      </c>
      <c r="F2180">
        <v>1.9323999999999999</v>
      </c>
      <c r="G2180">
        <f>_xlfn.MAXIFS(Crypto[Close],Crypto[Name],Crypto[[#This Row],[Name]],Crypto[Date],"&lt;="&amp;Crypto[[#This Row],[Date]])</f>
        <v>3.5557599999999998</v>
      </c>
      <c r="H2180" s="3">
        <f>(Crypto[[#This Row],[Close]]/Crypto[[#This Row],[Peak Close]])-1</f>
        <v>-0.45654374873444781</v>
      </c>
      <c r="I2180">
        <v>1.9073899999999999</v>
      </c>
      <c r="J2180" s="1">
        <v>46010</v>
      </c>
      <c r="K2180" s="3">
        <v>1.31121584993106E-2</v>
      </c>
      <c r="L2180">
        <v>1995691806</v>
      </c>
      <c r="M2180" s="2" t="s">
        <v>16</v>
      </c>
    </row>
    <row r="2181" spans="1:13" x14ac:dyDescent="0.3">
      <c r="A2181" s="1">
        <v>46012</v>
      </c>
      <c r="B2181" s="2" t="s">
        <v>15</v>
      </c>
      <c r="C2181">
        <v>1.9323999999999999</v>
      </c>
      <c r="D2181">
        <v>1.9473</v>
      </c>
      <c r="E2181">
        <v>1.8967799999999999</v>
      </c>
      <c r="F2181">
        <v>1.92201</v>
      </c>
      <c r="G2181">
        <f>_xlfn.MAXIFS(Crypto[Close],Crypto[Name],Crypto[[#This Row],[Name]],Crypto[Date],"&lt;="&amp;Crypto[[#This Row],[Date]])</f>
        <v>3.5557599999999998</v>
      </c>
      <c r="H2181" s="3">
        <f>(Crypto[[#This Row],[Close]]/Crypto[[#This Row],[Peak Close]])-1</f>
        <v>-0.45946576821832741</v>
      </c>
      <c r="I2181">
        <v>1.9323999999999999</v>
      </c>
      <c r="J2181" s="1">
        <v>46011</v>
      </c>
      <c r="K2181" s="3">
        <v>-5.3767335955288197E-3</v>
      </c>
      <c r="L2181">
        <v>2392341920</v>
      </c>
      <c r="M2181" s="2" t="s">
        <v>16</v>
      </c>
    </row>
    <row r="2182" spans="1:13" x14ac:dyDescent="0.3">
      <c r="A2182" s="1">
        <v>46013</v>
      </c>
      <c r="B2182" s="2" t="s">
        <v>15</v>
      </c>
      <c r="C2182">
        <v>1.9220200000000001</v>
      </c>
      <c r="D2182">
        <v>1.9437</v>
      </c>
      <c r="E2182">
        <v>1.8928</v>
      </c>
      <c r="F2182">
        <v>1.90276</v>
      </c>
      <c r="G2182">
        <f>_xlfn.MAXIFS(Crypto[Close],Crypto[Name],Crypto[[#This Row],[Name]],Crypto[Date],"&lt;="&amp;Crypto[[#This Row],[Date]])</f>
        <v>3.5557599999999998</v>
      </c>
      <c r="H2182" s="3">
        <f>(Crypto[[#This Row],[Close]]/Crypto[[#This Row],[Peak Close]])-1</f>
        <v>-0.46487951942763284</v>
      </c>
      <c r="I2182">
        <v>1.92201</v>
      </c>
      <c r="J2182" s="1">
        <v>46012</v>
      </c>
      <c r="K2182" s="3">
        <v>-1.00155566308188E-2</v>
      </c>
      <c r="L2182">
        <v>2644702981</v>
      </c>
      <c r="M2182" s="2" t="s">
        <v>16</v>
      </c>
    </row>
    <row r="2183" spans="1:13" x14ac:dyDescent="0.3">
      <c r="A2183" s="1">
        <v>46014</v>
      </c>
      <c r="B2183" s="2" t="s">
        <v>15</v>
      </c>
      <c r="C2183">
        <v>1.90276</v>
      </c>
      <c r="D2183">
        <v>1.9071199999999999</v>
      </c>
      <c r="E2183">
        <v>1.8667</v>
      </c>
      <c r="F2183">
        <v>1.8728199999999999</v>
      </c>
      <c r="G2183">
        <f>_xlfn.MAXIFS(Crypto[Close],Crypto[Name],Crypto[[#This Row],[Name]],Crypto[Date],"&lt;="&amp;Crypto[[#This Row],[Date]])</f>
        <v>3.5557599999999998</v>
      </c>
      <c r="H2183" s="3">
        <f>(Crypto[[#This Row],[Close]]/Crypto[[#This Row],[Peak Close]])-1</f>
        <v>-0.47329966026953452</v>
      </c>
      <c r="I2183">
        <v>1.90276</v>
      </c>
      <c r="J2183" s="1">
        <v>46013</v>
      </c>
      <c r="K2183" s="3">
        <v>-1.5735037524438202E-2</v>
      </c>
      <c r="L2183">
        <v>2201693264</v>
      </c>
      <c r="M2183" s="2" t="s">
        <v>16</v>
      </c>
    </row>
    <row r="2184" spans="1:13" x14ac:dyDescent="0.3">
      <c r="A2184" s="1">
        <v>46015</v>
      </c>
      <c r="B2184" s="2" t="s">
        <v>15</v>
      </c>
      <c r="C2184">
        <v>1.87279</v>
      </c>
      <c r="D2184">
        <v>1.8758300000000001</v>
      </c>
      <c r="E2184">
        <v>1.8375699999999999</v>
      </c>
      <c r="F2184">
        <v>1.86117</v>
      </c>
      <c r="G2184">
        <f>_xlfn.MAXIFS(Crypto[Close],Crypto[Name],Crypto[[#This Row],[Name]],Crypto[Date],"&lt;="&amp;Crypto[[#This Row],[Date]])</f>
        <v>3.5557599999999998</v>
      </c>
      <c r="H2184" s="3">
        <f>(Crypto[[#This Row],[Close]]/Crypto[[#This Row],[Peak Close]])-1</f>
        <v>-0.47657603437802321</v>
      </c>
      <c r="I2184">
        <v>1.8728199999999999</v>
      </c>
      <c r="J2184" s="1">
        <v>46014</v>
      </c>
      <c r="K2184" s="3">
        <v>-6.2205657778109701E-3</v>
      </c>
      <c r="L2184">
        <v>1891794487</v>
      </c>
      <c r="M2184" s="2" t="s">
        <v>16</v>
      </c>
    </row>
    <row r="2185" spans="1:13" x14ac:dyDescent="0.3">
      <c r="A2185" s="1">
        <v>46016</v>
      </c>
      <c r="B2185" s="2" t="s">
        <v>15</v>
      </c>
      <c r="C2185">
        <v>1.86117</v>
      </c>
      <c r="D2185">
        <v>1.8852599999999999</v>
      </c>
      <c r="E2185">
        <v>1.8297699999999999</v>
      </c>
      <c r="F2185">
        <v>1.8318399999999999</v>
      </c>
      <c r="G2185">
        <f>_xlfn.MAXIFS(Crypto[Close],Crypto[Name],Crypto[[#This Row],[Name]],Crypto[Date],"&lt;="&amp;Crypto[[#This Row],[Date]])</f>
        <v>3.5557599999999998</v>
      </c>
      <c r="H2185" s="3">
        <f>(Crypto[[#This Row],[Close]]/Crypto[[#This Row],[Peak Close]])-1</f>
        <v>-0.48482462258420145</v>
      </c>
      <c r="I2185">
        <v>1.86117</v>
      </c>
      <c r="J2185" s="1">
        <v>46015</v>
      </c>
      <c r="K2185" s="3">
        <v>-1.5758904345116301E-2</v>
      </c>
      <c r="L2185">
        <v>1498817315</v>
      </c>
      <c r="M2185" s="2" t="s">
        <v>16</v>
      </c>
    </row>
    <row r="2186" spans="1:13" x14ac:dyDescent="0.3">
      <c r="A2186" s="1">
        <v>46017</v>
      </c>
      <c r="B2186" s="2" t="s">
        <v>15</v>
      </c>
      <c r="C2186">
        <v>1.8318399999999999</v>
      </c>
      <c r="D2186">
        <v>1.88025</v>
      </c>
      <c r="E2186">
        <v>1.8252900000000001</v>
      </c>
      <c r="F2186">
        <v>1.8429599999999999</v>
      </c>
      <c r="G2186">
        <f>_xlfn.MAXIFS(Crypto[Close],Crypto[Name],Crypto[[#This Row],[Name]],Crypto[Date],"&lt;="&amp;Crypto[[#This Row],[Date]])</f>
        <v>3.5557599999999998</v>
      </c>
      <c r="H2186" s="3">
        <f>(Crypto[[#This Row],[Close]]/Crypto[[#This Row],[Peak Close]])-1</f>
        <v>-0.48169730240511166</v>
      </c>
      <c r="I2186">
        <v>1.8318399999999999</v>
      </c>
      <c r="J2186" s="1">
        <v>46016</v>
      </c>
      <c r="K2186" s="3">
        <v>6.0703991614988297E-3</v>
      </c>
      <c r="L2186">
        <v>2252113960</v>
      </c>
      <c r="M2186" s="2" t="s">
        <v>16</v>
      </c>
    </row>
    <row r="2187" spans="1:13" x14ac:dyDescent="0.3">
      <c r="A2187" s="1">
        <v>46018</v>
      </c>
      <c r="B2187" s="2" t="s">
        <v>15</v>
      </c>
      <c r="C2187">
        <v>1.8429599999999999</v>
      </c>
      <c r="D2187">
        <v>1.8740399999999999</v>
      </c>
      <c r="E2187">
        <v>1.8414299999999999</v>
      </c>
      <c r="F2187">
        <v>1.8728499999999999</v>
      </c>
      <c r="G2187">
        <f>_xlfn.MAXIFS(Crypto[Close],Crypto[Name],Crypto[[#This Row],[Name]],Crypto[Date],"&lt;="&amp;Crypto[[#This Row],[Date]])</f>
        <v>3.5557599999999998</v>
      </c>
      <c r="H2187" s="3">
        <f>(Crypto[[#This Row],[Close]]/Crypto[[#This Row],[Peak Close]])-1</f>
        <v>-0.47329122325466289</v>
      </c>
      <c r="I2187">
        <v>1.8429599999999999</v>
      </c>
      <c r="J2187" s="1">
        <v>46017</v>
      </c>
      <c r="K2187" s="3">
        <v>1.6218474627772698E-2</v>
      </c>
      <c r="L2187">
        <v>1040331569</v>
      </c>
      <c r="M2187" s="2" t="s">
        <v>16</v>
      </c>
    </row>
    <row r="2188" spans="1:13" x14ac:dyDescent="0.3">
      <c r="A2188" s="1">
        <v>46019</v>
      </c>
      <c r="B2188" s="2" t="s">
        <v>15</v>
      </c>
      <c r="C2188">
        <v>1.8728499999999999</v>
      </c>
      <c r="D2188">
        <v>1.87683</v>
      </c>
      <c r="E2188">
        <v>1.8538300000000001</v>
      </c>
      <c r="F2188">
        <v>1.86436</v>
      </c>
      <c r="G2188">
        <f>_xlfn.MAXIFS(Crypto[Close],Crypto[Name],Crypto[[#This Row],[Name]],Crypto[Date],"&lt;="&amp;Crypto[[#This Row],[Date]])</f>
        <v>3.5557599999999998</v>
      </c>
      <c r="H2188" s="3">
        <f>(Crypto[[#This Row],[Close]]/Crypto[[#This Row],[Peak Close]])-1</f>
        <v>-0.47567889846333833</v>
      </c>
      <c r="I2188">
        <v>1.8728499999999999</v>
      </c>
      <c r="J2188" s="1">
        <v>46018</v>
      </c>
      <c r="K2188" s="3">
        <v>-4.5331980671169001E-3</v>
      </c>
      <c r="L2188">
        <v>1043218992</v>
      </c>
      <c r="M2188" s="2" t="s">
        <v>16</v>
      </c>
    </row>
    <row r="2189" spans="1:13" x14ac:dyDescent="0.3">
      <c r="A2189" s="1">
        <v>46020</v>
      </c>
      <c r="B2189" s="2" t="s">
        <v>15</v>
      </c>
      <c r="C2189">
        <v>1.86436</v>
      </c>
      <c r="D2189">
        <v>1.91479</v>
      </c>
      <c r="E2189">
        <v>1.84545</v>
      </c>
      <c r="F2189">
        <v>1.84772</v>
      </c>
      <c r="G2189">
        <f>_xlfn.MAXIFS(Crypto[Close],Crypto[Name],Crypto[[#This Row],[Name]],Crypto[Date],"&lt;="&amp;Crypto[[#This Row],[Date]])</f>
        <v>3.5557599999999998</v>
      </c>
      <c r="H2189" s="3">
        <f>(Crypto[[#This Row],[Close]]/Crypto[[#This Row],[Peak Close]])-1</f>
        <v>-0.48035862937881069</v>
      </c>
      <c r="I2189">
        <v>1.86436</v>
      </c>
      <c r="J2189" s="1">
        <v>46019</v>
      </c>
      <c r="K2189" s="3">
        <v>-8.9253148533545001E-3</v>
      </c>
      <c r="L2189">
        <v>2303688120</v>
      </c>
      <c r="M2189" s="2" t="s">
        <v>16</v>
      </c>
    </row>
    <row r="2190" spans="1:13" x14ac:dyDescent="0.3">
      <c r="A2190" s="1">
        <v>46021</v>
      </c>
      <c r="B2190" s="2" t="s">
        <v>15</v>
      </c>
      <c r="C2190">
        <v>1.8477399999999999</v>
      </c>
      <c r="D2190">
        <v>1.8826499999999999</v>
      </c>
      <c r="E2190">
        <v>1.84409</v>
      </c>
      <c r="F2190">
        <v>1.8754900000000001</v>
      </c>
      <c r="G2190">
        <f>_xlfn.MAXIFS(Crypto[Close],Crypto[Name],Crypto[[#This Row],[Name]],Crypto[Date],"&lt;="&amp;Crypto[[#This Row],[Date]])</f>
        <v>3.5557599999999998</v>
      </c>
      <c r="H2190" s="3">
        <f>(Crypto[[#This Row],[Close]]/Crypto[[#This Row],[Peak Close]])-1</f>
        <v>-0.47254876594595807</v>
      </c>
      <c r="I2190">
        <v>1.84772</v>
      </c>
      <c r="J2190" s="1">
        <v>46020</v>
      </c>
      <c r="K2190" s="3">
        <v>1.5029333448791E-2</v>
      </c>
      <c r="L2190">
        <v>1804734447</v>
      </c>
      <c r="M2190" s="2" t="s">
        <v>16</v>
      </c>
    </row>
    <row r="2191" spans="1:13" x14ac:dyDescent="0.3">
      <c r="A2191" s="1">
        <v>46022</v>
      </c>
      <c r="B2191" s="2" t="s">
        <v>15</v>
      </c>
      <c r="C2191">
        <v>1.8754500000000001</v>
      </c>
      <c r="D2191">
        <v>1.88005</v>
      </c>
      <c r="E2191">
        <v>1.8372299999999999</v>
      </c>
      <c r="F2191">
        <v>1.83856</v>
      </c>
      <c r="G2191">
        <f>_xlfn.MAXIFS(Crypto[Close],Crypto[Name],Crypto[[#This Row],[Name]],Crypto[Date],"&lt;="&amp;Crypto[[#This Row],[Date]])</f>
        <v>3.5557599999999998</v>
      </c>
      <c r="H2191" s="3">
        <f>(Crypto[[#This Row],[Close]]/Crypto[[#This Row],[Peak Close]])-1</f>
        <v>-0.48293473125295294</v>
      </c>
      <c r="I2191">
        <v>1.8754900000000001</v>
      </c>
      <c r="J2191" s="1">
        <v>46021</v>
      </c>
      <c r="K2191" s="3">
        <v>-1.9690854123455798E-2</v>
      </c>
      <c r="L2191">
        <v>1785612160</v>
      </c>
      <c r="M2191" s="2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4027-6640-41C3-9DB6-0E82C2D80956}">
  <dimension ref="A1:G7"/>
  <sheetViews>
    <sheetView tabSelected="1" workbookViewId="0">
      <selection activeCell="G15" sqref="G15"/>
    </sheetView>
  </sheetViews>
  <sheetFormatPr defaultRowHeight="14.4" x14ac:dyDescent="0.3"/>
  <cols>
    <col min="2" max="6" width="16" customWidth="1"/>
    <col min="7" max="7" width="20.5546875" customWidth="1"/>
    <col min="8" max="8" width="16" customWidth="1"/>
  </cols>
  <sheetData>
    <row r="1" spans="1:7" x14ac:dyDescent="0.3">
      <c r="A1" t="s">
        <v>1</v>
      </c>
      <c r="B1" t="s">
        <v>388</v>
      </c>
      <c r="C1" t="s">
        <v>389</v>
      </c>
      <c r="D1" t="s">
        <v>390</v>
      </c>
      <c r="E1" t="s">
        <v>391</v>
      </c>
      <c r="F1" t="s">
        <v>392</v>
      </c>
      <c r="G1" t="s">
        <v>393</v>
      </c>
    </row>
    <row r="2" spans="1:7" x14ac:dyDescent="0.3">
      <c r="A2" t="s">
        <v>19</v>
      </c>
      <c r="B2" cm="1">
        <f t="array" ref="B2">_xlfn.XLOOKUP(1,(Crypto[Name]=A2)*(Crypto[Date]=DATE(2025,1,1)),Crypto[Close])</f>
        <v>706.51293999999996</v>
      </c>
      <c r="C2" cm="1">
        <f t="array" ref="C2">_xlfn.XLOOKUP(1,(Crypto[Name]=A2)*(Crypto[Date]=DATE(2025,12,31)),Crypto[Close])</f>
        <v>861.30327999999997</v>
      </c>
      <c r="D2" s="3">
        <f>(C2-B2)/B2</f>
        <v>0.21909059443412321</v>
      </c>
      <c r="E2" s="3" cm="1">
        <f t="array" ref="E2">_xlfn.STDEV.S(_xlfn._xlws.FILTER(Crypto[Daily Return],Crypto[Name]=A2))</f>
        <v>2.7263150395007051E-2</v>
      </c>
      <c r="F2" s="4" cm="1">
        <f t="array" ref="F2">(AVERAGE(_xlfn._xlws.FILTER(Crypto[Daily Return],Crypto[Name]=A2))/E2)*SQRT(365)</f>
        <v>0.64087572107195789</v>
      </c>
      <c r="G2" s="3">
        <f>_xlfn.MINIFS(Crypto[Drawdown],Crypto[Name],A2)</f>
        <v>-0.36849615966657545</v>
      </c>
    </row>
    <row r="3" spans="1:7" x14ac:dyDescent="0.3">
      <c r="A3" t="s">
        <v>11</v>
      </c>
      <c r="B3" cm="1">
        <f t="array" ref="B3">_xlfn.XLOOKUP(1,(Crypto[Name]=A3)*(Crypto[Date]=DATE(2025,1,1)),Crypto[Close])</f>
        <v>94419.757809999996</v>
      </c>
      <c r="C3" cm="1">
        <f t="array" ref="C3">_xlfn.XLOOKUP(1,(Crypto[Name]=A3)*(Crypto[Date]=DATE(2025,12,31)),Crypto[Close])</f>
        <v>87520.132809999996</v>
      </c>
      <c r="D3" s="3">
        <f t="shared" ref="D3:D7" si="0">(C3-B3)/B3</f>
        <v>-7.3073953588019699E-2</v>
      </c>
      <c r="E3" s="3" cm="1">
        <f t="array" ref="E3">_xlfn.STDEV.S(_xlfn._xlws.FILTER(Crypto[Daily Return],Crypto[Name]=A3))</f>
        <v>2.1965286394163341E-2</v>
      </c>
      <c r="F3" s="4" cm="1">
        <f t="array" ref="F3">(AVERAGE(_xlfn._xlws.FILTER(Crypto[Daily Return],Crypto[Name]=A3))/E3)*SQRT(365)</f>
        <v>2.7752979803982076E-2</v>
      </c>
      <c r="G3" s="3">
        <f>_xlfn.MINIFS(Crypto[Drawdown],Crypto[Name],A3)</f>
        <v>-0.32146980507801537</v>
      </c>
    </row>
    <row r="4" spans="1:7" x14ac:dyDescent="0.3">
      <c r="A4" t="s">
        <v>9</v>
      </c>
      <c r="B4" cm="1">
        <f t="array" ref="B4">_xlfn.XLOOKUP(1,(Crypto[Name]=A4)*(Crypto[Date]=DATE(2025,1,1)),Crypto[Close])</f>
        <v>0.91759000000000002</v>
      </c>
      <c r="C4" cm="1">
        <f t="array" ref="C4">_xlfn.XLOOKUP(1,(Crypto[Name]=A4)*(Crypto[Date]=DATE(2025,12,31)),Crypto[Close])</f>
        <v>0.33343</v>
      </c>
      <c r="D4" s="3">
        <f t="shared" si="0"/>
        <v>-0.63662420035091927</v>
      </c>
      <c r="E4" s="3" cm="1">
        <f t="array" ref="E4">_xlfn.STDEV.S(_xlfn._xlws.FILTER(Crypto[Daily Return],Crypto[Name]=A4))</f>
        <v>5.856717092541372E-2</v>
      </c>
      <c r="F4" s="4" cm="1">
        <f t="array" ref="F4">(AVERAGE(_xlfn._xlws.FILTER(Crypto[Daily Return],Crypto[Name]=A4))/E4)*SQRT(365)</f>
        <v>-0.41144126925088464</v>
      </c>
      <c r="G4" s="3">
        <f>_xlfn.MINIFS(Crypto[Drawdown],Crypto[Name],A4)</f>
        <v>-0.70626013108746211</v>
      </c>
    </row>
    <row r="5" spans="1:7" x14ac:dyDescent="0.3">
      <c r="A5" t="s">
        <v>17</v>
      </c>
      <c r="B5" cm="1">
        <f t="array" ref="B5">_xlfn.XLOOKUP(1,(Crypto[Name]=A5)*(Crypto[Date]=DATE(2025,1,1)),Crypto[Close])</f>
        <v>3353.5041500000002</v>
      </c>
      <c r="C5" cm="1">
        <f t="array" ref="C5">_xlfn.XLOOKUP(1,(Crypto[Name]=A5)*(Crypto[Date]=DATE(2025,12,31)),Crypto[Close])</f>
        <v>2972.8252000000002</v>
      </c>
      <c r="D5" s="3">
        <f t="shared" si="0"/>
        <v>-0.11351676722988399</v>
      </c>
      <c r="E5" s="3" cm="1">
        <f t="array" ref="E5">_xlfn.STDEV.S(_xlfn._xlws.FILTER(Crypto[Daily Return],Crypto[Name]=A5))</f>
        <v>3.9424792684162796E-2</v>
      </c>
      <c r="F5" s="4" cm="1">
        <f t="array" ref="F5">(AVERAGE(_xlfn._xlws.FILTER(Crypto[Daily Return],Crypto[Name]=A5))/E5)*SQRT(365)</f>
        <v>0.21145868735049284</v>
      </c>
      <c r="G5" s="3">
        <f>_xlfn.MINIFS(Crypto[Drawdown],Crypto[Name],A5)</f>
        <v>-0.60078388090837431</v>
      </c>
    </row>
    <row r="6" spans="1:7" x14ac:dyDescent="0.3">
      <c r="A6" t="s">
        <v>13</v>
      </c>
      <c r="B6" cm="1">
        <f t="array" ref="B6">_xlfn.XLOOKUP(1,(Crypto[Name]=A6)*(Crypto[Date]=DATE(2025,1,1)),Crypto[Close])</f>
        <v>193.87372999999999</v>
      </c>
      <c r="C6" cm="1">
        <f t="array" ref="C6">_xlfn.XLOOKUP(1,(Crypto[Name]=A6)*(Crypto[Date]=DATE(2025,12,31)),Crypto[Close])</f>
        <v>124.6554</v>
      </c>
      <c r="D6" s="3">
        <f t="shared" si="0"/>
        <v>-0.35702789645611088</v>
      </c>
      <c r="E6" s="3" cm="1">
        <f t="array" ref="E6">_xlfn.STDEV.S(_xlfn._xlws.FILTER(Crypto[Daily Return],Crypto[Name]=A6))</f>
        <v>4.517034468266589E-2</v>
      </c>
      <c r="F6" s="4" cm="1">
        <f t="array" ref="F6">(AVERAGE(_xlfn._xlws.FILTER(Crypto[Daily Return],Crypto[Name]=A6))/E6)*SQRT(365)</f>
        <v>-8.4639477457467471E-2</v>
      </c>
      <c r="G6" s="3">
        <f>_xlfn.MINIFS(Crypto[Drawdown],Crypto[Name],A6)</f>
        <v>-0.59708141165598549</v>
      </c>
    </row>
    <row r="7" spans="1:7" x14ac:dyDescent="0.3">
      <c r="A7" t="s">
        <v>15</v>
      </c>
      <c r="B7" cm="1">
        <f t="array" ref="B7">_xlfn.XLOOKUP(1,(Crypto[Name]=A7)*(Crypto[Date]=DATE(2025,1,1)),Crypto[Close])</f>
        <v>2.3223400000000001</v>
      </c>
      <c r="C7" cm="1">
        <f t="array" ref="C7">_xlfn.XLOOKUP(1,(Crypto[Name]=A7)*(Crypto[Date]=DATE(2025,12,31)),Crypto[Close])</f>
        <v>1.83856</v>
      </c>
      <c r="D7" s="3">
        <f t="shared" si="0"/>
        <v>-0.20831575049303724</v>
      </c>
      <c r="E7" s="3" cm="1">
        <f t="array" ref="E7">_xlfn.STDEV.S(_xlfn._xlws.FILTER(Crypto[Daily Return],Crypto[Name]=A7))</f>
        <v>4.3627493342957062E-2</v>
      </c>
      <c r="F7" s="4" cm="1">
        <f t="array" ref="F7">(AVERAGE(_xlfn._xlws.FILTER(Crypto[Daily Return],Crypto[Name]=A7))/E7)*SQRT(365)</f>
        <v>0.12359997810471884</v>
      </c>
      <c r="G7" s="3">
        <f>_xlfn.MINIFS(Crypto[Drawdown],Crypto[Name],A7)</f>
        <v>-0.49159110851126064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663E-3C7E-481D-A70A-2F1969A6852A}">
  <dimension ref="A1:C2191"/>
  <sheetViews>
    <sheetView workbookViewId="0">
      <selection activeCell="H13" sqref="H13"/>
    </sheetView>
  </sheetViews>
  <sheetFormatPr defaultRowHeight="14.4" x14ac:dyDescent="0.3"/>
  <cols>
    <col min="1" max="3" width="16.21875" customWidth="1"/>
  </cols>
  <sheetData>
    <row r="1" spans="1:3" x14ac:dyDescent="0.3">
      <c r="A1" t="s">
        <v>386</v>
      </c>
      <c r="B1" t="s">
        <v>1</v>
      </c>
      <c r="C1" t="s">
        <v>385</v>
      </c>
    </row>
    <row r="2" spans="1:3" x14ac:dyDescent="0.3">
      <c r="A2" s="1">
        <v>45658</v>
      </c>
      <c r="B2" s="2" t="s">
        <v>9</v>
      </c>
      <c r="C2">
        <v>0.91759000000000002</v>
      </c>
    </row>
    <row r="3" spans="1:3" x14ac:dyDescent="0.3">
      <c r="A3" s="1">
        <v>45658</v>
      </c>
      <c r="B3" s="2" t="s">
        <v>11</v>
      </c>
      <c r="C3">
        <v>94419.757809999996</v>
      </c>
    </row>
    <row r="4" spans="1:3" x14ac:dyDescent="0.3">
      <c r="A4" s="1">
        <v>45658</v>
      </c>
      <c r="B4" s="2" t="s">
        <v>13</v>
      </c>
      <c r="C4">
        <v>193.87372999999999</v>
      </c>
    </row>
    <row r="5" spans="1:3" x14ac:dyDescent="0.3">
      <c r="A5" s="1">
        <v>45658</v>
      </c>
      <c r="B5" s="2" t="s">
        <v>15</v>
      </c>
      <c r="C5">
        <v>2.3223400000000001</v>
      </c>
    </row>
    <row r="6" spans="1:3" x14ac:dyDescent="0.3">
      <c r="A6" s="1">
        <v>45658</v>
      </c>
      <c r="B6" s="2" t="s">
        <v>17</v>
      </c>
      <c r="C6">
        <v>3353.5041500000002</v>
      </c>
    </row>
    <row r="7" spans="1:3" x14ac:dyDescent="0.3">
      <c r="A7" s="1">
        <v>45658</v>
      </c>
      <c r="B7" s="2" t="s">
        <v>19</v>
      </c>
      <c r="C7">
        <v>706.51293999999996</v>
      </c>
    </row>
    <row r="8" spans="1:3" x14ac:dyDescent="0.3">
      <c r="A8" s="1">
        <v>45659</v>
      </c>
      <c r="B8" s="2" t="s">
        <v>9</v>
      </c>
      <c r="C8">
        <v>0.96135000000000004</v>
      </c>
    </row>
    <row r="9" spans="1:3" x14ac:dyDescent="0.3">
      <c r="A9" s="1">
        <v>45659</v>
      </c>
      <c r="B9" s="2" t="s">
        <v>11</v>
      </c>
      <c r="C9">
        <v>96886.875</v>
      </c>
    </row>
    <row r="10" spans="1:3" x14ac:dyDescent="0.3">
      <c r="A10" s="1">
        <v>45659</v>
      </c>
      <c r="B10" s="2" t="s">
        <v>13</v>
      </c>
      <c r="C10">
        <v>207.76704000000001</v>
      </c>
    </row>
    <row r="11" spans="1:3" x14ac:dyDescent="0.3">
      <c r="A11" s="1">
        <v>45659</v>
      </c>
      <c r="B11" s="2" t="s">
        <v>15</v>
      </c>
      <c r="C11">
        <v>2.4033699999999998</v>
      </c>
    </row>
    <row r="12" spans="1:3" x14ac:dyDescent="0.3">
      <c r="A12" s="1">
        <v>45659</v>
      </c>
      <c r="B12" s="2" t="s">
        <v>17</v>
      </c>
      <c r="C12">
        <v>3451.3925800000002</v>
      </c>
    </row>
    <row r="13" spans="1:3" x14ac:dyDescent="0.3">
      <c r="A13" s="1">
        <v>45659</v>
      </c>
      <c r="B13" s="2" t="s">
        <v>19</v>
      </c>
      <c r="C13">
        <v>705.67858999999999</v>
      </c>
    </row>
    <row r="14" spans="1:3" x14ac:dyDescent="0.3">
      <c r="A14" s="1">
        <v>45660</v>
      </c>
      <c r="B14" s="2" t="s">
        <v>9</v>
      </c>
      <c r="C14">
        <v>1.0903799999999999</v>
      </c>
    </row>
    <row r="15" spans="1:3" x14ac:dyDescent="0.3">
      <c r="A15" s="1">
        <v>45660</v>
      </c>
      <c r="B15" s="2" t="s">
        <v>11</v>
      </c>
      <c r="C15">
        <v>98107.429690000004</v>
      </c>
    </row>
    <row r="16" spans="1:3" x14ac:dyDescent="0.3">
      <c r="A16" s="1">
        <v>45660</v>
      </c>
      <c r="B16" s="2" t="s">
        <v>13</v>
      </c>
      <c r="C16">
        <v>217.74733000000001</v>
      </c>
    </row>
    <row r="17" spans="1:3" x14ac:dyDescent="0.3">
      <c r="A17" s="1">
        <v>45660</v>
      </c>
      <c r="B17" s="2" t="s">
        <v>15</v>
      </c>
      <c r="C17">
        <v>2.4529000000000001</v>
      </c>
    </row>
    <row r="18" spans="1:3" x14ac:dyDescent="0.3">
      <c r="A18" s="1">
        <v>45660</v>
      </c>
      <c r="B18" s="2" t="s">
        <v>17</v>
      </c>
      <c r="C18">
        <v>3605.0097700000001</v>
      </c>
    </row>
    <row r="19" spans="1:3" x14ac:dyDescent="0.3">
      <c r="A19" s="1">
        <v>45660</v>
      </c>
      <c r="B19" s="2" t="s">
        <v>19</v>
      </c>
      <c r="C19">
        <v>713.64355</v>
      </c>
    </row>
    <row r="20" spans="1:3" x14ac:dyDescent="0.3">
      <c r="A20" s="1">
        <v>45661</v>
      </c>
      <c r="B20" s="2" t="s">
        <v>9</v>
      </c>
      <c r="C20">
        <v>1.0713999999999999</v>
      </c>
    </row>
    <row r="21" spans="1:3" x14ac:dyDescent="0.3">
      <c r="A21" s="1">
        <v>45661</v>
      </c>
      <c r="B21" s="2" t="s">
        <v>11</v>
      </c>
      <c r="C21">
        <v>98236.226559999996</v>
      </c>
    </row>
    <row r="22" spans="1:3" x14ac:dyDescent="0.3">
      <c r="A22" s="1">
        <v>45661</v>
      </c>
      <c r="B22" s="2" t="s">
        <v>13</v>
      </c>
      <c r="C22">
        <v>216.62291999999999</v>
      </c>
    </row>
    <row r="23" spans="1:3" x14ac:dyDescent="0.3">
      <c r="A23" s="1">
        <v>45661</v>
      </c>
      <c r="B23" s="2" t="s">
        <v>15</v>
      </c>
      <c r="C23">
        <v>2.4196</v>
      </c>
    </row>
    <row r="24" spans="1:3" x14ac:dyDescent="0.3">
      <c r="A24" s="1">
        <v>45661</v>
      </c>
      <c r="B24" s="2" t="s">
        <v>17</v>
      </c>
      <c r="C24">
        <v>3657.7067900000002</v>
      </c>
    </row>
    <row r="25" spans="1:3" x14ac:dyDescent="0.3">
      <c r="A25" s="1">
        <v>45661</v>
      </c>
      <c r="B25" s="2" t="s">
        <v>19</v>
      </c>
      <c r="C25">
        <v>713.84118999999998</v>
      </c>
    </row>
    <row r="26" spans="1:3" x14ac:dyDescent="0.3">
      <c r="A26" s="1">
        <v>45662</v>
      </c>
      <c r="B26" s="2" t="s">
        <v>9</v>
      </c>
      <c r="C26">
        <v>1.0934699999999999</v>
      </c>
    </row>
    <row r="27" spans="1:3" x14ac:dyDescent="0.3">
      <c r="A27" s="1">
        <v>45662</v>
      </c>
      <c r="B27" s="2" t="s">
        <v>11</v>
      </c>
      <c r="C27">
        <v>98314.960940000004</v>
      </c>
    </row>
    <row r="28" spans="1:3" x14ac:dyDescent="0.3">
      <c r="A28" s="1">
        <v>45662</v>
      </c>
      <c r="B28" s="2" t="s">
        <v>13</v>
      </c>
      <c r="C28">
        <v>213.39363</v>
      </c>
    </row>
    <row r="29" spans="1:3" x14ac:dyDescent="0.3">
      <c r="A29" s="1">
        <v>45662</v>
      </c>
      <c r="B29" s="2" t="s">
        <v>15</v>
      </c>
      <c r="C29">
        <v>2.3997299999999999</v>
      </c>
    </row>
    <row r="30" spans="1:3" x14ac:dyDescent="0.3">
      <c r="A30" s="1">
        <v>45662</v>
      </c>
      <c r="B30" s="2" t="s">
        <v>17</v>
      </c>
      <c r="C30">
        <v>3634.10376</v>
      </c>
    </row>
    <row r="31" spans="1:3" x14ac:dyDescent="0.3">
      <c r="A31" s="1">
        <v>45662</v>
      </c>
      <c r="B31" s="2" t="s">
        <v>19</v>
      </c>
      <c r="C31">
        <v>709.25829999999996</v>
      </c>
    </row>
    <row r="32" spans="1:3" x14ac:dyDescent="0.3">
      <c r="A32" s="1">
        <v>45663</v>
      </c>
      <c r="B32" s="2" t="s">
        <v>9</v>
      </c>
      <c r="C32">
        <v>1.09412</v>
      </c>
    </row>
    <row r="33" spans="1:3" x14ac:dyDescent="0.3">
      <c r="A33" s="1">
        <v>45663</v>
      </c>
      <c r="B33" s="2" t="s">
        <v>11</v>
      </c>
      <c r="C33">
        <v>102078.08590000001</v>
      </c>
    </row>
    <row r="34" spans="1:3" x14ac:dyDescent="0.3">
      <c r="A34" s="1">
        <v>45663</v>
      </c>
      <c r="B34" s="2" t="s">
        <v>13</v>
      </c>
      <c r="C34">
        <v>218.72313</v>
      </c>
    </row>
    <row r="35" spans="1:3" x14ac:dyDescent="0.3">
      <c r="A35" s="1">
        <v>45663</v>
      </c>
      <c r="B35" s="2" t="s">
        <v>15</v>
      </c>
      <c r="C35">
        <v>2.4188100000000001</v>
      </c>
    </row>
    <row r="36" spans="1:3" x14ac:dyDescent="0.3">
      <c r="A36" s="1">
        <v>45663</v>
      </c>
      <c r="B36" s="2" t="s">
        <v>17</v>
      </c>
      <c r="C36">
        <v>3688.6113300000002</v>
      </c>
    </row>
    <row r="37" spans="1:3" x14ac:dyDescent="0.3">
      <c r="A37" s="1">
        <v>45663</v>
      </c>
      <c r="B37" s="2" t="s">
        <v>19</v>
      </c>
      <c r="C37">
        <v>729.40008999999998</v>
      </c>
    </row>
    <row r="38" spans="1:3" x14ac:dyDescent="0.3">
      <c r="A38" s="1">
        <v>45664</v>
      </c>
      <c r="B38" s="2" t="s">
        <v>9</v>
      </c>
      <c r="C38">
        <v>0.99200999999999995</v>
      </c>
    </row>
    <row r="39" spans="1:3" x14ac:dyDescent="0.3">
      <c r="A39" s="1">
        <v>45664</v>
      </c>
      <c r="B39" s="2" t="s">
        <v>11</v>
      </c>
      <c r="C39">
        <v>96922.703129999994</v>
      </c>
    </row>
    <row r="40" spans="1:3" x14ac:dyDescent="0.3">
      <c r="A40" s="1">
        <v>45664</v>
      </c>
      <c r="B40" s="2" t="s">
        <v>13</v>
      </c>
      <c r="C40">
        <v>202.23025999999999</v>
      </c>
    </row>
    <row r="41" spans="1:3" x14ac:dyDescent="0.3">
      <c r="A41" s="1">
        <v>45664</v>
      </c>
      <c r="B41" s="2" t="s">
        <v>15</v>
      </c>
      <c r="C41">
        <v>2.2723499999999999</v>
      </c>
    </row>
    <row r="42" spans="1:3" x14ac:dyDescent="0.3">
      <c r="A42" s="1">
        <v>45664</v>
      </c>
      <c r="B42" s="2" t="s">
        <v>17</v>
      </c>
      <c r="C42">
        <v>3381.5773899999999</v>
      </c>
    </row>
    <row r="43" spans="1:3" x14ac:dyDescent="0.3">
      <c r="A43" s="1">
        <v>45664</v>
      </c>
      <c r="B43" s="2" t="s">
        <v>19</v>
      </c>
      <c r="C43">
        <v>697.36890000000005</v>
      </c>
    </row>
    <row r="44" spans="1:3" x14ac:dyDescent="0.3">
      <c r="A44" s="1">
        <v>45665</v>
      </c>
      <c r="B44" s="2" t="s">
        <v>9</v>
      </c>
      <c r="C44">
        <v>0.94803000000000004</v>
      </c>
    </row>
    <row r="45" spans="1:3" x14ac:dyDescent="0.3">
      <c r="A45" s="1">
        <v>45665</v>
      </c>
      <c r="B45" s="2" t="s">
        <v>11</v>
      </c>
      <c r="C45">
        <v>95043.523440000004</v>
      </c>
    </row>
    <row r="46" spans="1:3" x14ac:dyDescent="0.3">
      <c r="A46" s="1">
        <v>45665</v>
      </c>
      <c r="B46" s="2" t="s">
        <v>13</v>
      </c>
      <c r="C46">
        <v>197.55905000000001</v>
      </c>
    </row>
    <row r="47" spans="1:3" x14ac:dyDescent="0.3">
      <c r="A47" s="1">
        <v>45665</v>
      </c>
      <c r="B47" s="2" t="s">
        <v>15</v>
      </c>
      <c r="C47">
        <v>2.3753000000000002</v>
      </c>
    </row>
    <row r="48" spans="1:3" x14ac:dyDescent="0.3">
      <c r="A48" s="1">
        <v>45665</v>
      </c>
      <c r="B48" s="2" t="s">
        <v>17</v>
      </c>
      <c r="C48">
        <v>3326.32935</v>
      </c>
    </row>
    <row r="49" spans="1:3" x14ac:dyDescent="0.3">
      <c r="A49" s="1">
        <v>45665</v>
      </c>
      <c r="B49" s="2" t="s">
        <v>19</v>
      </c>
      <c r="C49">
        <v>695.83716000000004</v>
      </c>
    </row>
    <row r="50" spans="1:3" x14ac:dyDescent="0.3">
      <c r="A50" s="1">
        <v>45666</v>
      </c>
      <c r="B50" s="2" t="s">
        <v>9</v>
      </c>
      <c r="C50">
        <v>0.90598999999999996</v>
      </c>
    </row>
    <row r="51" spans="1:3" x14ac:dyDescent="0.3">
      <c r="A51" s="1">
        <v>45666</v>
      </c>
      <c r="B51" s="2" t="s">
        <v>11</v>
      </c>
      <c r="C51">
        <v>92484.039059999996</v>
      </c>
    </row>
    <row r="52" spans="1:3" x14ac:dyDescent="0.3">
      <c r="A52" s="1">
        <v>45666</v>
      </c>
      <c r="B52" s="2" t="s">
        <v>13</v>
      </c>
      <c r="C52">
        <v>185.02528000000001</v>
      </c>
    </row>
    <row r="53" spans="1:3" x14ac:dyDescent="0.3">
      <c r="A53" s="1">
        <v>45666</v>
      </c>
      <c r="B53" s="2" t="s">
        <v>15</v>
      </c>
      <c r="C53">
        <v>2.27521</v>
      </c>
    </row>
    <row r="54" spans="1:3" x14ac:dyDescent="0.3">
      <c r="A54" s="1">
        <v>45666</v>
      </c>
      <c r="B54" s="2" t="s">
        <v>17</v>
      </c>
      <c r="C54">
        <v>3219.43066</v>
      </c>
    </row>
    <row r="55" spans="1:3" x14ac:dyDescent="0.3">
      <c r="A55" s="1">
        <v>45666</v>
      </c>
      <c r="B55" s="2" t="s">
        <v>19</v>
      </c>
      <c r="C55">
        <v>685.12072999999998</v>
      </c>
    </row>
    <row r="56" spans="1:3" x14ac:dyDescent="0.3">
      <c r="A56" s="1">
        <v>45667</v>
      </c>
      <c r="B56" s="2" t="s">
        <v>9</v>
      </c>
      <c r="C56">
        <v>0.93145</v>
      </c>
    </row>
    <row r="57" spans="1:3" x14ac:dyDescent="0.3">
      <c r="A57" s="1">
        <v>45667</v>
      </c>
      <c r="B57" s="2" t="s">
        <v>11</v>
      </c>
      <c r="C57">
        <v>94701.453129999994</v>
      </c>
    </row>
    <row r="58" spans="1:3" x14ac:dyDescent="0.3">
      <c r="A58" s="1">
        <v>45667</v>
      </c>
      <c r="B58" s="2" t="s">
        <v>13</v>
      </c>
      <c r="C58">
        <v>187.57918000000001</v>
      </c>
    </row>
    <row r="59" spans="1:3" x14ac:dyDescent="0.3">
      <c r="A59" s="1">
        <v>45667</v>
      </c>
      <c r="B59" s="2" t="s">
        <v>15</v>
      </c>
      <c r="C59">
        <v>2.3432499999999998</v>
      </c>
    </row>
    <row r="60" spans="1:3" x14ac:dyDescent="0.3">
      <c r="A60" s="1">
        <v>45667</v>
      </c>
      <c r="B60" s="2" t="s">
        <v>17</v>
      </c>
      <c r="C60">
        <v>3267.48999</v>
      </c>
    </row>
    <row r="61" spans="1:3" x14ac:dyDescent="0.3">
      <c r="A61" s="1">
        <v>45667</v>
      </c>
      <c r="B61" s="2" t="s">
        <v>19</v>
      </c>
      <c r="C61">
        <v>693.62445000000002</v>
      </c>
    </row>
    <row r="62" spans="1:3" x14ac:dyDescent="0.3">
      <c r="A62" s="1">
        <v>45668</v>
      </c>
      <c r="B62" s="2" t="s">
        <v>9</v>
      </c>
      <c r="C62">
        <v>0.99451999999999996</v>
      </c>
    </row>
    <row r="63" spans="1:3" x14ac:dyDescent="0.3">
      <c r="A63" s="1">
        <v>45668</v>
      </c>
      <c r="B63" s="2" t="s">
        <v>11</v>
      </c>
      <c r="C63">
        <v>94566.59375</v>
      </c>
    </row>
    <row r="64" spans="1:3" x14ac:dyDescent="0.3">
      <c r="A64" s="1">
        <v>45668</v>
      </c>
      <c r="B64" s="2" t="s">
        <v>13</v>
      </c>
      <c r="C64">
        <v>187.99551</v>
      </c>
    </row>
    <row r="65" spans="1:3" x14ac:dyDescent="0.3">
      <c r="A65" s="1">
        <v>45668</v>
      </c>
      <c r="B65" s="2" t="s">
        <v>15</v>
      </c>
      <c r="C65">
        <v>2.5767699999999998</v>
      </c>
    </row>
    <row r="66" spans="1:3" x14ac:dyDescent="0.3">
      <c r="A66" s="1">
        <v>45668</v>
      </c>
      <c r="B66" s="2" t="s">
        <v>17</v>
      </c>
      <c r="C66">
        <v>3282.2177700000002</v>
      </c>
    </row>
    <row r="67" spans="1:3" x14ac:dyDescent="0.3">
      <c r="A67" s="1">
        <v>45668</v>
      </c>
      <c r="B67" s="2" t="s">
        <v>19</v>
      </c>
      <c r="C67">
        <v>696.65783999999996</v>
      </c>
    </row>
    <row r="68" spans="1:3" x14ac:dyDescent="0.3">
      <c r="A68" s="1">
        <v>45669</v>
      </c>
      <c r="B68" s="2" t="s">
        <v>9</v>
      </c>
      <c r="C68">
        <v>0.96855000000000002</v>
      </c>
    </row>
    <row r="69" spans="1:3" x14ac:dyDescent="0.3">
      <c r="A69" s="1">
        <v>45669</v>
      </c>
      <c r="B69" s="2" t="s">
        <v>11</v>
      </c>
      <c r="C69">
        <v>94488.4375</v>
      </c>
    </row>
    <row r="70" spans="1:3" x14ac:dyDescent="0.3">
      <c r="A70" s="1">
        <v>45669</v>
      </c>
      <c r="B70" s="2" t="s">
        <v>13</v>
      </c>
      <c r="C70">
        <v>188.56038000000001</v>
      </c>
    </row>
    <row r="71" spans="1:3" x14ac:dyDescent="0.3">
      <c r="A71" s="1">
        <v>45669</v>
      </c>
      <c r="B71" s="2" t="s">
        <v>15</v>
      </c>
      <c r="C71">
        <v>2.50631</v>
      </c>
    </row>
    <row r="72" spans="1:3" x14ac:dyDescent="0.3">
      <c r="A72" s="1">
        <v>45669</v>
      </c>
      <c r="B72" s="2" t="s">
        <v>17</v>
      </c>
      <c r="C72">
        <v>3265.9511699999998</v>
      </c>
    </row>
    <row r="73" spans="1:3" x14ac:dyDescent="0.3">
      <c r="A73" s="1">
        <v>45669</v>
      </c>
      <c r="B73" s="2" t="s">
        <v>19</v>
      </c>
      <c r="C73">
        <v>693.04827999999998</v>
      </c>
    </row>
    <row r="74" spans="1:3" x14ac:dyDescent="0.3">
      <c r="A74" s="1">
        <v>45670</v>
      </c>
      <c r="B74" s="2" t="s">
        <v>9</v>
      </c>
      <c r="C74">
        <v>0.94474000000000002</v>
      </c>
    </row>
    <row r="75" spans="1:3" x14ac:dyDescent="0.3">
      <c r="A75" s="1">
        <v>45670</v>
      </c>
      <c r="B75" s="2" t="s">
        <v>11</v>
      </c>
      <c r="C75">
        <v>94516.523440000004</v>
      </c>
    </row>
    <row r="76" spans="1:3" x14ac:dyDescent="0.3">
      <c r="A76" s="1">
        <v>45670</v>
      </c>
      <c r="B76" s="2" t="s">
        <v>13</v>
      </c>
      <c r="C76">
        <v>182.83536000000001</v>
      </c>
    </row>
    <row r="77" spans="1:3" x14ac:dyDescent="0.3">
      <c r="A77" s="1">
        <v>45670</v>
      </c>
      <c r="B77" s="2" t="s">
        <v>15</v>
      </c>
      <c r="C77">
        <v>2.5229300000000001</v>
      </c>
    </row>
    <row r="78" spans="1:3" x14ac:dyDescent="0.3">
      <c r="A78" s="1">
        <v>45670</v>
      </c>
      <c r="B78" s="2" t="s">
        <v>17</v>
      </c>
      <c r="C78">
        <v>3135.4997600000002</v>
      </c>
    </row>
    <row r="79" spans="1:3" x14ac:dyDescent="0.3">
      <c r="A79" s="1">
        <v>45670</v>
      </c>
      <c r="B79" s="2" t="s">
        <v>19</v>
      </c>
      <c r="C79">
        <v>688.26751999999999</v>
      </c>
    </row>
    <row r="80" spans="1:3" x14ac:dyDescent="0.3">
      <c r="A80" s="1">
        <v>45671</v>
      </c>
      <c r="B80" s="2" t="s">
        <v>9</v>
      </c>
      <c r="C80">
        <v>0.99490999999999996</v>
      </c>
    </row>
    <row r="81" spans="1:3" x14ac:dyDescent="0.3">
      <c r="A81" s="1">
        <v>45671</v>
      </c>
      <c r="B81" s="2" t="s">
        <v>11</v>
      </c>
      <c r="C81">
        <v>96534.046879999994</v>
      </c>
    </row>
    <row r="82" spans="1:3" x14ac:dyDescent="0.3">
      <c r="A82" s="1">
        <v>45671</v>
      </c>
      <c r="B82" s="2" t="s">
        <v>13</v>
      </c>
      <c r="C82">
        <v>187.49860000000001</v>
      </c>
    </row>
    <row r="83" spans="1:3" x14ac:dyDescent="0.3">
      <c r="A83" s="1">
        <v>45671</v>
      </c>
      <c r="B83" s="2" t="s">
        <v>15</v>
      </c>
      <c r="C83">
        <v>2.66913</v>
      </c>
    </row>
    <row r="84" spans="1:3" x14ac:dyDescent="0.3">
      <c r="A84" s="1">
        <v>45671</v>
      </c>
      <c r="B84" s="2" t="s">
        <v>17</v>
      </c>
      <c r="C84">
        <v>3223.6845699999999</v>
      </c>
    </row>
    <row r="85" spans="1:3" x14ac:dyDescent="0.3">
      <c r="A85" s="1">
        <v>45671</v>
      </c>
      <c r="B85" s="2" t="s">
        <v>19</v>
      </c>
      <c r="C85">
        <v>698.61968999999999</v>
      </c>
    </row>
    <row r="86" spans="1:3" x14ac:dyDescent="0.3">
      <c r="A86" s="1">
        <v>45672</v>
      </c>
      <c r="B86" s="2" t="s">
        <v>9</v>
      </c>
      <c r="C86">
        <v>1.0791500000000001</v>
      </c>
    </row>
    <row r="87" spans="1:3" x14ac:dyDescent="0.3">
      <c r="A87" s="1">
        <v>45672</v>
      </c>
      <c r="B87" s="2" t="s">
        <v>11</v>
      </c>
      <c r="C87">
        <v>100504.49219999999</v>
      </c>
    </row>
    <row r="88" spans="1:3" x14ac:dyDescent="0.3">
      <c r="A88" s="1">
        <v>45672</v>
      </c>
      <c r="B88" s="2" t="s">
        <v>13</v>
      </c>
      <c r="C88">
        <v>205.91135</v>
      </c>
    </row>
    <row r="89" spans="1:3" x14ac:dyDescent="0.3">
      <c r="A89" s="1">
        <v>45672</v>
      </c>
      <c r="B89" s="2" t="s">
        <v>15</v>
      </c>
      <c r="C89">
        <v>3.1550600000000002</v>
      </c>
    </row>
    <row r="90" spans="1:3" x14ac:dyDescent="0.3">
      <c r="A90" s="1">
        <v>45672</v>
      </c>
      <c r="B90" s="2" t="s">
        <v>17</v>
      </c>
      <c r="C90">
        <v>3450.5376000000001</v>
      </c>
    </row>
    <row r="91" spans="1:3" x14ac:dyDescent="0.3">
      <c r="A91" s="1">
        <v>45672</v>
      </c>
      <c r="B91" s="2" t="s">
        <v>19</v>
      </c>
      <c r="C91">
        <v>714.02844000000005</v>
      </c>
    </row>
    <row r="92" spans="1:3" x14ac:dyDescent="0.3">
      <c r="A92" s="1">
        <v>45673</v>
      </c>
      <c r="B92" s="2" t="s">
        <v>9</v>
      </c>
      <c r="C92">
        <v>1.0901000000000001</v>
      </c>
    </row>
    <row r="93" spans="1:3" x14ac:dyDescent="0.3">
      <c r="A93" s="1">
        <v>45673</v>
      </c>
      <c r="B93" s="2" t="s">
        <v>11</v>
      </c>
      <c r="C93">
        <v>99756.90625</v>
      </c>
    </row>
    <row r="94" spans="1:3" x14ac:dyDescent="0.3">
      <c r="A94" s="1">
        <v>45673</v>
      </c>
      <c r="B94" s="2" t="s">
        <v>13</v>
      </c>
      <c r="C94">
        <v>211.22783999999999</v>
      </c>
    </row>
    <row r="95" spans="1:3" x14ac:dyDescent="0.3">
      <c r="A95" s="1">
        <v>45673</v>
      </c>
      <c r="B95" s="2" t="s">
        <v>15</v>
      </c>
      <c r="C95">
        <v>3.2455400000000001</v>
      </c>
    </row>
    <row r="96" spans="1:3" x14ac:dyDescent="0.3">
      <c r="A96" s="1">
        <v>45673</v>
      </c>
      <c r="B96" s="2" t="s">
        <v>17</v>
      </c>
      <c r="C96">
        <v>3308.3452200000002</v>
      </c>
    </row>
    <row r="97" spans="1:3" x14ac:dyDescent="0.3">
      <c r="A97" s="1">
        <v>45673</v>
      </c>
      <c r="B97" s="2" t="s">
        <v>19</v>
      </c>
      <c r="C97">
        <v>708.29803000000004</v>
      </c>
    </row>
    <row r="98" spans="1:3" x14ac:dyDescent="0.3">
      <c r="A98" s="1">
        <v>45674</v>
      </c>
      <c r="B98" s="2" t="s">
        <v>9</v>
      </c>
      <c r="C98">
        <v>1.1351199999999999</v>
      </c>
    </row>
    <row r="99" spans="1:3" x14ac:dyDescent="0.3">
      <c r="A99" s="1">
        <v>45674</v>
      </c>
      <c r="B99" s="2" t="s">
        <v>11</v>
      </c>
      <c r="C99">
        <v>104462.03909999999</v>
      </c>
    </row>
    <row r="100" spans="1:3" x14ac:dyDescent="0.3">
      <c r="A100" s="1">
        <v>45674</v>
      </c>
      <c r="B100" s="2" t="s">
        <v>13</v>
      </c>
      <c r="C100">
        <v>219.62161</v>
      </c>
    </row>
    <row r="101" spans="1:3" x14ac:dyDescent="0.3">
      <c r="A101" s="1">
        <v>45674</v>
      </c>
      <c r="B101" s="2" t="s">
        <v>15</v>
      </c>
      <c r="C101">
        <v>3.2986399999999998</v>
      </c>
    </row>
    <row r="102" spans="1:3" x14ac:dyDescent="0.3">
      <c r="A102" s="1">
        <v>45674</v>
      </c>
      <c r="B102" s="2" t="s">
        <v>17</v>
      </c>
      <c r="C102">
        <v>3474.10718</v>
      </c>
    </row>
    <row r="103" spans="1:3" x14ac:dyDescent="0.3">
      <c r="A103" s="1">
        <v>45674</v>
      </c>
      <c r="B103" s="2" t="s">
        <v>19</v>
      </c>
      <c r="C103">
        <v>721.75049000000001</v>
      </c>
    </row>
    <row r="104" spans="1:3" x14ac:dyDescent="0.3">
      <c r="A104" s="1">
        <v>45675</v>
      </c>
      <c r="B104" s="2" t="s">
        <v>9</v>
      </c>
      <c r="C104">
        <v>1.1020700000000001</v>
      </c>
    </row>
    <row r="105" spans="1:3" x14ac:dyDescent="0.3">
      <c r="A105" s="1">
        <v>45675</v>
      </c>
      <c r="B105" s="2" t="s">
        <v>11</v>
      </c>
      <c r="C105">
        <v>104408.07030000001</v>
      </c>
    </row>
    <row r="106" spans="1:3" x14ac:dyDescent="0.3">
      <c r="A106" s="1">
        <v>45675</v>
      </c>
      <c r="B106" s="2" t="s">
        <v>13</v>
      </c>
      <c r="C106">
        <v>261.86975000000001</v>
      </c>
    </row>
    <row r="107" spans="1:3" x14ac:dyDescent="0.3">
      <c r="A107" s="1">
        <v>45675</v>
      </c>
      <c r="B107" s="2" t="s">
        <v>15</v>
      </c>
      <c r="C107">
        <v>3.2740200000000002</v>
      </c>
    </row>
    <row r="108" spans="1:3" x14ac:dyDescent="0.3">
      <c r="A108" s="1">
        <v>45675</v>
      </c>
      <c r="B108" s="2" t="s">
        <v>17</v>
      </c>
      <c r="C108">
        <v>3305.78955</v>
      </c>
    </row>
    <row r="109" spans="1:3" x14ac:dyDescent="0.3">
      <c r="A109" s="1">
        <v>45675</v>
      </c>
      <c r="B109" s="2" t="s">
        <v>19</v>
      </c>
      <c r="C109">
        <v>709.42498999999998</v>
      </c>
    </row>
    <row r="110" spans="1:3" x14ac:dyDescent="0.3">
      <c r="A110" s="1">
        <v>45676</v>
      </c>
      <c r="B110" s="2" t="s">
        <v>9</v>
      </c>
      <c r="C110">
        <v>0.99119000000000002</v>
      </c>
    </row>
    <row r="111" spans="1:3" x14ac:dyDescent="0.3">
      <c r="A111" s="1">
        <v>45676</v>
      </c>
      <c r="B111" s="2" t="s">
        <v>11</v>
      </c>
      <c r="C111">
        <v>101089.6094</v>
      </c>
    </row>
    <row r="112" spans="1:3" x14ac:dyDescent="0.3">
      <c r="A112" s="1">
        <v>45676</v>
      </c>
      <c r="B112" s="2" t="s">
        <v>13</v>
      </c>
      <c r="C112">
        <v>250.58636000000001</v>
      </c>
    </row>
    <row r="113" spans="1:3" x14ac:dyDescent="0.3">
      <c r="A113" s="1">
        <v>45676</v>
      </c>
      <c r="B113" s="2" t="s">
        <v>15</v>
      </c>
      <c r="C113">
        <v>2.95472</v>
      </c>
    </row>
    <row r="114" spans="1:3" x14ac:dyDescent="0.3">
      <c r="A114" s="1">
        <v>45676</v>
      </c>
      <c r="B114" s="2" t="s">
        <v>17</v>
      </c>
      <c r="C114">
        <v>3208.9643599999999</v>
      </c>
    </row>
    <row r="115" spans="1:3" x14ac:dyDescent="0.3">
      <c r="A115" s="1">
        <v>45676</v>
      </c>
      <c r="B115" s="2" t="s">
        <v>19</v>
      </c>
      <c r="C115">
        <v>682.20398</v>
      </c>
    </row>
    <row r="116" spans="1:3" x14ac:dyDescent="0.3">
      <c r="A116" s="1">
        <v>45677</v>
      </c>
      <c r="B116" s="2" t="s">
        <v>9</v>
      </c>
      <c r="C116">
        <v>1.00864</v>
      </c>
    </row>
    <row r="117" spans="1:3" x14ac:dyDescent="0.3">
      <c r="A117" s="1">
        <v>45677</v>
      </c>
      <c r="B117" s="2" t="s">
        <v>11</v>
      </c>
      <c r="C117">
        <v>102016.66409999999</v>
      </c>
    </row>
    <row r="118" spans="1:3" x14ac:dyDescent="0.3">
      <c r="A118" s="1">
        <v>45677</v>
      </c>
      <c r="B118" s="2" t="s">
        <v>13</v>
      </c>
      <c r="C118">
        <v>242.25022999999999</v>
      </c>
    </row>
    <row r="119" spans="1:3" x14ac:dyDescent="0.3">
      <c r="A119" s="1">
        <v>45677</v>
      </c>
      <c r="B119" s="2" t="s">
        <v>15</v>
      </c>
      <c r="C119">
        <v>3.0998299999999999</v>
      </c>
    </row>
    <row r="120" spans="1:3" x14ac:dyDescent="0.3">
      <c r="A120" s="1">
        <v>45677</v>
      </c>
      <c r="B120" s="2" t="s">
        <v>17</v>
      </c>
      <c r="C120">
        <v>3278.0354000000002</v>
      </c>
    </row>
    <row r="121" spans="1:3" x14ac:dyDescent="0.3">
      <c r="A121" s="1">
        <v>45677</v>
      </c>
      <c r="B121" s="2" t="s">
        <v>19</v>
      </c>
      <c r="C121">
        <v>681.80334000000005</v>
      </c>
    </row>
    <row r="122" spans="1:3" x14ac:dyDescent="0.3">
      <c r="A122" s="1">
        <v>45678</v>
      </c>
      <c r="B122" s="2" t="s">
        <v>9</v>
      </c>
      <c r="C122">
        <v>1.00465</v>
      </c>
    </row>
    <row r="123" spans="1:3" x14ac:dyDescent="0.3">
      <c r="A123" s="1">
        <v>45678</v>
      </c>
      <c r="B123" s="2" t="s">
        <v>11</v>
      </c>
      <c r="C123">
        <v>106146.2656</v>
      </c>
    </row>
    <row r="124" spans="1:3" x14ac:dyDescent="0.3">
      <c r="A124" s="1">
        <v>45678</v>
      </c>
      <c r="B124" s="2" t="s">
        <v>13</v>
      </c>
      <c r="C124">
        <v>250.41379000000001</v>
      </c>
    </row>
    <row r="125" spans="1:3" x14ac:dyDescent="0.3">
      <c r="A125" s="1">
        <v>45678</v>
      </c>
      <c r="B125" s="2" t="s">
        <v>15</v>
      </c>
      <c r="C125">
        <v>3.1694</v>
      </c>
    </row>
    <row r="126" spans="1:3" x14ac:dyDescent="0.3">
      <c r="A126" s="1">
        <v>45678</v>
      </c>
      <c r="B126" s="2" t="s">
        <v>17</v>
      </c>
      <c r="C126">
        <v>3327.40625</v>
      </c>
    </row>
    <row r="127" spans="1:3" x14ac:dyDescent="0.3">
      <c r="A127" s="1">
        <v>45678</v>
      </c>
      <c r="B127" s="2" t="s">
        <v>19</v>
      </c>
      <c r="C127">
        <v>691.81659000000002</v>
      </c>
    </row>
    <row r="128" spans="1:3" x14ac:dyDescent="0.3">
      <c r="A128" s="1">
        <v>45679</v>
      </c>
      <c r="B128" s="2" t="s">
        <v>9</v>
      </c>
      <c r="C128">
        <v>0.98163999999999996</v>
      </c>
    </row>
    <row r="129" spans="1:3" x14ac:dyDescent="0.3">
      <c r="A129" s="1">
        <v>45679</v>
      </c>
      <c r="B129" s="2" t="s">
        <v>11</v>
      </c>
      <c r="C129">
        <v>103653.07030000001</v>
      </c>
    </row>
    <row r="130" spans="1:3" x14ac:dyDescent="0.3">
      <c r="A130" s="1">
        <v>45679</v>
      </c>
      <c r="B130" s="2" t="s">
        <v>13</v>
      </c>
      <c r="C130">
        <v>257.23737</v>
      </c>
    </row>
    <row r="131" spans="1:3" x14ac:dyDescent="0.3">
      <c r="A131" s="1">
        <v>45679</v>
      </c>
      <c r="B131" s="2" t="s">
        <v>15</v>
      </c>
      <c r="C131">
        <v>3.1711</v>
      </c>
    </row>
    <row r="132" spans="1:3" x14ac:dyDescent="0.3">
      <c r="A132" s="1">
        <v>45679</v>
      </c>
      <c r="B132" s="2" t="s">
        <v>17</v>
      </c>
      <c r="C132">
        <v>3240.2246100000002</v>
      </c>
    </row>
    <row r="133" spans="1:3" x14ac:dyDescent="0.3">
      <c r="A133" s="1">
        <v>45679</v>
      </c>
      <c r="B133" s="2" t="s">
        <v>19</v>
      </c>
      <c r="C133">
        <v>694.98321999999996</v>
      </c>
    </row>
    <row r="134" spans="1:3" x14ac:dyDescent="0.3">
      <c r="A134" s="1">
        <v>45680</v>
      </c>
      <c r="B134" s="2" t="s">
        <v>9</v>
      </c>
      <c r="C134">
        <v>0.98748999999999998</v>
      </c>
    </row>
    <row r="135" spans="1:3" x14ac:dyDescent="0.3">
      <c r="A135" s="1">
        <v>45680</v>
      </c>
      <c r="B135" s="2" t="s">
        <v>11</v>
      </c>
      <c r="C135">
        <v>103960.1719</v>
      </c>
    </row>
    <row r="136" spans="1:3" x14ac:dyDescent="0.3">
      <c r="A136" s="1">
        <v>45680</v>
      </c>
      <c r="B136" s="2" t="s">
        <v>13</v>
      </c>
      <c r="C136">
        <v>253.45519999999999</v>
      </c>
    </row>
    <row r="137" spans="1:3" x14ac:dyDescent="0.3">
      <c r="A137" s="1">
        <v>45680</v>
      </c>
      <c r="B137" s="2" t="s">
        <v>15</v>
      </c>
      <c r="C137">
        <v>3.1198899999999998</v>
      </c>
    </row>
    <row r="138" spans="1:3" x14ac:dyDescent="0.3">
      <c r="A138" s="1">
        <v>45680</v>
      </c>
      <c r="B138" s="2" t="s">
        <v>17</v>
      </c>
      <c r="C138">
        <v>3334.7141099999999</v>
      </c>
    </row>
    <row r="139" spans="1:3" x14ac:dyDescent="0.3">
      <c r="A139" s="1">
        <v>45680</v>
      </c>
      <c r="B139" s="2" t="s">
        <v>19</v>
      </c>
      <c r="C139">
        <v>690.20374000000004</v>
      </c>
    </row>
    <row r="140" spans="1:3" x14ac:dyDescent="0.3">
      <c r="A140" s="1">
        <v>45681</v>
      </c>
      <c r="B140" s="2" t="s">
        <v>9</v>
      </c>
      <c r="C140">
        <v>0.97148999999999996</v>
      </c>
    </row>
    <row r="141" spans="1:3" x14ac:dyDescent="0.3">
      <c r="A141" s="1">
        <v>45681</v>
      </c>
      <c r="B141" s="2" t="s">
        <v>11</v>
      </c>
      <c r="C141">
        <v>104819.4844</v>
      </c>
    </row>
    <row r="142" spans="1:3" x14ac:dyDescent="0.3">
      <c r="A142" s="1">
        <v>45681</v>
      </c>
      <c r="B142" s="2" t="s">
        <v>13</v>
      </c>
      <c r="C142">
        <v>253.36122</v>
      </c>
    </row>
    <row r="143" spans="1:3" x14ac:dyDescent="0.3">
      <c r="A143" s="1">
        <v>45681</v>
      </c>
      <c r="B143" s="2" t="s">
        <v>15</v>
      </c>
      <c r="C143">
        <v>3.1034799999999998</v>
      </c>
    </row>
    <row r="144" spans="1:3" x14ac:dyDescent="0.3">
      <c r="A144" s="1">
        <v>45681</v>
      </c>
      <c r="B144" s="2" t="s">
        <v>17</v>
      </c>
      <c r="C144">
        <v>3309.5549299999998</v>
      </c>
    </row>
    <row r="145" spans="1:3" x14ac:dyDescent="0.3">
      <c r="A145" s="1">
        <v>45681</v>
      </c>
      <c r="B145" s="2" t="s">
        <v>19</v>
      </c>
      <c r="C145">
        <v>680.21320000000003</v>
      </c>
    </row>
    <row r="146" spans="1:3" x14ac:dyDescent="0.3">
      <c r="A146" s="1">
        <v>45682</v>
      </c>
      <c r="B146" s="2" t="s">
        <v>9</v>
      </c>
      <c r="C146">
        <v>0.97726999999999997</v>
      </c>
    </row>
    <row r="147" spans="1:3" x14ac:dyDescent="0.3">
      <c r="A147" s="1">
        <v>45682</v>
      </c>
      <c r="B147" s="2" t="s">
        <v>11</v>
      </c>
      <c r="C147">
        <v>104714.64840000001</v>
      </c>
    </row>
    <row r="148" spans="1:3" x14ac:dyDescent="0.3">
      <c r="A148" s="1">
        <v>45682</v>
      </c>
      <c r="B148" s="2" t="s">
        <v>13</v>
      </c>
      <c r="C148">
        <v>256.07357999999999</v>
      </c>
    </row>
    <row r="149" spans="1:3" x14ac:dyDescent="0.3">
      <c r="A149" s="1">
        <v>45682</v>
      </c>
      <c r="B149" s="2" t="s">
        <v>15</v>
      </c>
      <c r="C149">
        <v>3.1097100000000002</v>
      </c>
    </row>
    <row r="150" spans="1:3" x14ac:dyDescent="0.3">
      <c r="A150" s="1">
        <v>45682</v>
      </c>
      <c r="B150" s="2" t="s">
        <v>17</v>
      </c>
      <c r="C150">
        <v>3317.26953</v>
      </c>
    </row>
    <row r="151" spans="1:3" x14ac:dyDescent="0.3">
      <c r="A151" s="1">
        <v>45682</v>
      </c>
      <c r="B151" s="2" t="s">
        <v>19</v>
      </c>
      <c r="C151">
        <v>686.26849000000004</v>
      </c>
    </row>
    <row r="152" spans="1:3" x14ac:dyDescent="0.3">
      <c r="A152" s="1">
        <v>45683</v>
      </c>
      <c r="B152" s="2" t="s">
        <v>9</v>
      </c>
      <c r="C152">
        <v>0.95486000000000004</v>
      </c>
    </row>
    <row r="153" spans="1:3" x14ac:dyDescent="0.3">
      <c r="A153" s="1">
        <v>45683</v>
      </c>
      <c r="B153" s="2" t="s">
        <v>11</v>
      </c>
      <c r="C153">
        <v>102682.5</v>
      </c>
    </row>
    <row r="154" spans="1:3" x14ac:dyDescent="0.3">
      <c r="A154" s="1">
        <v>45683</v>
      </c>
      <c r="B154" s="2" t="s">
        <v>13</v>
      </c>
      <c r="C154">
        <v>240.88345000000001</v>
      </c>
    </row>
    <row r="155" spans="1:3" x14ac:dyDescent="0.3">
      <c r="A155" s="1">
        <v>45683</v>
      </c>
      <c r="B155" s="2" t="s">
        <v>15</v>
      </c>
      <c r="C155">
        <v>3.02623</v>
      </c>
    </row>
    <row r="156" spans="1:3" x14ac:dyDescent="0.3">
      <c r="A156" s="1">
        <v>45683</v>
      </c>
      <c r="B156" s="2" t="s">
        <v>17</v>
      </c>
      <c r="C156">
        <v>3236.1342800000002</v>
      </c>
    </row>
    <row r="157" spans="1:3" x14ac:dyDescent="0.3">
      <c r="A157" s="1">
        <v>45683</v>
      </c>
      <c r="B157" s="2" t="s">
        <v>19</v>
      </c>
      <c r="C157">
        <v>666.76378999999997</v>
      </c>
    </row>
    <row r="158" spans="1:3" x14ac:dyDescent="0.3">
      <c r="A158" s="1">
        <v>45684</v>
      </c>
      <c r="B158" s="2" t="s">
        <v>9</v>
      </c>
      <c r="C158">
        <v>0.93293999999999999</v>
      </c>
    </row>
    <row r="159" spans="1:3" x14ac:dyDescent="0.3">
      <c r="A159" s="1">
        <v>45684</v>
      </c>
      <c r="B159" s="2" t="s">
        <v>11</v>
      </c>
      <c r="C159">
        <v>102087.6875</v>
      </c>
    </row>
    <row r="160" spans="1:3" x14ac:dyDescent="0.3">
      <c r="A160" s="1">
        <v>45684</v>
      </c>
      <c r="B160" s="2" t="s">
        <v>13</v>
      </c>
      <c r="C160">
        <v>235.07445000000001</v>
      </c>
    </row>
    <row r="161" spans="1:3" x14ac:dyDescent="0.3">
      <c r="A161" s="1">
        <v>45684</v>
      </c>
      <c r="B161" s="2" t="s">
        <v>15</v>
      </c>
      <c r="C161">
        <v>3.0531799999999998</v>
      </c>
    </row>
    <row r="162" spans="1:3" x14ac:dyDescent="0.3">
      <c r="A162" s="1">
        <v>45684</v>
      </c>
      <c r="B162" s="2" t="s">
        <v>17</v>
      </c>
      <c r="C162">
        <v>3178.9204100000002</v>
      </c>
    </row>
    <row r="163" spans="1:3" x14ac:dyDescent="0.3">
      <c r="A163" s="1">
        <v>45684</v>
      </c>
      <c r="B163" s="2" t="s">
        <v>19</v>
      </c>
      <c r="C163">
        <v>679.79333999999994</v>
      </c>
    </row>
    <row r="164" spans="1:3" x14ac:dyDescent="0.3">
      <c r="A164" s="1">
        <v>45685</v>
      </c>
      <c r="B164" s="2" t="s">
        <v>9</v>
      </c>
      <c r="C164">
        <v>0.91610999999999998</v>
      </c>
    </row>
    <row r="165" spans="1:3" x14ac:dyDescent="0.3">
      <c r="A165" s="1">
        <v>45685</v>
      </c>
      <c r="B165" s="2" t="s">
        <v>11</v>
      </c>
      <c r="C165">
        <v>101332.47659999999</v>
      </c>
    </row>
    <row r="166" spans="1:3" x14ac:dyDescent="0.3">
      <c r="A166" s="1">
        <v>45685</v>
      </c>
      <c r="B166" s="2" t="s">
        <v>13</v>
      </c>
      <c r="C166">
        <v>227.20396</v>
      </c>
    </row>
    <row r="167" spans="1:3" x14ac:dyDescent="0.3">
      <c r="A167" s="1">
        <v>45685</v>
      </c>
      <c r="B167" s="2" t="s">
        <v>15</v>
      </c>
      <c r="C167">
        <v>3.0611199999999998</v>
      </c>
    </row>
    <row r="168" spans="1:3" x14ac:dyDescent="0.3">
      <c r="A168" s="1">
        <v>45685</v>
      </c>
      <c r="B168" s="2" t="s">
        <v>17</v>
      </c>
      <c r="C168">
        <v>3077.1125499999998</v>
      </c>
    </row>
    <row r="169" spans="1:3" x14ac:dyDescent="0.3">
      <c r="A169" s="1">
        <v>45685</v>
      </c>
      <c r="B169" s="2" t="s">
        <v>19</v>
      </c>
      <c r="C169">
        <v>661.42456000000004</v>
      </c>
    </row>
    <row r="170" spans="1:3" x14ac:dyDescent="0.3">
      <c r="A170" s="1">
        <v>45686</v>
      </c>
      <c r="B170" s="2" t="s">
        <v>9</v>
      </c>
      <c r="C170">
        <v>0.94113000000000002</v>
      </c>
    </row>
    <row r="171" spans="1:3" x14ac:dyDescent="0.3">
      <c r="A171" s="1">
        <v>45686</v>
      </c>
      <c r="B171" s="2" t="s">
        <v>11</v>
      </c>
      <c r="C171">
        <v>103703.21090000001</v>
      </c>
    </row>
    <row r="172" spans="1:3" x14ac:dyDescent="0.3">
      <c r="A172" s="1">
        <v>45686</v>
      </c>
      <c r="B172" s="2" t="s">
        <v>13</v>
      </c>
      <c r="C172">
        <v>227.94493</v>
      </c>
    </row>
    <row r="173" spans="1:3" x14ac:dyDescent="0.3">
      <c r="A173" s="1">
        <v>45686</v>
      </c>
      <c r="B173" s="2" t="s">
        <v>15</v>
      </c>
      <c r="C173">
        <v>3.0682900000000002</v>
      </c>
    </row>
    <row r="174" spans="1:3" x14ac:dyDescent="0.3">
      <c r="A174" s="1">
        <v>45686</v>
      </c>
      <c r="B174" s="2" t="s">
        <v>17</v>
      </c>
      <c r="C174">
        <v>3112.9990200000002</v>
      </c>
    </row>
    <row r="175" spans="1:3" x14ac:dyDescent="0.3">
      <c r="A175" s="1">
        <v>45686</v>
      </c>
      <c r="B175" s="2" t="s">
        <v>19</v>
      </c>
      <c r="C175">
        <v>667.68573000000004</v>
      </c>
    </row>
    <row r="176" spans="1:3" x14ac:dyDescent="0.3">
      <c r="A176" s="1">
        <v>45687</v>
      </c>
      <c r="B176" s="2" t="s">
        <v>9</v>
      </c>
      <c r="C176">
        <v>0.96101000000000003</v>
      </c>
    </row>
    <row r="177" spans="1:3" x14ac:dyDescent="0.3">
      <c r="A177" s="1">
        <v>45687</v>
      </c>
      <c r="B177" s="2" t="s">
        <v>11</v>
      </c>
      <c r="C177">
        <v>104735.30469999999</v>
      </c>
    </row>
    <row r="178" spans="1:3" x14ac:dyDescent="0.3">
      <c r="A178" s="1">
        <v>45687</v>
      </c>
      <c r="B178" s="2" t="s">
        <v>13</v>
      </c>
      <c r="C178">
        <v>239.02314999999999</v>
      </c>
    </row>
    <row r="179" spans="1:3" x14ac:dyDescent="0.3">
      <c r="A179" s="1">
        <v>45687</v>
      </c>
      <c r="B179" s="2" t="s">
        <v>15</v>
      </c>
      <c r="C179">
        <v>3.1310699999999998</v>
      </c>
    </row>
    <row r="180" spans="1:3" x14ac:dyDescent="0.3">
      <c r="A180" s="1">
        <v>45687</v>
      </c>
      <c r="B180" s="2" t="s">
        <v>17</v>
      </c>
      <c r="C180">
        <v>3247.7800299999999</v>
      </c>
    </row>
    <row r="181" spans="1:3" x14ac:dyDescent="0.3">
      <c r="A181" s="1">
        <v>45687</v>
      </c>
      <c r="B181" s="2" t="s">
        <v>19</v>
      </c>
      <c r="C181">
        <v>677.55358999999999</v>
      </c>
    </row>
    <row r="182" spans="1:3" x14ac:dyDescent="0.3">
      <c r="A182" s="1">
        <v>45688</v>
      </c>
      <c r="B182" s="2" t="s">
        <v>9</v>
      </c>
      <c r="C182">
        <v>0.94223000000000001</v>
      </c>
    </row>
    <row r="183" spans="1:3" x14ac:dyDescent="0.3">
      <c r="A183" s="1">
        <v>45688</v>
      </c>
      <c r="B183" s="2" t="s">
        <v>11</v>
      </c>
      <c r="C183">
        <v>102405.02340000001</v>
      </c>
    </row>
    <row r="184" spans="1:3" x14ac:dyDescent="0.3">
      <c r="A184" s="1">
        <v>45688</v>
      </c>
      <c r="B184" s="2" t="s">
        <v>13</v>
      </c>
      <c r="C184">
        <v>231.63791000000001</v>
      </c>
    </row>
    <row r="185" spans="1:3" x14ac:dyDescent="0.3">
      <c r="A185" s="1">
        <v>45688</v>
      </c>
      <c r="B185" s="2" t="s">
        <v>15</v>
      </c>
      <c r="C185">
        <v>3.0354199999999998</v>
      </c>
    </row>
    <row r="186" spans="1:3" x14ac:dyDescent="0.3">
      <c r="A186" s="1">
        <v>45688</v>
      </c>
      <c r="B186" s="2" t="s">
        <v>17</v>
      </c>
      <c r="C186">
        <v>3298.26514</v>
      </c>
    </row>
    <row r="187" spans="1:3" x14ac:dyDescent="0.3">
      <c r="A187" s="1">
        <v>45688</v>
      </c>
      <c r="B187" s="2" t="s">
        <v>19</v>
      </c>
      <c r="C187">
        <v>677.37536999999998</v>
      </c>
    </row>
    <row r="188" spans="1:3" x14ac:dyDescent="0.3">
      <c r="A188" s="1">
        <v>45689</v>
      </c>
      <c r="B188" s="2" t="s">
        <v>9</v>
      </c>
      <c r="C188">
        <v>0.89793999999999996</v>
      </c>
    </row>
    <row r="189" spans="1:3" x14ac:dyDescent="0.3">
      <c r="A189" s="1">
        <v>45689</v>
      </c>
      <c r="B189" s="2" t="s">
        <v>11</v>
      </c>
      <c r="C189">
        <v>100655.9063</v>
      </c>
    </row>
    <row r="190" spans="1:3" x14ac:dyDescent="0.3">
      <c r="A190" s="1">
        <v>45689</v>
      </c>
      <c r="B190" s="2" t="s">
        <v>13</v>
      </c>
      <c r="C190">
        <v>213.78502</v>
      </c>
    </row>
    <row r="191" spans="1:3" x14ac:dyDescent="0.3">
      <c r="A191" s="1">
        <v>45689</v>
      </c>
      <c r="B191" s="2" t="s">
        <v>15</v>
      </c>
      <c r="C191">
        <v>2.8844699999999999</v>
      </c>
    </row>
    <row r="192" spans="1:3" x14ac:dyDescent="0.3">
      <c r="A192" s="1">
        <v>45689</v>
      </c>
      <c r="B192" s="2" t="s">
        <v>17</v>
      </c>
      <c r="C192">
        <v>3118.32861</v>
      </c>
    </row>
    <row r="193" spans="1:3" x14ac:dyDescent="0.3">
      <c r="A193" s="1">
        <v>45689</v>
      </c>
      <c r="B193" s="2" t="s">
        <v>19</v>
      </c>
      <c r="C193">
        <v>653.43291999999997</v>
      </c>
    </row>
    <row r="194" spans="1:3" x14ac:dyDescent="0.3">
      <c r="A194" s="1">
        <v>45690</v>
      </c>
      <c r="B194" s="2" t="s">
        <v>9</v>
      </c>
      <c r="C194">
        <v>0.80174000000000001</v>
      </c>
    </row>
    <row r="195" spans="1:3" x14ac:dyDescent="0.3">
      <c r="A195" s="1">
        <v>45690</v>
      </c>
      <c r="B195" s="2" t="s">
        <v>11</v>
      </c>
      <c r="C195">
        <v>97688.976559999996</v>
      </c>
    </row>
    <row r="196" spans="1:3" x14ac:dyDescent="0.3">
      <c r="A196" s="1">
        <v>45690</v>
      </c>
      <c r="B196" s="2" t="s">
        <v>13</v>
      </c>
      <c r="C196">
        <v>203.11963</v>
      </c>
    </row>
    <row r="197" spans="1:3" x14ac:dyDescent="0.3">
      <c r="A197" s="1">
        <v>45690</v>
      </c>
      <c r="B197" s="2" t="s">
        <v>15</v>
      </c>
      <c r="C197">
        <v>2.57979</v>
      </c>
    </row>
    <row r="198" spans="1:3" x14ac:dyDescent="0.3">
      <c r="A198" s="1">
        <v>45690</v>
      </c>
      <c r="B198" s="2" t="s">
        <v>17</v>
      </c>
      <c r="C198">
        <v>2868.6928699999999</v>
      </c>
    </row>
    <row r="199" spans="1:3" x14ac:dyDescent="0.3">
      <c r="A199" s="1">
        <v>45690</v>
      </c>
      <c r="B199" s="2" t="s">
        <v>19</v>
      </c>
      <c r="C199">
        <v>617.60064999999997</v>
      </c>
    </row>
    <row r="200" spans="1:3" x14ac:dyDescent="0.3">
      <c r="A200" s="1">
        <v>45691</v>
      </c>
      <c r="B200" s="2" t="s">
        <v>9</v>
      </c>
      <c r="C200">
        <v>0.81155999999999995</v>
      </c>
    </row>
    <row r="201" spans="1:3" x14ac:dyDescent="0.3">
      <c r="A201" s="1">
        <v>45691</v>
      </c>
      <c r="B201" s="2" t="s">
        <v>11</v>
      </c>
      <c r="C201">
        <v>101405.4219</v>
      </c>
    </row>
    <row r="202" spans="1:3" x14ac:dyDescent="0.3">
      <c r="A202" s="1">
        <v>45691</v>
      </c>
      <c r="B202" s="2" t="s">
        <v>13</v>
      </c>
      <c r="C202">
        <v>216.14957999999999</v>
      </c>
    </row>
    <row r="203" spans="1:3" x14ac:dyDescent="0.3">
      <c r="A203" s="1">
        <v>45691</v>
      </c>
      <c r="B203" s="2" t="s">
        <v>15</v>
      </c>
      <c r="C203">
        <v>2.7011599999999998</v>
      </c>
    </row>
    <row r="204" spans="1:3" x14ac:dyDescent="0.3">
      <c r="A204" s="1">
        <v>45691</v>
      </c>
      <c r="B204" s="2" t="s">
        <v>17</v>
      </c>
      <c r="C204">
        <v>2884.5666500000002</v>
      </c>
    </row>
    <row r="205" spans="1:3" x14ac:dyDescent="0.3">
      <c r="A205" s="1">
        <v>45691</v>
      </c>
      <c r="B205" s="2" t="s">
        <v>19</v>
      </c>
      <c r="C205">
        <v>617.12079000000006</v>
      </c>
    </row>
    <row r="206" spans="1:3" x14ac:dyDescent="0.3">
      <c r="A206" s="1">
        <v>45692</v>
      </c>
      <c r="B206" s="2" t="s">
        <v>9</v>
      </c>
      <c r="C206">
        <v>0.74634</v>
      </c>
    </row>
    <row r="207" spans="1:3" x14ac:dyDescent="0.3">
      <c r="A207" s="1">
        <v>45692</v>
      </c>
      <c r="B207" s="2" t="s">
        <v>11</v>
      </c>
      <c r="C207">
        <v>97871.820309999996</v>
      </c>
    </row>
    <row r="208" spans="1:3" x14ac:dyDescent="0.3">
      <c r="A208" s="1">
        <v>45692</v>
      </c>
      <c r="B208" s="2" t="s">
        <v>13</v>
      </c>
      <c r="C208">
        <v>207.09198000000001</v>
      </c>
    </row>
    <row r="209" spans="1:3" x14ac:dyDescent="0.3">
      <c r="A209" s="1">
        <v>45692</v>
      </c>
      <c r="B209" s="2" t="s">
        <v>15</v>
      </c>
      <c r="C209">
        <v>2.5354199999999998</v>
      </c>
    </row>
    <row r="210" spans="1:3" x14ac:dyDescent="0.3">
      <c r="A210" s="1">
        <v>45692</v>
      </c>
      <c r="B210" s="2" t="s">
        <v>17</v>
      </c>
      <c r="C210">
        <v>2735.0512699999999</v>
      </c>
    </row>
    <row r="211" spans="1:3" x14ac:dyDescent="0.3">
      <c r="A211" s="1">
        <v>45692</v>
      </c>
      <c r="B211" s="2" t="s">
        <v>19</v>
      </c>
      <c r="C211">
        <v>573.32781999999997</v>
      </c>
    </row>
    <row r="212" spans="1:3" x14ac:dyDescent="0.3">
      <c r="A212" s="1">
        <v>45693</v>
      </c>
      <c r="B212" s="2" t="s">
        <v>9</v>
      </c>
      <c r="C212">
        <v>0.73321000000000003</v>
      </c>
    </row>
    <row r="213" spans="1:3" x14ac:dyDescent="0.3">
      <c r="A213" s="1">
        <v>45693</v>
      </c>
      <c r="B213" s="2" t="s">
        <v>11</v>
      </c>
      <c r="C213">
        <v>96615.445309999996</v>
      </c>
    </row>
    <row r="214" spans="1:3" x14ac:dyDescent="0.3">
      <c r="A214" s="1">
        <v>45693</v>
      </c>
      <c r="B214" s="2" t="s">
        <v>13</v>
      </c>
      <c r="C214">
        <v>195.98813999999999</v>
      </c>
    </row>
    <row r="215" spans="1:3" x14ac:dyDescent="0.3">
      <c r="A215" s="1">
        <v>45693</v>
      </c>
      <c r="B215" s="2" t="s">
        <v>15</v>
      </c>
      <c r="C215">
        <v>2.3823099999999999</v>
      </c>
    </row>
    <row r="216" spans="1:3" x14ac:dyDescent="0.3">
      <c r="A216" s="1">
        <v>45693</v>
      </c>
      <c r="B216" s="2" t="s">
        <v>17</v>
      </c>
      <c r="C216">
        <v>2787.7790500000001</v>
      </c>
    </row>
    <row r="217" spans="1:3" x14ac:dyDescent="0.3">
      <c r="A217" s="1">
        <v>45693</v>
      </c>
      <c r="B217" s="2" t="s">
        <v>19</v>
      </c>
      <c r="C217">
        <v>569.74689000000001</v>
      </c>
    </row>
    <row r="218" spans="1:3" x14ac:dyDescent="0.3">
      <c r="A218" s="1">
        <v>45694</v>
      </c>
      <c r="B218" s="2" t="s">
        <v>9</v>
      </c>
      <c r="C218">
        <v>0.70506000000000002</v>
      </c>
    </row>
    <row r="219" spans="1:3" x14ac:dyDescent="0.3">
      <c r="A219" s="1">
        <v>45694</v>
      </c>
      <c r="B219" s="2" t="s">
        <v>11</v>
      </c>
      <c r="C219">
        <v>96593.296879999994</v>
      </c>
    </row>
    <row r="220" spans="1:3" x14ac:dyDescent="0.3">
      <c r="A220" s="1">
        <v>45694</v>
      </c>
      <c r="B220" s="2" t="s">
        <v>13</v>
      </c>
      <c r="C220">
        <v>189.77249</v>
      </c>
    </row>
    <row r="221" spans="1:3" x14ac:dyDescent="0.3">
      <c r="A221" s="1">
        <v>45694</v>
      </c>
      <c r="B221" s="2" t="s">
        <v>15</v>
      </c>
      <c r="C221">
        <v>2.3268800000000001</v>
      </c>
    </row>
    <row r="222" spans="1:3" x14ac:dyDescent="0.3">
      <c r="A222" s="1">
        <v>45694</v>
      </c>
      <c r="B222" s="2" t="s">
        <v>17</v>
      </c>
      <c r="C222">
        <v>2688.4008800000001</v>
      </c>
    </row>
    <row r="223" spans="1:3" x14ac:dyDescent="0.3">
      <c r="A223" s="1">
        <v>45694</v>
      </c>
      <c r="B223" s="2" t="s">
        <v>19</v>
      </c>
      <c r="C223">
        <v>572.27404999999999</v>
      </c>
    </row>
    <row r="224" spans="1:3" x14ac:dyDescent="0.3">
      <c r="A224" s="1">
        <v>45695</v>
      </c>
      <c r="B224" s="2" t="s">
        <v>9</v>
      </c>
      <c r="C224">
        <v>0.70709</v>
      </c>
    </row>
    <row r="225" spans="1:3" x14ac:dyDescent="0.3">
      <c r="A225" s="1">
        <v>45695</v>
      </c>
      <c r="B225" s="2" t="s">
        <v>11</v>
      </c>
      <c r="C225">
        <v>96529.085940000004</v>
      </c>
    </row>
    <row r="226" spans="1:3" x14ac:dyDescent="0.3">
      <c r="A226" s="1">
        <v>45695</v>
      </c>
      <c r="B226" s="2" t="s">
        <v>13</v>
      </c>
      <c r="C226">
        <v>192.20464999999999</v>
      </c>
    </row>
    <row r="227" spans="1:3" x14ac:dyDescent="0.3">
      <c r="A227" s="1">
        <v>45695</v>
      </c>
      <c r="B227" s="2" t="s">
        <v>15</v>
      </c>
      <c r="C227">
        <v>2.39358</v>
      </c>
    </row>
    <row r="228" spans="1:3" x14ac:dyDescent="0.3">
      <c r="A228" s="1">
        <v>45695</v>
      </c>
      <c r="B228" s="2" t="s">
        <v>17</v>
      </c>
      <c r="C228">
        <v>2622.2111799999998</v>
      </c>
    </row>
    <row r="229" spans="1:3" x14ac:dyDescent="0.3">
      <c r="A229" s="1">
        <v>45695</v>
      </c>
      <c r="B229" s="2" t="s">
        <v>19</v>
      </c>
      <c r="C229">
        <v>578.06682999999998</v>
      </c>
    </row>
    <row r="230" spans="1:3" x14ac:dyDescent="0.3">
      <c r="A230" s="1">
        <v>45696</v>
      </c>
      <c r="B230" s="2" t="s">
        <v>9</v>
      </c>
      <c r="C230">
        <v>0.70184999999999997</v>
      </c>
    </row>
    <row r="231" spans="1:3" x14ac:dyDescent="0.3">
      <c r="A231" s="1">
        <v>45696</v>
      </c>
      <c r="B231" s="2" t="s">
        <v>11</v>
      </c>
      <c r="C231">
        <v>96482.453129999994</v>
      </c>
    </row>
    <row r="232" spans="1:3" x14ac:dyDescent="0.3">
      <c r="A232" s="1">
        <v>45696</v>
      </c>
      <c r="B232" s="2" t="s">
        <v>13</v>
      </c>
      <c r="C232">
        <v>199.59989999999999</v>
      </c>
    </row>
    <row r="233" spans="1:3" x14ac:dyDescent="0.3">
      <c r="A233" s="1">
        <v>45696</v>
      </c>
      <c r="B233" s="2" t="s">
        <v>15</v>
      </c>
      <c r="C233">
        <v>2.4243800000000002</v>
      </c>
    </row>
    <row r="234" spans="1:3" x14ac:dyDescent="0.3">
      <c r="A234" s="1">
        <v>45696</v>
      </c>
      <c r="B234" s="2" t="s">
        <v>17</v>
      </c>
      <c r="C234">
        <v>2632.3083499999998</v>
      </c>
    </row>
    <row r="235" spans="1:3" x14ac:dyDescent="0.3">
      <c r="A235" s="1">
        <v>45696</v>
      </c>
      <c r="B235" s="2" t="s">
        <v>19</v>
      </c>
      <c r="C235">
        <v>613.32421999999997</v>
      </c>
    </row>
    <row r="236" spans="1:3" x14ac:dyDescent="0.3">
      <c r="A236" s="1">
        <v>45697</v>
      </c>
      <c r="B236" s="2" t="s">
        <v>9</v>
      </c>
      <c r="C236">
        <v>0.68269999999999997</v>
      </c>
    </row>
    <row r="237" spans="1:3" x14ac:dyDescent="0.3">
      <c r="A237" s="1">
        <v>45697</v>
      </c>
      <c r="B237" s="2" t="s">
        <v>11</v>
      </c>
      <c r="C237">
        <v>96500.09375</v>
      </c>
    </row>
    <row r="238" spans="1:3" x14ac:dyDescent="0.3">
      <c r="A238" s="1">
        <v>45697</v>
      </c>
      <c r="B238" s="2" t="s">
        <v>13</v>
      </c>
      <c r="C238">
        <v>200.49755999999999</v>
      </c>
    </row>
    <row r="239" spans="1:3" x14ac:dyDescent="0.3">
      <c r="A239" s="1">
        <v>45697</v>
      </c>
      <c r="B239" s="2" t="s">
        <v>15</v>
      </c>
      <c r="C239">
        <v>2.3969399999999998</v>
      </c>
    </row>
    <row r="240" spans="1:3" x14ac:dyDescent="0.3">
      <c r="A240" s="1">
        <v>45697</v>
      </c>
      <c r="B240" s="2" t="s">
        <v>17</v>
      </c>
      <c r="C240">
        <v>2628.7211900000002</v>
      </c>
    </row>
    <row r="241" spans="1:3" x14ac:dyDescent="0.3">
      <c r="A241" s="1">
        <v>45697</v>
      </c>
      <c r="B241" s="2" t="s">
        <v>19</v>
      </c>
      <c r="C241">
        <v>616.64209000000005</v>
      </c>
    </row>
    <row r="242" spans="1:3" x14ac:dyDescent="0.3">
      <c r="A242" s="1">
        <v>45698</v>
      </c>
      <c r="B242" s="2" t="s">
        <v>9</v>
      </c>
      <c r="C242">
        <v>0.71069000000000004</v>
      </c>
    </row>
    <row r="243" spans="1:3" x14ac:dyDescent="0.3">
      <c r="A243" s="1">
        <v>45698</v>
      </c>
      <c r="B243" s="2" t="s">
        <v>11</v>
      </c>
      <c r="C243">
        <v>97437.554690000004</v>
      </c>
    </row>
    <row r="244" spans="1:3" x14ac:dyDescent="0.3">
      <c r="A244" s="1">
        <v>45698</v>
      </c>
      <c r="B244" s="2" t="s">
        <v>13</v>
      </c>
      <c r="C244">
        <v>200.35634999999999</v>
      </c>
    </row>
    <row r="245" spans="1:3" x14ac:dyDescent="0.3">
      <c r="A245" s="1">
        <v>45698</v>
      </c>
      <c r="B245" s="2" t="s">
        <v>15</v>
      </c>
      <c r="C245">
        <v>2.4226999999999999</v>
      </c>
    </row>
    <row r="246" spans="1:3" x14ac:dyDescent="0.3">
      <c r="A246" s="1">
        <v>45698</v>
      </c>
      <c r="B246" s="2" t="s">
        <v>17</v>
      </c>
      <c r="C246">
        <v>2661.1667499999999</v>
      </c>
    </row>
    <row r="247" spans="1:3" x14ac:dyDescent="0.3">
      <c r="A247" s="1">
        <v>45698</v>
      </c>
      <c r="B247" s="2" t="s">
        <v>19</v>
      </c>
      <c r="C247">
        <v>618.31451000000004</v>
      </c>
    </row>
    <row r="248" spans="1:3" x14ac:dyDescent="0.3">
      <c r="A248" s="1">
        <v>45699</v>
      </c>
      <c r="B248" s="2" t="s">
        <v>9</v>
      </c>
      <c r="C248">
        <v>0.77939999999999998</v>
      </c>
    </row>
    <row r="249" spans="1:3" x14ac:dyDescent="0.3">
      <c r="A249" s="1">
        <v>45699</v>
      </c>
      <c r="B249" s="2" t="s">
        <v>11</v>
      </c>
      <c r="C249">
        <v>95747.429690000004</v>
      </c>
    </row>
    <row r="250" spans="1:3" x14ac:dyDescent="0.3">
      <c r="A250" s="1">
        <v>45699</v>
      </c>
      <c r="B250" s="2" t="s">
        <v>13</v>
      </c>
      <c r="C250">
        <v>197.98236</v>
      </c>
    </row>
    <row r="251" spans="1:3" x14ac:dyDescent="0.3">
      <c r="A251" s="1">
        <v>45699</v>
      </c>
      <c r="B251" s="2" t="s">
        <v>15</v>
      </c>
      <c r="C251">
        <v>2.4142199999999998</v>
      </c>
    </row>
    <row r="252" spans="1:3" x14ac:dyDescent="0.3">
      <c r="A252" s="1">
        <v>45699</v>
      </c>
      <c r="B252" s="2" t="s">
        <v>17</v>
      </c>
      <c r="C252">
        <v>2602.7819800000002</v>
      </c>
    </row>
    <row r="253" spans="1:3" x14ac:dyDescent="0.3">
      <c r="A253" s="1">
        <v>45699</v>
      </c>
      <c r="B253" s="2" t="s">
        <v>19</v>
      </c>
      <c r="C253">
        <v>642.58727999999996</v>
      </c>
    </row>
    <row r="254" spans="1:3" x14ac:dyDescent="0.3">
      <c r="A254" s="1">
        <v>45700</v>
      </c>
      <c r="B254" s="2" t="s">
        <v>9</v>
      </c>
      <c r="C254">
        <v>0.79922000000000004</v>
      </c>
    </row>
    <row r="255" spans="1:3" x14ac:dyDescent="0.3">
      <c r="A255" s="1">
        <v>45700</v>
      </c>
      <c r="B255" s="2" t="s">
        <v>11</v>
      </c>
      <c r="C255">
        <v>97885.859379999994</v>
      </c>
    </row>
    <row r="256" spans="1:3" x14ac:dyDescent="0.3">
      <c r="A256" s="1">
        <v>45700</v>
      </c>
      <c r="B256" s="2" t="s">
        <v>13</v>
      </c>
      <c r="C256">
        <v>196.77379999999999</v>
      </c>
    </row>
    <row r="257" spans="1:3" x14ac:dyDescent="0.3">
      <c r="A257" s="1">
        <v>45700</v>
      </c>
      <c r="B257" s="2" t="s">
        <v>15</v>
      </c>
      <c r="C257">
        <v>2.4728400000000001</v>
      </c>
    </row>
    <row r="258" spans="1:3" x14ac:dyDescent="0.3">
      <c r="A258" s="1">
        <v>45700</v>
      </c>
      <c r="B258" s="2" t="s">
        <v>17</v>
      </c>
      <c r="C258">
        <v>2736.9020999999998</v>
      </c>
    </row>
    <row r="259" spans="1:3" x14ac:dyDescent="0.3">
      <c r="A259" s="1">
        <v>45700</v>
      </c>
      <c r="B259" s="2" t="s">
        <v>19</v>
      </c>
      <c r="C259">
        <v>698.03734999999995</v>
      </c>
    </row>
    <row r="260" spans="1:3" x14ac:dyDescent="0.3">
      <c r="A260" s="1">
        <v>45701</v>
      </c>
      <c r="B260" s="2" t="s">
        <v>9</v>
      </c>
      <c r="C260">
        <v>0.81074000000000002</v>
      </c>
    </row>
    <row r="261" spans="1:3" x14ac:dyDescent="0.3">
      <c r="A261" s="1">
        <v>45701</v>
      </c>
      <c r="B261" s="2" t="s">
        <v>11</v>
      </c>
      <c r="C261">
        <v>96623.867190000004</v>
      </c>
    </row>
    <row r="262" spans="1:3" x14ac:dyDescent="0.3">
      <c r="A262" s="1">
        <v>45701</v>
      </c>
      <c r="B262" s="2" t="s">
        <v>13</v>
      </c>
      <c r="C262">
        <v>194.46095</v>
      </c>
    </row>
    <row r="263" spans="1:3" x14ac:dyDescent="0.3">
      <c r="A263" s="1">
        <v>45701</v>
      </c>
      <c r="B263" s="2" t="s">
        <v>15</v>
      </c>
      <c r="C263">
        <v>2.5625200000000001</v>
      </c>
    </row>
    <row r="264" spans="1:3" x14ac:dyDescent="0.3">
      <c r="A264" s="1">
        <v>45701</v>
      </c>
      <c r="B264" s="2" t="s">
        <v>17</v>
      </c>
      <c r="C264">
        <v>2675.9025900000001</v>
      </c>
    </row>
    <row r="265" spans="1:3" x14ac:dyDescent="0.3">
      <c r="A265" s="1">
        <v>45701</v>
      </c>
      <c r="B265" s="2" t="s">
        <v>19</v>
      </c>
      <c r="C265">
        <v>668.27752999999996</v>
      </c>
    </row>
    <row r="266" spans="1:3" x14ac:dyDescent="0.3">
      <c r="A266" s="1">
        <v>45702</v>
      </c>
      <c r="B266" s="2" t="s">
        <v>9</v>
      </c>
      <c r="C266">
        <v>0.80051000000000005</v>
      </c>
    </row>
    <row r="267" spans="1:3" x14ac:dyDescent="0.3">
      <c r="A267" s="1">
        <v>45702</v>
      </c>
      <c r="B267" s="2" t="s">
        <v>11</v>
      </c>
      <c r="C267">
        <v>97508.96875</v>
      </c>
    </row>
    <row r="268" spans="1:3" x14ac:dyDescent="0.3">
      <c r="A268" s="1">
        <v>45702</v>
      </c>
      <c r="B268" s="2" t="s">
        <v>13</v>
      </c>
      <c r="C268">
        <v>199.93566999999999</v>
      </c>
    </row>
    <row r="269" spans="1:3" x14ac:dyDescent="0.3">
      <c r="A269" s="1">
        <v>45702</v>
      </c>
      <c r="B269" s="2" t="s">
        <v>15</v>
      </c>
      <c r="C269">
        <v>2.7402000000000002</v>
      </c>
    </row>
    <row r="270" spans="1:3" x14ac:dyDescent="0.3">
      <c r="A270" s="1">
        <v>45702</v>
      </c>
      <c r="B270" s="2" t="s">
        <v>17</v>
      </c>
      <c r="C270">
        <v>2726.0915500000001</v>
      </c>
    </row>
    <row r="271" spans="1:3" x14ac:dyDescent="0.3">
      <c r="A271" s="1">
        <v>45702</v>
      </c>
      <c r="B271" s="2" t="s">
        <v>19</v>
      </c>
      <c r="C271">
        <v>658.04363999999998</v>
      </c>
    </row>
    <row r="272" spans="1:3" x14ac:dyDescent="0.3">
      <c r="A272" s="1">
        <v>45703</v>
      </c>
      <c r="B272" s="2" t="s">
        <v>9</v>
      </c>
      <c r="C272">
        <v>0.78110999999999997</v>
      </c>
    </row>
    <row r="273" spans="1:3" x14ac:dyDescent="0.3">
      <c r="A273" s="1">
        <v>45703</v>
      </c>
      <c r="B273" s="2" t="s">
        <v>11</v>
      </c>
      <c r="C273">
        <v>97580.351559999996</v>
      </c>
    </row>
    <row r="274" spans="1:3" x14ac:dyDescent="0.3">
      <c r="A274" s="1">
        <v>45703</v>
      </c>
      <c r="B274" s="2" t="s">
        <v>13</v>
      </c>
      <c r="C274">
        <v>194.48209</v>
      </c>
    </row>
    <row r="275" spans="1:3" x14ac:dyDescent="0.3">
      <c r="A275" s="1">
        <v>45703</v>
      </c>
      <c r="B275" s="2" t="s">
        <v>15</v>
      </c>
      <c r="C275">
        <v>2.7615799999999999</v>
      </c>
    </row>
    <row r="276" spans="1:3" x14ac:dyDescent="0.3">
      <c r="A276" s="1">
        <v>45703</v>
      </c>
      <c r="B276" s="2" t="s">
        <v>17</v>
      </c>
      <c r="C276">
        <v>2693.5598100000002</v>
      </c>
    </row>
    <row r="277" spans="1:3" x14ac:dyDescent="0.3">
      <c r="A277" s="1">
        <v>45703</v>
      </c>
      <c r="B277" s="2" t="s">
        <v>19</v>
      </c>
      <c r="C277">
        <v>662.32770000000005</v>
      </c>
    </row>
    <row r="278" spans="1:3" x14ac:dyDescent="0.3">
      <c r="A278" s="1">
        <v>45704</v>
      </c>
      <c r="B278" s="2" t="s">
        <v>9</v>
      </c>
      <c r="C278">
        <v>0.77200999999999997</v>
      </c>
    </row>
    <row r="279" spans="1:3" x14ac:dyDescent="0.3">
      <c r="A279" s="1">
        <v>45704</v>
      </c>
      <c r="B279" s="2" t="s">
        <v>11</v>
      </c>
      <c r="C279">
        <v>96175.03125</v>
      </c>
    </row>
    <row r="280" spans="1:3" x14ac:dyDescent="0.3">
      <c r="A280" s="1">
        <v>45704</v>
      </c>
      <c r="B280" s="2" t="s">
        <v>13</v>
      </c>
      <c r="C280">
        <v>188.4864</v>
      </c>
    </row>
    <row r="281" spans="1:3" x14ac:dyDescent="0.3">
      <c r="A281" s="1">
        <v>45704</v>
      </c>
      <c r="B281" s="2" t="s">
        <v>15</v>
      </c>
      <c r="C281">
        <v>2.7278199999999999</v>
      </c>
    </row>
    <row r="282" spans="1:3" x14ac:dyDescent="0.3">
      <c r="A282" s="1">
        <v>45704</v>
      </c>
      <c r="B282" s="2" t="s">
        <v>17</v>
      </c>
      <c r="C282">
        <v>2663.31592</v>
      </c>
    </row>
    <row r="283" spans="1:3" x14ac:dyDescent="0.3">
      <c r="A283" s="1">
        <v>45704</v>
      </c>
      <c r="B283" s="2" t="s">
        <v>19</v>
      </c>
      <c r="C283">
        <v>674.10082999999997</v>
      </c>
    </row>
    <row r="284" spans="1:3" x14ac:dyDescent="0.3">
      <c r="A284" s="1">
        <v>45705</v>
      </c>
      <c r="B284" s="2" t="s">
        <v>9</v>
      </c>
      <c r="C284">
        <v>0.80803000000000003</v>
      </c>
    </row>
    <row r="285" spans="1:3" x14ac:dyDescent="0.3">
      <c r="A285" s="1">
        <v>45705</v>
      </c>
      <c r="B285" s="2" t="s">
        <v>11</v>
      </c>
      <c r="C285">
        <v>95773.382809999996</v>
      </c>
    </row>
    <row r="286" spans="1:3" x14ac:dyDescent="0.3">
      <c r="A286" s="1">
        <v>45705</v>
      </c>
      <c r="B286" s="2" t="s">
        <v>13</v>
      </c>
      <c r="C286">
        <v>177.68974</v>
      </c>
    </row>
    <row r="287" spans="1:3" x14ac:dyDescent="0.3">
      <c r="A287" s="1">
        <v>45705</v>
      </c>
      <c r="B287" s="2" t="s">
        <v>15</v>
      </c>
      <c r="C287">
        <v>2.6582699999999999</v>
      </c>
    </row>
    <row r="288" spans="1:3" x14ac:dyDescent="0.3">
      <c r="A288" s="1">
        <v>45705</v>
      </c>
      <c r="B288" s="2" t="s">
        <v>17</v>
      </c>
      <c r="C288">
        <v>2743.1997099999999</v>
      </c>
    </row>
    <row r="289" spans="1:3" x14ac:dyDescent="0.3">
      <c r="A289" s="1">
        <v>45705</v>
      </c>
      <c r="B289" s="2" t="s">
        <v>19</v>
      </c>
      <c r="C289">
        <v>667.22906</v>
      </c>
    </row>
    <row r="290" spans="1:3" x14ac:dyDescent="0.3">
      <c r="A290" s="1">
        <v>45706</v>
      </c>
      <c r="B290" s="2" t="s">
        <v>9</v>
      </c>
      <c r="C290">
        <v>0.75236000000000003</v>
      </c>
    </row>
    <row r="291" spans="1:3" x14ac:dyDescent="0.3">
      <c r="A291" s="1">
        <v>45706</v>
      </c>
      <c r="B291" s="2" t="s">
        <v>11</v>
      </c>
      <c r="C291">
        <v>95539.546879999994</v>
      </c>
    </row>
    <row r="292" spans="1:3" x14ac:dyDescent="0.3">
      <c r="A292" s="1">
        <v>45706</v>
      </c>
      <c r="B292" s="2" t="s">
        <v>13</v>
      </c>
      <c r="C292">
        <v>169.08429000000001</v>
      </c>
    </row>
    <row r="293" spans="1:3" x14ac:dyDescent="0.3">
      <c r="A293" s="1">
        <v>45706</v>
      </c>
      <c r="B293" s="2" t="s">
        <v>15</v>
      </c>
      <c r="C293">
        <v>2.5588799999999998</v>
      </c>
    </row>
    <row r="294" spans="1:3" x14ac:dyDescent="0.3">
      <c r="A294" s="1">
        <v>45706</v>
      </c>
      <c r="B294" s="2" t="s">
        <v>17</v>
      </c>
      <c r="C294">
        <v>2669.33887</v>
      </c>
    </row>
    <row r="295" spans="1:3" x14ac:dyDescent="0.3">
      <c r="A295" s="1">
        <v>45706</v>
      </c>
      <c r="B295" s="2" t="s">
        <v>19</v>
      </c>
      <c r="C295">
        <v>647.44335999999998</v>
      </c>
    </row>
    <row r="296" spans="1:3" x14ac:dyDescent="0.3">
      <c r="A296" s="1">
        <v>45707</v>
      </c>
      <c r="B296" s="2" t="s">
        <v>9</v>
      </c>
      <c r="C296">
        <v>0.77293999999999996</v>
      </c>
    </row>
    <row r="297" spans="1:3" x14ac:dyDescent="0.3">
      <c r="A297" s="1">
        <v>45707</v>
      </c>
      <c r="B297" s="2" t="s">
        <v>11</v>
      </c>
      <c r="C297">
        <v>96635.609379999994</v>
      </c>
    </row>
    <row r="298" spans="1:3" x14ac:dyDescent="0.3">
      <c r="A298" s="1">
        <v>45707</v>
      </c>
      <c r="B298" s="2" t="s">
        <v>13</v>
      </c>
      <c r="C298">
        <v>169.01079999999999</v>
      </c>
    </row>
    <row r="299" spans="1:3" x14ac:dyDescent="0.3">
      <c r="A299" s="1">
        <v>45707</v>
      </c>
      <c r="B299" s="2" t="s">
        <v>15</v>
      </c>
      <c r="C299">
        <v>2.7408000000000001</v>
      </c>
    </row>
    <row r="300" spans="1:3" x14ac:dyDescent="0.3">
      <c r="A300" s="1">
        <v>45707</v>
      </c>
      <c r="B300" s="2" t="s">
        <v>17</v>
      </c>
      <c r="C300">
        <v>2715.7710000000002</v>
      </c>
    </row>
    <row r="301" spans="1:3" x14ac:dyDescent="0.3">
      <c r="A301" s="1">
        <v>45707</v>
      </c>
      <c r="B301" s="2" t="s">
        <v>19</v>
      </c>
      <c r="C301">
        <v>653.51471000000004</v>
      </c>
    </row>
    <row r="302" spans="1:3" x14ac:dyDescent="0.3">
      <c r="A302" s="1">
        <v>45708</v>
      </c>
      <c r="B302" s="2" t="s">
        <v>9</v>
      </c>
      <c r="C302">
        <v>0.80447000000000002</v>
      </c>
    </row>
    <row r="303" spans="1:3" x14ac:dyDescent="0.3">
      <c r="A303" s="1">
        <v>45708</v>
      </c>
      <c r="B303" s="2" t="s">
        <v>11</v>
      </c>
      <c r="C303">
        <v>98333.9375</v>
      </c>
    </row>
    <row r="304" spans="1:3" x14ac:dyDescent="0.3">
      <c r="A304" s="1">
        <v>45708</v>
      </c>
      <c r="B304" s="2" t="s">
        <v>13</v>
      </c>
      <c r="C304">
        <v>176.04889</v>
      </c>
    </row>
    <row r="305" spans="1:3" x14ac:dyDescent="0.3">
      <c r="A305" s="1">
        <v>45708</v>
      </c>
      <c r="B305" s="2" t="s">
        <v>15</v>
      </c>
      <c r="C305">
        <v>2.6908300000000001</v>
      </c>
    </row>
    <row r="306" spans="1:3" x14ac:dyDescent="0.3">
      <c r="A306" s="1">
        <v>45708</v>
      </c>
      <c r="B306" s="2" t="s">
        <v>17</v>
      </c>
      <c r="C306">
        <v>2740.3864800000001</v>
      </c>
    </row>
    <row r="307" spans="1:3" x14ac:dyDescent="0.3">
      <c r="A307" s="1">
        <v>45708</v>
      </c>
      <c r="B307" s="2" t="s">
        <v>19</v>
      </c>
      <c r="C307">
        <v>657.20099000000005</v>
      </c>
    </row>
    <row r="308" spans="1:3" x14ac:dyDescent="0.3">
      <c r="A308" s="1">
        <v>45709</v>
      </c>
      <c r="B308" s="2" t="s">
        <v>9</v>
      </c>
      <c r="C308">
        <v>0.76136999999999999</v>
      </c>
    </row>
    <row r="309" spans="1:3" x14ac:dyDescent="0.3">
      <c r="A309" s="1">
        <v>45709</v>
      </c>
      <c r="B309" s="2" t="s">
        <v>11</v>
      </c>
      <c r="C309">
        <v>96125.546879999994</v>
      </c>
    </row>
    <row r="310" spans="1:3" x14ac:dyDescent="0.3">
      <c r="A310" s="1">
        <v>45709</v>
      </c>
      <c r="B310" s="2" t="s">
        <v>13</v>
      </c>
      <c r="C310">
        <v>168.89162999999999</v>
      </c>
    </row>
    <row r="311" spans="1:3" x14ac:dyDescent="0.3">
      <c r="A311" s="1">
        <v>45709</v>
      </c>
      <c r="B311" s="2" t="s">
        <v>15</v>
      </c>
      <c r="C311">
        <v>2.5701399999999999</v>
      </c>
    </row>
    <row r="312" spans="1:3" x14ac:dyDescent="0.3">
      <c r="A312" s="1">
        <v>45709</v>
      </c>
      <c r="B312" s="2" t="s">
        <v>17</v>
      </c>
      <c r="C312">
        <v>2659.6555199999998</v>
      </c>
    </row>
    <row r="313" spans="1:3" x14ac:dyDescent="0.3">
      <c r="A313" s="1">
        <v>45709</v>
      </c>
      <c r="B313" s="2" t="s">
        <v>19</v>
      </c>
      <c r="C313">
        <v>646.89954</v>
      </c>
    </row>
    <row r="314" spans="1:3" x14ac:dyDescent="0.3">
      <c r="A314" s="1">
        <v>45710</v>
      </c>
      <c r="B314" s="2" t="s">
        <v>9</v>
      </c>
      <c r="C314">
        <v>0.77444999999999997</v>
      </c>
    </row>
    <row r="315" spans="1:3" x14ac:dyDescent="0.3">
      <c r="A315" s="1">
        <v>45710</v>
      </c>
      <c r="B315" s="2" t="s">
        <v>11</v>
      </c>
      <c r="C315">
        <v>96577.757809999996</v>
      </c>
    </row>
    <row r="316" spans="1:3" x14ac:dyDescent="0.3">
      <c r="A316" s="1">
        <v>45710</v>
      </c>
      <c r="B316" s="2" t="s">
        <v>13</v>
      </c>
      <c r="C316">
        <v>172.16285999999999</v>
      </c>
    </row>
    <row r="317" spans="1:3" x14ac:dyDescent="0.3">
      <c r="A317" s="1">
        <v>45710</v>
      </c>
      <c r="B317" s="2" t="s">
        <v>15</v>
      </c>
      <c r="C317">
        <v>2.5757099999999999</v>
      </c>
    </row>
    <row r="318" spans="1:3" x14ac:dyDescent="0.3">
      <c r="A318" s="1">
        <v>45710</v>
      </c>
      <c r="B318" s="2" t="s">
        <v>17</v>
      </c>
      <c r="C318">
        <v>2764.0293000000001</v>
      </c>
    </row>
    <row r="319" spans="1:3" x14ac:dyDescent="0.3">
      <c r="A319" s="1">
        <v>45710</v>
      </c>
      <c r="B319" s="2" t="s">
        <v>19</v>
      </c>
      <c r="C319">
        <v>668.57476999999994</v>
      </c>
    </row>
    <row r="320" spans="1:3" x14ac:dyDescent="0.3">
      <c r="A320" s="1">
        <v>45711</v>
      </c>
      <c r="B320" s="2" t="s">
        <v>9</v>
      </c>
      <c r="C320">
        <v>0.77003999999999995</v>
      </c>
    </row>
    <row r="321" spans="1:3" x14ac:dyDescent="0.3">
      <c r="A321" s="1">
        <v>45711</v>
      </c>
      <c r="B321" s="2" t="s">
        <v>11</v>
      </c>
      <c r="C321">
        <v>96273.921879999994</v>
      </c>
    </row>
    <row r="322" spans="1:3" x14ac:dyDescent="0.3">
      <c r="A322" s="1">
        <v>45711</v>
      </c>
      <c r="B322" s="2" t="s">
        <v>13</v>
      </c>
      <c r="C322">
        <v>168.03811999999999</v>
      </c>
    </row>
    <row r="323" spans="1:3" x14ac:dyDescent="0.3">
      <c r="A323" s="1">
        <v>45711</v>
      </c>
      <c r="B323" s="2" t="s">
        <v>15</v>
      </c>
      <c r="C323">
        <v>2.5770200000000001</v>
      </c>
    </row>
    <row r="324" spans="1:3" x14ac:dyDescent="0.3">
      <c r="A324" s="1">
        <v>45711</v>
      </c>
      <c r="B324" s="2" t="s">
        <v>17</v>
      </c>
      <c r="C324">
        <v>2821.3103000000001</v>
      </c>
    </row>
    <row r="325" spans="1:3" x14ac:dyDescent="0.3">
      <c r="A325" s="1">
        <v>45711</v>
      </c>
      <c r="B325" s="2" t="s">
        <v>19</v>
      </c>
      <c r="C325">
        <v>657.90368999999998</v>
      </c>
    </row>
    <row r="326" spans="1:3" x14ac:dyDescent="0.3">
      <c r="A326" s="1">
        <v>45712</v>
      </c>
      <c r="B326" s="2" t="s">
        <v>9</v>
      </c>
      <c r="C326">
        <v>0.68220000000000003</v>
      </c>
    </row>
    <row r="327" spans="1:3" x14ac:dyDescent="0.3">
      <c r="A327" s="1">
        <v>45712</v>
      </c>
      <c r="B327" s="2" t="s">
        <v>11</v>
      </c>
      <c r="C327">
        <v>91418.171879999994</v>
      </c>
    </row>
    <row r="328" spans="1:3" x14ac:dyDescent="0.3">
      <c r="A328" s="1">
        <v>45712</v>
      </c>
      <c r="B328" s="2" t="s">
        <v>13</v>
      </c>
      <c r="C328">
        <v>141.98948999999999</v>
      </c>
    </row>
    <row r="329" spans="1:3" x14ac:dyDescent="0.3">
      <c r="A329" s="1">
        <v>45712</v>
      </c>
      <c r="B329" s="2" t="s">
        <v>15</v>
      </c>
      <c r="C329">
        <v>2.27793</v>
      </c>
    </row>
    <row r="330" spans="1:3" x14ac:dyDescent="0.3">
      <c r="A330" s="1">
        <v>45712</v>
      </c>
      <c r="B330" s="2" t="s">
        <v>17</v>
      </c>
      <c r="C330">
        <v>2513.8212899999999</v>
      </c>
    </row>
    <row r="331" spans="1:3" x14ac:dyDescent="0.3">
      <c r="A331" s="1">
        <v>45712</v>
      </c>
      <c r="B331" s="2" t="s">
        <v>19</v>
      </c>
      <c r="C331">
        <v>613.96301000000005</v>
      </c>
    </row>
    <row r="332" spans="1:3" x14ac:dyDescent="0.3">
      <c r="A332" s="1">
        <v>45713</v>
      </c>
      <c r="B332" s="2" t="s">
        <v>9</v>
      </c>
      <c r="C332">
        <v>0.68257999999999996</v>
      </c>
    </row>
    <row r="333" spans="1:3" x14ac:dyDescent="0.3">
      <c r="A333" s="1">
        <v>45713</v>
      </c>
      <c r="B333" s="2" t="s">
        <v>11</v>
      </c>
      <c r="C333">
        <v>88736.171879999994</v>
      </c>
    </row>
    <row r="334" spans="1:3" x14ac:dyDescent="0.3">
      <c r="A334" s="1">
        <v>45713</v>
      </c>
      <c r="B334" s="2" t="s">
        <v>13</v>
      </c>
      <c r="C334">
        <v>144.10776000000001</v>
      </c>
    </row>
    <row r="335" spans="1:3" x14ac:dyDescent="0.3">
      <c r="A335" s="1">
        <v>45713</v>
      </c>
      <c r="B335" s="2" t="s">
        <v>15</v>
      </c>
      <c r="C335">
        <v>2.3207200000000001</v>
      </c>
    </row>
    <row r="336" spans="1:3" x14ac:dyDescent="0.3">
      <c r="A336" s="1">
        <v>45713</v>
      </c>
      <c r="B336" s="2" t="s">
        <v>17</v>
      </c>
      <c r="C336">
        <v>2493.5925299999999</v>
      </c>
    </row>
    <row r="337" spans="1:3" x14ac:dyDescent="0.3">
      <c r="A337" s="1">
        <v>45713</v>
      </c>
      <c r="B337" s="2" t="s">
        <v>19</v>
      </c>
      <c r="C337">
        <v>622.94079999999997</v>
      </c>
    </row>
    <row r="338" spans="1:3" x14ac:dyDescent="0.3">
      <c r="A338" s="1">
        <v>45714</v>
      </c>
      <c r="B338" s="2" t="s">
        <v>9</v>
      </c>
      <c r="C338">
        <v>0.64503999999999995</v>
      </c>
    </row>
    <row r="339" spans="1:3" x14ac:dyDescent="0.3">
      <c r="A339" s="1">
        <v>45714</v>
      </c>
      <c r="B339" s="2" t="s">
        <v>11</v>
      </c>
      <c r="C339">
        <v>84347.023440000004</v>
      </c>
    </row>
    <row r="340" spans="1:3" x14ac:dyDescent="0.3">
      <c r="A340" s="1">
        <v>45714</v>
      </c>
      <c r="B340" s="2" t="s">
        <v>13</v>
      </c>
      <c r="C340">
        <v>134.83133000000001</v>
      </c>
    </row>
    <row r="341" spans="1:3" x14ac:dyDescent="0.3">
      <c r="A341" s="1">
        <v>45714</v>
      </c>
      <c r="B341" s="2" t="s">
        <v>15</v>
      </c>
      <c r="C341">
        <v>2.1924399999999999</v>
      </c>
    </row>
    <row r="342" spans="1:3" x14ac:dyDescent="0.3">
      <c r="A342" s="1">
        <v>45714</v>
      </c>
      <c r="B342" s="2" t="s">
        <v>17</v>
      </c>
      <c r="C342">
        <v>2331.45264</v>
      </c>
    </row>
    <row r="343" spans="1:3" x14ac:dyDescent="0.3">
      <c r="A343" s="1">
        <v>45714</v>
      </c>
      <c r="B343" s="2" t="s">
        <v>19</v>
      </c>
      <c r="C343">
        <v>610.69304999999997</v>
      </c>
    </row>
    <row r="344" spans="1:3" x14ac:dyDescent="0.3">
      <c r="A344" s="1">
        <v>45715</v>
      </c>
      <c r="B344" s="2" t="s">
        <v>9</v>
      </c>
      <c r="C344">
        <v>0.64559</v>
      </c>
    </row>
    <row r="345" spans="1:3" x14ac:dyDescent="0.3">
      <c r="A345" s="1">
        <v>45715</v>
      </c>
      <c r="B345" s="2" t="s">
        <v>11</v>
      </c>
      <c r="C345">
        <v>84704.226559999996</v>
      </c>
    </row>
    <row r="346" spans="1:3" x14ac:dyDescent="0.3">
      <c r="A346" s="1">
        <v>45715</v>
      </c>
      <c r="B346" s="2" t="s">
        <v>13</v>
      </c>
      <c r="C346">
        <v>137.6208</v>
      </c>
    </row>
    <row r="347" spans="1:3" x14ac:dyDescent="0.3">
      <c r="A347" s="1">
        <v>45715</v>
      </c>
      <c r="B347" s="2" t="s">
        <v>15</v>
      </c>
      <c r="C347">
        <v>2.1986500000000002</v>
      </c>
    </row>
    <row r="348" spans="1:3" x14ac:dyDescent="0.3">
      <c r="A348" s="1">
        <v>45715</v>
      </c>
      <c r="B348" s="2" t="s">
        <v>17</v>
      </c>
      <c r="C348">
        <v>2305.4843799999999</v>
      </c>
    </row>
    <row r="349" spans="1:3" x14ac:dyDescent="0.3">
      <c r="A349" s="1">
        <v>45715</v>
      </c>
      <c r="B349" s="2" t="s">
        <v>19</v>
      </c>
      <c r="C349">
        <v>605.12365999999997</v>
      </c>
    </row>
    <row r="350" spans="1:3" x14ac:dyDescent="0.3">
      <c r="A350" s="1">
        <v>45716</v>
      </c>
      <c r="B350" s="2" t="s">
        <v>9</v>
      </c>
      <c r="C350">
        <v>0.63305</v>
      </c>
    </row>
    <row r="351" spans="1:3" x14ac:dyDescent="0.3">
      <c r="A351" s="1">
        <v>45716</v>
      </c>
      <c r="B351" s="2" t="s">
        <v>11</v>
      </c>
      <c r="C351">
        <v>84373.007809999996</v>
      </c>
    </row>
    <row r="352" spans="1:3" x14ac:dyDescent="0.3">
      <c r="A352" s="1">
        <v>45716</v>
      </c>
      <c r="B352" s="2" t="s">
        <v>13</v>
      </c>
      <c r="C352">
        <v>148.03001</v>
      </c>
    </row>
    <row r="353" spans="1:3" x14ac:dyDescent="0.3">
      <c r="A353" s="1">
        <v>45716</v>
      </c>
      <c r="B353" s="2" t="s">
        <v>15</v>
      </c>
      <c r="C353">
        <v>2.1456</v>
      </c>
    </row>
    <row r="354" spans="1:3" x14ac:dyDescent="0.3">
      <c r="A354" s="1">
        <v>45716</v>
      </c>
      <c r="B354" s="2" t="s">
        <v>17</v>
      </c>
      <c r="C354">
        <v>2237.9052700000002</v>
      </c>
    </row>
    <row r="355" spans="1:3" x14ac:dyDescent="0.3">
      <c r="A355" s="1">
        <v>45716</v>
      </c>
      <c r="B355" s="2" t="s">
        <v>19</v>
      </c>
      <c r="C355">
        <v>587.45159999999998</v>
      </c>
    </row>
    <row r="356" spans="1:3" x14ac:dyDescent="0.3">
      <c r="A356" s="1">
        <v>45717</v>
      </c>
      <c r="B356" s="2" t="s">
        <v>9</v>
      </c>
      <c r="C356">
        <v>0.65925999999999996</v>
      </c>
    </row>
    <row r="357" spans="1:3" x14ac:dyDescent="0.3">
      <c r="A357" s="1">
        <v>45717</v>
      </c>
      <c r="B357" s="2" t="s">
        <v>11</v>
      </c>
      <c r="C357">
        <v>86031.914059999996</v>
      </c>
    </row>
    <row r="358" spans="1:3" x14ac:dyDescent="0.3">
      <c r="A358" s="1">
        <v>45717</v>
      </c>
      <c r="B358" s="2" t="s">
        <v>13</v>
      </c>
      <c r="C358">
        <v>143.67571000000001</v>
      </c>
    </row>
    <row r="359" spans="1:3" x14ac:dyDescent="0.3">
      <c r="A359" s="1">
        <v>45717</v>
      </c>
      <c r="B359" s="2" t="s">
        <v>15</v>
      </c>
      <c r="C359">
        <v>2.1905999999999999</v>
      </c>
    </row>
    <row r="360" spans="1:3" x14ac:dyDescent="0.3">
      <c r="A360" s="1">
        <v>45717</v>
      </c>
      <c r="B360" s="2" t="s">
        <v>17</v>
      </c>
      <c r="C360">
        <v>2216.6433099999999</v>
      </c>
    </row>
    <row r="361" spans="1:3" x14ac:dyDescent="0.3">
      <c r="A361" s="1">
        <v>45717</v>
      </c>
      <c r="B361" s="2" t="s">
        <v>19</v>
      </c>
      <c r="C361">
        <v>607.51153999999997</v>
      </c>
    </row>
    <row r="362" spans="1:3" x14ac:dyDescent="0.3">
      <c r="A362" s="1">
        <v>45718</v>
      </c>
      <c r="B362" s="2" t="s">
        <v>9</v>
      </c>
      <c r="C362">
        <v>1.1294999999999999</v>
      </c>
    </row>
    <row r="363" spans="1:3" x14ac:dyDescent="0.3">
      <c r="A363" s="1">
        <v>45718</v>
      </c>
      <c r="B363" s="2" t="s">
        <v>11</v>
      </c>
      <c r="C363">
        <v>94248.351559999996</v>
      </c>
    </row>
    <row r="364" spans="1:3" x14ac:dyDescent="0.3">
      <c r="A364" s="1">
        <v>45718</v>
      </c>
      <c r="B364" s="2" t="s">
        <v>13</v>
      </c>
      <c r="C364">
        <v>178.49549999999999</v>
      </c>
    </row>
    <row r="365" spans="1:3" x14ac:dyDescent="0.3">
      <c r="A365" s="1">
        <v>45718</v>
      </c>
      <c r="B365" s="2" t="s">
        <v>15</v>
      </c>
      <c r="C365">
        <v>2.9369399999999999</v>
      </c>
    </row>
    <row r="366" spans="1:3" x14ac:dyDescent="0.3">
      <c r="A366" s="1">
        <v>45718</v>
      </c>
      <c r="B366" s="2" t="s">
        <v>17</v>
      </c>
      <c r="C366">
        <v>2519.6945799999999</v>
      </c>
    </row>
    <row r="367" spans="1:3" x14ac:dyDescent="0.3">
      <c r="A367" s="1">
        <v>45718</v>
      </c>
      <c r="B367" s="2" t="s">
        <v>19</v>
      </c>
      <c r="C367">
        <v>622.93610000000001</v>
      </c>
    </row>
    <row r="368" spans="1:3" x14ac:dyDescent="0.3">
      <c r="A368" s="1">
        <v>45719</v>
      </c>
      <c r="B368" s="2" t="s">
        <v>9</v>
      </c>
      <c r="C368">
        <v>0.85526000000000002</v>
      </c>
    </row>
    <row r="369" spans="1:3" x14ac:dyDescent="0.3">
      <c r="A369" s="1">
        <v>45719</v>
      </c>
      <c r="B369" s="2" t="s">
        <v>11</v>
      </c>
      <c r="C369">
        <v>86065.671879999994</v>
      </c>
    </row>
    <row r="370" spans="1:3" x14ac:dyDescent="0.3">
      <c r="A370" s="1">
        <v>45719</v>
      </c>
      <c r="B370" s="2" t="s">
        <v>13</v>
      </c>
      <c r="C370">
        <v>142.02108999999999</v>
      </c>
    </row>
    <row r="371" spans="1:3" x14ac:dyDescent="0.3">
      <c r="A371" s="1">
        <v>45719</v>
      </c>
      <c r="B371" s="2" t="s">
        <v>15</v>
      </c>
      <c r="C371">
        <v>2.3857400000000002</v>
      </c>
    </row>
    <row r="372" spans="1:3" x14ac:dyDescent="0.3">
      <c r="A372" s="1">
        <v>45719</v>
      </c>
      <c r="B372" s="2" t="s">
        <v>17</v>
      </c>
      <c r="C372">
        <v>2145.5739800000001</v>
      </c>
    </row>
    <row r="373" spans="1:3" x14ac:dyDescent="0.3">
      <c r="A373" s="1">
        <v>45719</v>
      </c>
      <c r="B373" s="2" t="s">
        <v>19</v>
      </c>
      <c r="C373">
        <v>575.16998000000001</v>
      </c>
    </row>
    <row r="374" spans="1:3" x14ac:dyDescent="0.3">
      <c r="A374" s="1">
        <v>45720</v>
      </c>
      <c r="B374" s="2" t="s">
        <v>9</v>
      </c>
      <c r="C374">
        <v>0.94128000000000001</v>
      </c>
    </row>
    <row r="375" spans="1:3" x14ac:dyDescent="0.3">
      <c r="A375" s="1">
        <v>45720</v>
      </c>
      <c r="B375" s="2" t="s">
        <v>11</v>
      </c>
      <c r="C375">
        <v>87222.195309999996</v>
      </c>
    </row>
    <row r="376" spans="1:3" x14ac:dyDescent="0.3">
      <c r="A376" s="1">
        <v>45720</v>
      </c>
      <c r="B376" s="2" t="s">
        <v>13</v>
      </c>
      <c r="C376">
        <v>144.91658000000001</v>
      </c>
    </row>
    <row r="377" spans="1:3" x14ac:dyDescent="0.3">
      <c r="A377" s="1">
        <v>45720</v>
      </c>
      <c r="B377" s="2" t="s">
        <v>15</v>
      </c>
      <c r="C377">
        <v>2.4551500000000002</v>
      </c>
    </row>
    <row r="378" spans="1:3" x14ac:dyDescent="0.3">
      <c r="A378" s="1">
        <v>45720</v>
      </c>
      <c r="B378" s="2" t="s">
        <v>17</v>
      </c>
      <c r="C378">
        <v>2170.01514</v>
      </c>
    </row>
    <row r="379" spans="1:3" x14ac:dyDescent="0.3">
      <c r="A379" s="1">
        <v>45720</v>
      </c>
      <c r="B379" s="2" t="s">
        <v>19</v>
      </c>
      <c r="C379">
        <v>583.58685000000003</v>
      </c>
    </row>
    <row r="380" spans="1:3" x14ac:dyDescent="0.3">
      <c r="A380" s="1">
        <v>45721</v>
      </c>
      <c r="B380" s="2" t="s">
        <v>9</v>
      </c>
      <c r="C380">
        <v>0.97536</v>
      </c>
    </row>
    <row r="381" spans="1:3" x14ac:dyDescent="0.3">
      <c r="A381" s="1">
        <v>45721</v>
      </c>
      <c r="B381" s="2" t="s">
        <v>11</v>
      </c>
      <c r="C381">
        <v>90623.5625</v>
      </c>
    </row>
    <row r="382" spans="1:3" x14ac:dyDescent="0.3">
      <c r="A382" s="1">
        <v>45721</v>
      </c>
      <c r="B382" s="2" t="s">
        <v>13</v>
      </c>
      <c r="C382">
        <v>146.26730000000001</v>
      </c>
    </row>
    <row r="383" spans="1:3" x14ac:dyDescent="0.3">
      <c r="A383" s="1">
        <v>45721</v>
      </c>
      <c r="B383" s="2" t="s">
        <v>15</v>
      </c>
      <c r="C383">
        <v>2.5005099999999998</v>
      </c>
    </row>
    <row r="384" spans="1:3" x14ac:dyDescent="0.3">
      <c r="A384" s="1">
        <v>45721</v>
      </c>
      <c r="B384" s="2" t="s">
        <v>17</v>
      </c>
      <c r="C384">
        <v>2241.9773</v>
      </c>
    </row>
    <row r="385" spans="1:3" x14ac:dyDescent="0.3">
      <c r="A385" s="1">
        <v>45721</v>
      </c>
      <c r="B385" s="2" t="s">
        <v>19</v>
      </c>
      <c r="C385">
        <v>597.97582999999997</v>
      </c>
    </row>
    <row r="386" spans="1:3" x14ac:dyDescent="0.3">
      <c r="A386" s="1">
        <v>45722</v>
      </c>
      <c r="B386" s="2" t="s">
        <v>9</v>
      </c>
      <c r="C386">
        <v>0.90754999999999997</v>
      </c>
    </row>
    <row r="387" spans="1:3" x14ac:dyDescent="0.3">
      <c r="A387" s="1">
        <v>45722</v>
      </c>
      <c r="B387" s="2" t="s">
        <v>11</v>
      </c>
      <c r="C387">
        <v>89961.726559999996</v>
      </c>
    </row>
    <row r="388" spans="1:3" x14ac:dyDescent="0.3">
      <c r="A388" s="1">
        <v>45722</v>
      </c>
      <c r="B388" s="2" t="s">
        <v>13</v>
      </c>
      <c r="C388">
        <v>143.35522</v>
      </c>
    </row>
    <row r="389" spans="1:3" x14ac:dyDescent="0.3">
      <c r="A389" s="1">
        <v>45722</v>
      </c>
      <c r="B389" s="2" t="s">
        <v>15</v>
      </c>
      <c r="C389">
        <v>2.6017299999999999</v>
      </c>
    </row>
    <row r="390" spans="1:3" x14ac:dyDescent="0.3">
      <c r="A390" s="1">
        <v>45722</v>
      </c>
      <c r="B390" s="2" t="s">
        <v>17</v>
      </c>
      <c r="C390">
        <v>2202.4768100000001</v>
      </c>
    </row>
    <row r="391" spans="1:3" x14ac:dyDescent="0.3">
      <c r="A391" s="1">
        <v>45722</v>
      </c>
      <c r="B391" s="2" t="s">
        <v>19</v>
      </c>
      <c r="C391">
        <v>596.72375</v>
      </c>
    </row>
    <row r="392" spans="1:3" x14ac:dyDescent="0.3">
      <c r="A392" s="1">
        <v>45723</v>
      </c>
      <c r="B392" s="2" t="s">
        <v>9</v>
      </c>
      <c r="C392">
        <v>0.81679999999999997</v>
      </c>
    </row>
    <row r="393" spans="1:3" x14ac:dyDescent="0.3">
      <c r="A393" s="1">
        <v>45723</v>
      </c>
      <c r="B393" s="2" t="s">
        <v>11</v>
      </c>
      <c r="C393">
        <v>86742.671879999994</v>
      </c>
    </row>
    <row r="394" spans="1:3" x14ac:dyDescent="0.3">
      <c r="A394" s="1">
        <v>45723</v>
      </c>
      <c r="B394" s="2" t="s">
        <v>13</v>
      </c>
      <c r="C394">
        <v>139.20913999999999</v>
      </c>
    </row>
    <row r="395" spans="1:3" x14ac:dyDescent="0.3">
      <c r="A395" s="1">
        <v>45723</v>
      </c>
      <c r="B395" s="2" t="s">
        <v>15</v>
      </c>
      <c r="C395">
        <v>2.3816199999999998</v>
      </c>
    </row>
    <row r="396" spans="1:3" x14ac:dyDescent="0.3">
      <c r="A396" s="1">
        <v>45723</v>
      </c>
      <c r="B396" s="2" t="s">
        <v>17</v>
      </c>
      <c r="C396">
        <v>2138.9875499999998</v>
      </c>
    </row>
    <row r="397" spans="1:3" x14ac:dyDescent="0.3">
      <c r="A397" s="1">
        <v>45723</v>
      </c>
      <c r="B397" s="2" t="s">
        <v>19</v>
      </c>
      <c r="C397">
        <v>593.96338000000003</v>
      </c>
    </row>
    <row r="398" spans="1:3" x14ac:dyDescent="0.3">
      <c r="A398" s="1">
        <v>45724</v>
      </c>
      <c r="B398" s="2" t="s">
        <v>9</v>
      </c>
      <c r="C398">
        <v>0.80469000000000002</v>
      </c>
    </row>
    <row r="399" spans="1:3" x14ac:dyDescent="0.3">
      <c r="A399" s="1">
        <v>45724</v>
      </c>
      <c r="B399" s="2" t="s">
        <v>11</v>
      </c>
      <c r="C399">
        <v>86154.59375</v>
      </c>
    </row>
    <row r="400" spans="1:3" x14ac:dyDescent="0.3">
      <c r="A400" s="1">
        <v>45724</v>
      </c>
      <c r="B400" s="2" t="s">
        <v>13</v>
      </c>
      <c r="C400">
        <v>136.94208</v>
      </c>
    </row>
    <row r="401" spans="1:3" x14ac:dyDescent="0.3">
      <c r="A401" s="1">
        <v>45724</v>
      </c>
      <c r="B401" s="2" t="s">
        <v>15</v>
      </c>
      <c r="C401">
        <v>2.3234400000000002</v>
      </c>
    </row>
    <row r="402" spans="1:3" x14ac:dyDescent="0.3">
      <c r="A402" s="1">
        <v>45724</v>
      </c>
      <c r="B402" s="2" t="s">
        <v>17</v>
      </c>
      <c r="C402">
        <v>2201.5102499999998</v>
      </c>
    </row>
    <row r="403" spans="1:3" x14ac:dyDescent="0.3">
      <c r="A403" s="1">
        <v>45724</v>
      </c>
      <c r="B403" s="2" t="s">
        <v>19</v>
      </c>
      <c r="C403">
        <v>593.08087</v>
      </c>
    </row>
    <row r="404" spans="1:3" x14ac:dyDescent="0.3">
      <c r="A404" s="1">
        <v>45725</v>
      </c>
      <c r="B404" s="2" t="s">
        <v>9</v>
      </c>
      <c r="C404">
        <v>0.72014999999999996</v>
      </c>
    </row>
    <row r="405" spans="1:3" x14ac:dyDescent="0.3">
      <c r="A405" s="1">
        <v>45725</v>
      </c>
      <c r="B405" s="2" t="s">
        <v>11</v>
      </c>
      <c r="C405">
        <v>80601.039059999996</v>
      </c>
    </row>
    <row r="406" spans="1:3" x14ac:dyDescent="0.3">
      <c r="A406" s="1">
        <v>45725</v>
      </c>
      <c r="B406" s="2" t="s">
        <v>13</v>
      </c>
      <c r="C406">
        <v>126.43543</v>
      </c>
    </row>
    <row r="407" spans="1:3" x14ac:dyDescent="0.3">
      <c r="A407" s="1">
        <v>45725</v>
      </c>
      <c r="B407" s="2" t="s">
        <v>15</v>
      </c>
      <c r="C407">
        <v>2.1345800000000001</v>
      </c>
    </row>
    <row r="408" spans="1:3" x14ac:dyDescent="0.3">
      <c r="A408" s="1">
        <v>45725</v>
      </c>
      <c r="B408" s="2" t="s">
        <v>17</v>
      </c>
      <c r="C408">
        <v>2015.5091600000001</v>
      </c>
    </row>
    <row r="409" spans="1:3" x14ac:dyDescent="0.3">
      <c r="A409" s="1">
        <v>45725</v>
      </c>
      <c r="B409" s="2" t="s">
        <v>19</v>
      </c>
      <c r="C409">
        <v>554.58043999999995</v>
      </c>
    </row>
    <row r="410" spans="1:3" x14ac:dyDescent="0.3">
      <c r="A410" s="1">
        <v>45726</v>
      </c>
      <c r="B410" s="2" t="s">
        <v>9</v>
      </c>
      <c r="C410">
        <v>0.67259999999999998</v>
      </c>
    </row>
    <row r="411" spans="1:3" x14ac:dyDescent="0.3">
      <c r="A411" s="1">
        <v>45726</v>
      </c>
      <c r="B411" s="2" t="s">
        <v>11</v>
      </c>
      <c r="C411">
        <v>78532</v>
      </c>
    </row>
    <row r="412" spans="1:3" x14ac:dyDescent="0.3">
      <c r="A412" s="1">
        <v>45726</v>
      </c>
      <c r="B412" s="2" t="s">
        <v>13</v>
      </c>
      <c r="C412">
        <v>118.29174999999999</v>
      </c>
    </row>
    <row r="413" spans="1:3" x14ac:dyDescent="0.3">
      <c r="A413" s="1">
        <v>45726</v>
      </c>
      <c r="B413" s="2" t="s">
        <v>15</v>
      </c>
      <c r="C413">
        <v>2.0182899999999999</v>
      </c>
    </row>
    <row r="414" spans="1:3" x14ac:dyDescent="0.3">
      <c r="A414" s="1">
        <v>45726</v>
      </c>
      <c r="B414" s="2" t="s">
        <v>17</v>
      </c>
      <c r="C414">
        <v>1861.15137</v>
      </c>
    </row>
    <row r="415" spans="1:3" x14ac:dyDescent="0.3">
      <c r="A415" s="1">
        <v>45726</v>
      </c>
      <c r="B415" s="2" t="s">
        <v>19</v>
      </c>
      <c r="C415">
        <v>532.12189000000001</v>
      </c>
    </row>
    <row r="416" spans="1:3" x14ac:dyDescent="0.3">
      <c r="A416" s="1">
        <v>45727</v>
      </c>
      <c r="B416" s="2" t="s">
        <v>9</v>
      </c>
      <c r="C416">
        <v>0.72258999999999995</v>
      </c>
    </row>
    <row r="417" spans="1:3" x14ac:dyDescent="0.3">
      <c r="A417" s="1">
        <v>45727</v>
      </c>
      <c r="B417" s="2" t="s">
        <v>11</v>
      </c>
      <c r="C417">
        <v>82862.210940000004</v>
      </c>
    </row>
    <row r="418" spans="1:3" x14ac:dyDescent="0.3">
      <c r="A418" s="1">
        <v>45727</v>
      </c>
      <c r="B418" s="2" t="s">
        <v>13</v>
      </c>
      <c r="C418">
        <v>125.26394999999999</v>
      </c>
    </row>
    <row r="419" spans="1:3" x14ac:dyDescent="0.3">
      <c r="A419" s="1">
        <v>45727</v>
      </c>
      <c r="B419" s="2" t="s">
        <v>15</v>
      </c>
      <c r="C419">
        <v>2.1669200000000002</v>
      </c>
    </row>
    <row r="420" spans="1:3" x14ac:dyDescent="0.3">
      <c r="A420" s="1">
        <v>45727</v>
      </c>
      <c r="B420" s="2" t="s">
        <v>17</v>
      </c>
      <c r="C420">
        <v>1919.8449700000001</v>
      </c>
    </row>
    <row r="421" spans="1:3" x14ac:dyDescent="0.3">
      <c r="A421" s="1">
        <v>45727</v>
      </c>
      <c r="B421" s="2" t="s">
        <v>19</v>
      </c>
      <c r="C421">
        <v>551.47455000000002</v>
      </c>
    </row>
    <row r="422" spans="1:3" x14ac:dyDescent="0.3">
      <c r="A422" s="1">
        <v>45728</v>
      </c>
      <c r="B422" s="2" t="s">
        <v>9</v>
      </c>
      <c r="C422">
        <v>0.73543999999999998</v>
      </c>
    </row>
    <row r="423" spans="1:3" x14ac:dyDescent="0.3">
      <c r="A423" s="1">
        <v>45728</v>
      </c>
      <c r="B423" s="2" t="s">
        <v>11</v>
      </c>
      <c r="C423">
        <v>83722.359379999994</v>
      </c>
    </row>
    <row r="424" spans="1:3" x14ac:dyDescent="0.3">
      <c r="A424" s="1">
        <v>45728</v>
      </c>
      <c r="B424" s="2" t="s">
        <v>13</v>
      </c>
      <c r="C424">
        <v>126.58324</v>
      </c>
    </row>
    <row r="425" spans="1:3" x14ac:dyDescent="0.3">
      <c r="A425" s="1">
        <v>45728</v>
      </c>
      <c r="B425" s="2" t="s">
        <v>15</v>
      </c>
      <c r="C425">
        <v>2.2407599999999999</v>
      </c>
    </row>
    <row r="426" spans="1:3" x14ac:dyDescent="0.3">
      <c r="A426" s="1">
        <v>45728</v>
      </c>
      <c r="B426" s="2" t="s">
        <v>17</v>
      </c>
      <c r="C426">
        <v>1908.9826700000001</v>
      </c>
    </row>
    <row r="427" spans="1:3" x14ac:dyDescent="0.3">
      <c r="A427" s="1">
        <v>45728</v>
      </c>
      <c r="B427" s="2" t="s">
        <v>19</v>
      </c>
      <c r="C427">
        <v>569.89484000000004</v>
      </c>
    </row>
    <row r="428" spans="1:3" x14ac:dyDescent="0.3">
      <c r="A428" s="1">
        <v>45729</v>
      </c>
      <c r="B428" s="2" t="s">
        <v>9</v>
      </c>
      <c r="C428">
        <v>0.70228999999999997</v>
      </c>
    </row>
    <row r="429" spans="1:3" x14ac:dyDescent="0.3">
      <c r="A429" s="1">
        <v>45729</v>
      </c>
      <c r="B429" s="2" t="s">
        <v>11</v>
      </c>
      <c r="C429">
        <v>81066.703129999994</v>
      </c>
    </row>
    <row r="430" spans="1:3" x14ac:dyDescent="0.3">
      <c r="A430" s="1">
        <v>45729</v>
      </c>
      <c r="B430" s="2" t="s">
        <v>13</v>
      </c>
      <c r="C430">
        <v>123.28615000000001</v>
      </c>
    </row>
    <row r="431" spans="1:3" x14ac:dyDescent="0.3">
      <c r="A431" s="1">
        <v>45729</v>
      </c>
      <c r="B431" s="2" t="s">
        <v>15</v>
      </c>
      <c r="C431">
        <v>2.25101</v>
      </c>
    </row>
    <row r="432" spans="1:3" x14ac:dyDescent="0.3">
      <c r="A432" s="1">
        <v>45729</v>
      </c>
      <c r="B432" s="2" t="s">
        <v>17</v>
      </c>
      <c r="C432">
        <v>1862.9695999999999</v>
      </c>
    </row>
    <row r="433" spans="1:3" x14ac:dyDescent="0.3">
      <c r="A433" s="1">
        <v>45729</v>
      </c>
      <c r="B433" s="2" t="s">
        <v>19</v>
      </c>
      <c r="C433">
        <v>579.21880999999996</v>
      </c>
    </row>
    <row r="434" spans="1:3" x14ac:dyDescent="0.3">
      <c r="A434" s="1">
        <v>45730</v>
      </c>
      <c r="B434" s="2" t="s">
        <v>9</v>
      </c>
      <c r="C434">
        <v>0.73831999999999998</v>
      </c>
    </row>
    <row r="435" spans="1:3" x14ac:dyDescent="0.3">
      <c r="A435" s="1">
        <v>45730</v>
      </c>
      <c r="B435" s="2" t="s">
        <v>11</v>
      </c>
      <c r="C435">
        <v>83969.101559999996</v>
      </c>
    </row>
    <row r="436" spans="1:3" x14ac:dyDescent="0.3">
      <c r="A436" s="1">
        <v>45730</v>
      </c>
      <c r="B436" s="2" t="s">
        <v>13</v>
      </c>
      <c r="C436">
        <v>133.31448</v>
      </c>
    </row>
    <row r="437" spans="1:3" x14ac:dyDescent="0.3">
      <c r="A437" s="1">
        <v>45730</v>
      </c>
      <c r="B437" s="2" t="s">
        <v>15</v>
      </c>
      <c r="C437">
        <v>2.3564400000000001</v>
      </c>
    </row>
    <row r="438" spans="1:3" x14ac:dyDescent="0.3">
      <c r="A438" s="1">
        <v>45730</v>
      </c>
      <c r="B438" s="2" t="s">
        <v>17</v>
      </c>
      <c r="C438">
        <v>1909.4675299999999</v>
      </c>
    </row>
    <row r="439" spans="1:3" x14ac:dyDescent="0.3">
      <c r="A439" s="1">
        <v>45730</v>
      </c>
      <c r="B439" s="2" t="s">
        <v>19</v>
      </c>
      <c r="C439">
        <v>587.13629000000003</v>
      </c>
    </row>
    <row r="440" spans="1:3" x14ac:dyDescent="0.3">
      <c r="A440" s="1">
        <v>45731</v>
      </c>
      <c r="B440" s="2" t="s">
        <v>9</v>
      </c>
      <c r="C440">
        <v>0.74829000000000001</v>
      </c>
    </row>
    <row r="441" spans="1:3" x14ac:dyDescent="0.3">
      <c r="A441" s="1">
        <v>45731</v>
      </c>
      <c r="B441" s="2" t="s">
        <v>11</v>
      </c>
      <c r="C441">
        <v>84343.109379999994</v>
      </c>
    </row>
    <row r="442" spans="1:3" x14ac:dyDescent="0.3">
      <c r="A442" s="1">
        <v>45731</v>
      </c>
      <c r="B442" s="2" t="s">
        <v>13</v>
      </c>
      <c r="C442">
        <v>135.91254000000001</v>
      </c>
    </row>
    <row r="443" spans="1:3" x14ac:dyDescent="0.3">
      <c r="A443" s="1">
        <v>45731</v>
      </c>
      <c r="B443" s="2" t="s">
        <v>15</v>
      </c>
      <c r="C443">
        <v>2.39324</v>
      </c>
    </row>
    <row r="444" spans="1:3" x14ac:dyDescent="0.3">
      <c r="A444" s="1">
        <v>45731</v>
      </c>
      <c r="B444" s="2" t="s">
        <v>17</v>
      </c>
      <c r="C444">
        <v>1937.39465</v>
      </c>
    </row>
    <row r="445" spans="1:3" x14ac:dyDescent="0.3">
      <c r="A445" s="1">
        <v>45731</v>
      </c>
      <c r="B445" s="2" t="s">
        <v>19</v>
      </c>
      <c r="C445">
        <v>619.48608000000002</v>
      </c>
    </row>
    <row r="446" spans="1:3" x14ac:dyDescent="0.3">
      <c r="A446" s="1">
        <v>45732</v>
      </c>
      <c r="B446" s="2" t="s">
        <v>9</v>
      </c>
      <c r="C446">
        <v>0.70576000000000005</v>
      </c>
    </row>
    <row r="447" spans="1:3" x14ac:dyDescent="0.3">
      <c r="A447" s="1">
        <v>45732</v>
      </c>
      <c r="B447" s="2" t="s">
        <v>11</v>
      </c>
      <c r="C447">
        <v>82579.6875</v>
      </c>
    </row>
    <row r="448" spans="1:3" x14ac:dyDescent="0.3">
      <c r="A448" s="1">
        <v>45732</v>
      </c>
      <c r="B448" s="2" t="s">
        <v>13</v>
      </c>
      <c r="C448">
        <v>125.98811000000001</v>
      </c>
    </row>
    <row r="449" spans="1:3" x14ac:dyDescent="0.3">
      <c r="A449" s="1">
        <v>45732</v>
      </c>
      <c r="B449" s="2" t="s">
        <v>15</v>
      </c>
      <c r="C449">
        <v>2.2978700000000001</v>
      </c>
    </row>
    <row r="450" spans="1:3" x14ac:dyDescent="0.3">
      <c r="A450" s="1">
        <v>45732</v>
      </c>
      <c r="B450" s="2" t="s">
        <v>17</v>
      </c>
      <c r="C450">
        <v>1887.43506</v>
      </c>
    </row>
    <row r="451" spans="1:3" x14ac:dyDescent="0.3">
      <c r="A451" s="1">
        <v>45732</v>
      </c>
      <c r="B451" s="2" t="s">
        <v>19</v>
      </c>
      <c r="C451">
        <v>602.21660999999995</v>
      </c>
    </row>
    <row r="452" spans="1:3" x14ac:dyDescent="0.3">
      <c r="A452" s="1">
        <v>45733</v>
      </c>
      <c r="B452" s="2" t="s">
        <v>9</v>
      </c>
      <c r="C452">
        <v>0.71809000000000001</v>
      </c>
    </row>
    <row r="453" spans="1:3" x14ac:dyDescent="0.3">
      <c r="A453" s="1">
        <v>45733</v>
      </c>
      <c r="B453" s="2" t="s">
        <v>11</v>
      </c>
      <c r="C453">
        <v>84075.6875</v>
      </c>
    </row>
    <row r="454" spans="1:3" x14ac:dyDescent="0.3">
      <c r="A454" s="1">
        <v>45733</v>
      </c>
      <c r="B454" s="2" t="s">
        <v>13</v>
      </c>
      <c r="C454">
        <v>128.16371000000001</v>
      </c>
    </row>
    <row r="455" spans="1:3" x14ac:dyDescent="0.3">
      <c r="A455" s="1">
        <v>45733</v>
      </c>
      <c r="B455" s="2" t="s">
        <v>15</v>
      </c>
      <c r="C455">
        <v>2.3406400000000001</v>
      </c>
    </row>
    <row r="456" spans="1:3" x14ac:dyDescent="0.3">
      <c r="A456" s="1">
        <v>45733</v>
      </c>
      <c r="B456" s="2" t="s">
        <v>17</v>
      </c>
      <c r="C456">
        <v>1927.0029300000001</v>
      </c>
    </row>
    <row r="457" spans="1:3" x14ac:dyDescent="0.3">
      <c r="A457" s="1">
        <v>45733</v>
      </c>
      <c r="B457" s="2" t="s">
        <v>19</v>
      </c>
      <c r="C457">
        <v>631.36261000000002</v>
      </c>
    </row>
    <row r="458" spans="1:3" x14ac:dyDescent="0.3">
      <c r="A458" s="1">
        <v>45734</v>
      </c>
      <c r="B458" s="2" t="s">
        <v>9</v>
      </c>
      <c r="C458">
        <v>0.70208000000000004</v>
      </c>
    </row>
    <row r="459" spans="1:3" x14ac:dyDescent="0.3">
      <c r="A459" s="1">
        <v>45734</v>
      </c>
      <c r="B459" s="2" t="s">
        <v>11</v>
      </c>
      <c r="C459">
        <v>82718.5</v>
      </c>
    </row>
    <row r="460" spans="1:3" x14ac:dyDescent="0.3">
      <c r="A460" s="1">
        <v>45734</v>
      </c>
      <c r="B460" s="2" t="s">
        <v>13</v>
      </c>
      <c r="C460">
        <v>125.31270000000001</v>
      </c>
    </row>
    <row r="461" spans="1:3" x14ac:dyDescent="0.3">
      <c r="A461" s="1">
        <v>45734</v>
      </c>
      <c r="B461" s="2" t="s">
        <v>15</v>
      </c>
      <c r="C461">
        <v>2.2869600000000001</v>
      </c>
    </row>
    <row r="462" spans="1:3" x14ac:dyDescent="0.3">
      <c r="A462" s="1">
        <v>45734</v>
      </c>
      <c r="B462" s="2" t="s">
        <v>17</v>
      </c>
      <c r="C462">
        <v>1932.5434600000001</v>
      </c>
    </row>
    <row r="463" spans="1:3" x14ac:dyDescent="0.3">
      <c r="A463" s="1">
        <v>45734</v>
      </c>
      <c r="B463" s="2" t="s">
        <v>19</v>
      </c>
      <c r="C463">
        <v>628.13445999999999</v>
      </c>
    </row>
    <row r="464" spans="1:3" x14ac:dyDescent="0.3">
      <c r="A464" s="1">
        <v>45735</v>
      </c>
      <c r="B464" s="2" t="s">
        <v>9</v>
      </c>
      <c r="C464">
        <v>0.74419999999999997</v>
      </c>
    </row>
    <row r="465" spans="1:3" x14ac:dyDescent="0.3">
      <c r="A465" s="1">
        <v>45735</v>
      </c>
      <c r="B465" s="2" t="s">
        <v>11</v>
      </c>
      <c r="C465">
        <v>86854.226559999996</v>
      </c>
    </row>
    <row r="466" spans="1:3" x14ac:dyDescent="0.3">
      <c r="A466" s="1">
        <v>45735</v>
      </c>
      <c r="B466" s="2" t="s">
        <v>13</v>
      </c>
      <c r="C466">
        <v>135.57250999999999</v>
      </c>
    </row>
    <row r="467" spans="1:3" x14ac:dyDescent="0.3">
      <c r="A467" s="1">
        <v>45735</v>
      </c>
      <c r="B467" s="2" t="s">
        <v>15</v>
      </c>
      <c r="C467">
        <v>2.5458400000000001</v>
      </c>
    </row>
    <row r="468" spans="1:3" x14ac:dyDescent="0.3">
      <c r="A468" s="1">
        <v>45735</v>
      </c>
      <c r="B468" s="2" t="s">
        <v>17</v>
      </c>
      <c r="C468">
        <v>2057.7490200000002</v>
      </c>
    </row>
    <row r="469" spans="1:3" x14ac:dyDescent="0.3">
      <c r="A469" s="1">
        <v>45735</v>
      </c>
      <c r="B469" s="2" t="s">
        <v>19</v>
      </c>
      <c r="C469">
        <v>619.25751000000002</v>
      </c>
    </row>
    <row r="470" spans="1:3" x14ac:dyDescent="0.3">
      <c r="A470" s="1">
        <v>45736</v>
      </c>
      <c r="B470" s="2" t="s">
        <v>9</v>
      </c>
      <c r="C470">
        <v>0.71752000000000005</v>
      </c>
    </row>
    <row r="471" spans="1:3" x14ac:dyDescent="0.3">
      <c r="A471" s="1">
        <v>45736</v>
      </c>
      <c r="B471" s="2" t="s">
        <v>11</v>
      </c>
      <c r="C471">
        <v>84167.195309999996</v>
      </c>
    </row>
    <row r="472" spans="1:3" x14ac:dyDescent="0.3">
      <c r="A472" s="1">
        <v>45736</v>
      </c>
      <c r="B472" s="2" t="s">
        <v>13</v>
      </c>
      <c r="C472">
        <v>127.49718</v>
      </c>
    </row>
    <row r="473" spans="1:3" x14ac:dyDescent="0.3">
      <c r="A473" s="1">
        <v>45736</v>
      </c>
      <c r="B473" s="2" t="s">
        <v>15</v>
      </c>
      <c r="C473">
        <v>2.4346700000000001</v>
      </c>
    </row>
    <row r="474" spans="1:3" x14ac:dyDescent="0.3">
      <c r="A474" s="1">
        <v>45736</v>
      </c>
      <c r="B474" s="2" t="s">
        <v>17</v>
      </c>
      <c r="C474">
        <v>1982.0998500000001</v>
      </c>
    </row>
    <row r="475" spans="1:3" x14ac:dyDescent="0.3">
      <c r="A475" s="1">
        <v>45736</v>
      </c>
      <c r="B475" s="2" t="s">
        <v>19</v>
      </c>
      <c r="C475">
        <v>629.94244000000003</v>
      </c>
    </row>
    <row r="476" spans="1:3" x14ac:dyDescent="0.3">
      <c r="A476" s="1">
        <v>45737</v>
      </c>
      <c r="B476" s="2" t="s">
        <v>9</v>
      </c>
      <c r="C476">
        <v>0.70511999999999997</v>
      </c>
    </row>
    <row r="477" spans="1:3" x14ac:dyDescent="0.3">
      <c r="A477" s="1">
        <v>45737</v>
      </c>
      <c r="B477" s="2" t="s">
        <v>11</v>
      </c>
      <c r="C477">
        <v>84043.242190000004</v>
      </c>
    </row>
    <row r="478" spans="1:3" x14ac:dyDescent="0.3">
      <c r="A478" s="1">
        <v>45737</v>
      </c>
      <c r="B478" s="2" t="s">
        <v>13</v>
      </c>
      <c r="C478">
        <v>128.43030999999999</v>
      </c>
    </row>
    <row r="479" spans="1:3" x14ac:dyDescent="0.3">
      <c r="A479" s="1">
        <v>45737</v>
      </c>
      <c r="B479" s="2" t="s">
        <v>15</v>
      </c>
      <c r="C479">
        <v>2.3792800000000001</v>
      </c>
    </row>
    <row r="480" spans="1:3" x14ac:dyDescent="0.3">
      <c r="A480" s="1">
        <v>45737</v>
      </c>
      <c r="B480" s="2" t="s">
        <v>17</v>
      </c>
      <c r="C480">
        <v>1964.84753</v>
      </c>
    </row>
    <row r="481" spans="1:3" x14ac:dyDescent="0.3">
      <c r="A481" s="1">
        <v>45737</v>
      </c>
      <c r="B481" s="2" t="s">
        <v>19</v>
      </c>
      <c r="C481">
        <v>634.60779000000002</v>
      </c>
    </row>
    <row r="482" spans="1:3" x14ac:dyDescent="0.3">
      <c r="A482" s="1">
        <v>45738</v>
      </c>
      <c r="B482" s="2" t="s">
        <v>9</v>
      </c>
      <c r="C482">
        <v>0.70094000000000001</v>
      </c>
    </row>
    <row r="483" spans="1:3" x14ac:dyDescent="0.3">
      <c r="A483" s="1">
        <v>45738</v>
      </c>
      <c r="B483" s="2" t="s">
        <v>11</v>
      </c>
      <c r="C483">
        <v>83832.484379999994</v>
      </c>
    </row>
    <row r="484" spans="1:3" x14ac:dyDescent="0.3">
      <c r="A484" s="1">
        <v>45738</v>
      </c>
      <c r="B484" s="2" t="s">
        <v>13</v>
      </c>
      <c r="C484">
        <v>128.48499000000001</v>
      </c>
    </row>
    <row r="485" spans="1:3" x14ac:dyDescent="0.3">
      <c r="A485" s="1">
        <v>45738</v>
      </c>
      <c r="B485" s="2" t="s">
        <v>15</v>
      </c>
      <c r="C485">
        <v>2.3698199999999998</v>
      </c>
    </row>
    <row r="486" spans="1:3" x14ac:dyDescent="0.3">
      <c r="A486" s="1">
        <v>45738</v>
      </c>
      <c r="B486" s="2" t="s">
        <v>17</v>
      </c>
      <c r="C486">
        <v>1980.03784</v>
      </c>
    </row>
    <row r="487" spans="1:3" x14ac:dyDescent="0.3">
      <c r="A487" s="1">
        <v>45738</v>
      </c>
      <c r="B487" s="2" t="s">
        <v>19</v>
      </c>
      <c r="C487">
        <v>626.57439999999997</v>
      </c>
    </row>
    <row r="488" spans="1:3" x14ac:dyDescent="0.3">
      <c r="A488" s="1">
        <v>45739</v>
      </c>
      <c r="B488" s="2" t="s">
        <v>9</v>
      </c>
      <c r="C488">
        <v>0.70950999999999997</v>
      </c>
    </row>
    <row r="489" spans="1:3" x14ac:dyDescent="0.3">
      <c r="A489" s="1">
        <v>45739</v>
      </c>
      <c r="B489" s="2" t="s">
        <v>11</v>
      </c>
      <c r="C489">
        <v>86054.375</v>
      </c>
    </row>
    <row r="490" spans="1:3" x14ac:dyDescent="0.3">
      <c r="A490" s="1">
        <v>45739</v>
      </c>
      <c r="B490" s="2" t="s">
        <v>13</v>
      </c>
      <c r="C490">
        <v>132.59932000000001</v>
      </c>
    </row>
    <row r="491" spans="1:3" x14ac:dyDescent="0.3">
      <c r="A491" s="1">
        <v>45739</v>
      </c>
      <c r="B491" s="2" t="s">
        <v>15</v>
      </c>
      <c r="C491">
        <v>2.4354900000000002</v>
      </c>
    </row>
    <row r="492" spans="1:3" x14ac:dyDescent="0.3">
      <c r="A492" s="1">
        <v>45739</v>
      </c>
      <c r="B492" s="2" t="s">
        <v>17</v>
      </c>
      <c r="C492">
        <v>2005.29919</v>
      </c>
    </row>
    <row r="493" spans="1:3" x14ac:dyDescent="0.3">
      <c r="A493" s="1">
        <v>45739</v>
      </c>
      <c r="B493" s="2" t="s">
        <v>19</v>
      </c>
      <c r="C493">
        <v>623.34948999999995</v>
      </c>
    </row>
    <row r="494" spans="1:3" x14ac:dyDescent="0.3">
      <c r="A494" s="1">
        <v>45740</v>
      </c>
      <c r="B494" s="2" t="s">
        <v>9</v>
      </c>
      <c r="C494">
        <v>0.73099000000000003</v>
      </c>
    </row>
    <row r="495" spans="1:3" x14ac:dyDescent="0.3">
      <c r="A495" s="1">
        <v>45740</v>
      </c>
      <c r="B495" s="2" t="s">
        <v>11</v>
      </c>
      <c r="C495">
        <v>87498.914059999996</v>
      </c>
    </row>
    <row r="496" spans="1:3" x14ac:dyDescent="0.3">
      <c r="A496" s="1">
        <v>45740</v>
      </c>
      <c r="B496" s="2" t="s">
        <v>13</v>
      </c>
      <c r="C496">
        <v>140.86928</v>
      </c>
    </row>
    <row r="497" spans="1:3" x14ac:dyDescent="0.3">
      <c r="A497" s="1">
        <v>45740</v>
      </c>
      <c r="B497" s="2" t="s">
        <v>15</v>
      </c>
      <c r="C497">
        <v>2.4481600000000001</v>
      </c>
    </row>
    <row r="498" spans="1:3" x14ac:dyDescent="0.3">
      <c r="A498" s="1">
        <v>45740</v>
      </c>
      <c r="B498" s="2" t="s">
        <v>17</v>
      </c>
      <c r="C498">
        <v>2077.4789999999998</v>
      </c>
    </row>
    <row r="499" spans="1:3" x14ac:dyDescent="0.3">
      <c r="A499" s="1">
        <v>45740</v>
      </c>
      <c r="B499" s="2" t="s">
        <v>19</v>
      </c>
      <c r="C499">
        <v>636.64453000000003</v>
      </c>
    </row>
    <row r="500" spans="1:3" x14ac:dyDescent="0.3">
      <c r="A500" s="1">
        <v>45741</v>
      </c>
      <c r="B500" s="2" t="s">
        <v>9</v>
      </c>
      <c r="C500">
        <v>0.74519999999999997</v>
      </c>
    </row>
    <row r="501" spans="1:3" x14ac:dyDescent="0.3">
      <c r="A501" s="1">
        <v>45741</v>
      </c>
      <c r="B501" s="2" t="s">
        <v>11</v>
      </c>
      <c r="C501">
        <v>87471.703129999994</v>
      </c>
    </row>
    <row r="502" spans="1:3" x14ac:dyDescent="0.3">
      <c r="A502" s="1">
        <v>45741</v>
      </c>
      <c r="B502" s="2" t="s">
        <v>13</v>
      </c>
      <c r="C502">
        <v>143.81708</v>
      </c>
    </row>
    <row r="503" spans="1:3" x14ac:dyDescent="0.3">
      <c r="A503" s="1">
        <v>45741</v>
      </c>
      <c r="B503" s="2" t="s">
        <v>15</v>
      </c>
      <c r="C503">
        <v>2.4513500000000001</v>
      </c>
    </row>
    <row r="504" spans="1:3" x14ac:dyDescent="0.3">
      <c r="A504" s="1">
        <v>45741</v>
      </c>
      <c r="B504" s="2" t="s">
        <v>17</v>
      </c>
      <c r="C504">
        <v>2067.7641600000002</v>
      </c>
    </row>
    <row r="505" spans="1:3" x14ac:dyDescent="0.3">
      <c r="A505" s="1">
        <v>45741</v>
      </c>
      <c r="B505" s="2" t="s">
        <v>19</v>
      </c>
      <c r="C505">
        <v>629.94286999999997</v>
      </c>
    </row>
    <row r="506" spans="1:3" x14ac:dyDescent="0.3">
      <c r="A506" s="1">
        <v>45742</v>
      </c>
      <c r="B506" s="2" t="s">
        <v>9</v>
      </c>
      <c r="C506">
        <v>0.72806000000000004</v>
      </c>
    </row>
    <row r="507" spans="1:3" x14ac:dyDescent="0.3">
      <c r="A507" s="1">
        <v>45742</v>
      </c>
      <c r="B507" s="2" t="s">
        <v>11</v>
      </c>
      <c r="C507">
        <v>86900.882809999996</v>
      </c>
    </row>
    <row r="508" spans="1:3" x14ac:dyDescent="0.3">
      <c r="A508" s="1">
        <v>45742</v>
      </c>
      <c r="B508" s="2" t="s">
        <v>13</v>
      </c>
      <c r="C508">
        <v>137.28856999999999</v>
      </c>
    </row>
    <row r="509" spans="1:3" x14ac:dyDescent="0.3">
      <c r="A509" s="1">
        <v>45742</v>
      </c>
      <c r="B509" s="2" t="s">
        <v>15</v>
      </c>
      <c r="C509">
        <v>2.3490899999999999</v>
      </c>
    </row>
    <row r="510" spans="1:3" x14ac:dyDescent="0.3">
      <c r="A510" s="1">
        <v>45742</v>
      </c>
      <c r="B510" s="2" t="s">
        <v>17</v>
      </c>
      <c r="C510">
        <v>2009.1893299999999</v>
      </c>
    </row>
    <row r="511" spans="1:3" x14ac:dyDescent="0.3">
      <c r="A511" s="1">
        <v>45742</v>
      </c>
      <c r="B511" s="2" t="s">
        <v>19</v>
      </c>
      <c r="C511">
        <v>617.81677000000002</v>
      </c>
    </row>
    <row r="512" spans="1:3" x14ac:dyDescent="0.3">
      <c r="A512" s="1">
        <v>45743</v>
      </c>
      <c r="B512" s="2" t="s">
        <v>9</v>
      </c>
      <c r="C512">
        <v>0.73767000000000005</v>
      </c>
    </row>
    <row r="513" spans="1:3" x14ac:dyDescent="0.3">
      <c r="A513" s="1">
        <v>45743</v>
      </c>
      <c r="B513" s="2" t="s">
        <v>11</v>
      </c>
      <c r="C513">
        <v>87177.101559999996</v>
      </c>
    </row>
    <row r="514" spans="1:3" x14ac:dyDescent="0.3">
      <c r="A514" s="1">
        <v>45743</v>
      </c>
      <c r="B514" s="2" t="s">
        <v>13</v>
      </c>
      <c r="C514">
        <v>138.34737999999999</v>
      </c>
    </row>
    <row r="515" spans="1:3" x14ac:dyDescent="0.3">
      <c r="A515" s="1">
        <v>45743</v>
      </c>
      <c r="B515" s="2" t="s">
        <v>15</v>
      </c>
      <c r="C515">
        <v>2.3382700000000001</v>
      </c>
    </row>
    <row r="516" spans="1:3" x14ac:dyDescent="0.3">
      <c r="A516" s="1">
        <v>45743</v>
      </c>
      <c r="B516" s="2" t="s">
        <v>17</v>
      </c>
      <c r="C516">
        <v>2002.35742</v>
      </c>
    </row>
    <row r="517" spans="1:3" x14ac:dyDescent="0.3">
      <c r="A517" s="1">
        <v>45743</v>
      </c>
      <c r="B517" s="2" t="s">
        <v>19</v>
      </c>
      <c r="C517">
        <v>637.20696999999996</v>
      </c>
    </row>
    <row r="518" spans="1:3" x14ac:dyDescent="0.3">
      <c r="A518" s="1">
        <v>45744</v>
      </c>
      <c r="B518" s="2" t="s">
        <v>9</v>
      </c>
      <c r="C518">
        <v>0.70555000000000001</v>
      </c>
    </row>
    <row r="519" spans="1:3" x14ac:dyDescent="0.3">
      <c r="A519" s="1">
        <v>45744</v>
      </c>
      <c r="B519" s="2" t="s">
        <v>11</v>
      </c>
      <c r="C519">
        <v>84353.148440000004</v>
      </c>
    </row>
    <row r="520" spans="1:3" x14ac:dyDescent="0.3">
      <c r="A520" s="1">
        <v>45744</v>
      </c>
      <c r="B520" s="2" t="s">
        <v>13</v>
      </c>
      <c r="C520">
        <v>129.42316</v>
      </c>
    </row>
    <row r="521" spans="1:3" x14ac:dyDescent="0.3">
      <c r="A521" s="1">
        <v>45744</v>
      </c>
      <c r="B521" s="2" t="s">
        <v>15</v>
      </c>
      <c r="C521">
        <v>2.2041400000000002</v>
      </c>
    </row>
    <row r="522" spans="1:3" x14ac:dyDescent="0.3">
      <c r="A522" s="1">
        <v>45744</v>
      </c>
      <c r="B522" s="2" t="s">
        <v>17</v>
      </c>
      <c r="C522">
        <v>1895.5029300000001</v>
      </c>
    </row>
    <row r="523" spans="1:3" x14ac:dyDescent="0.3">
      <c r="A523" s="1">
        <v>45744</v>
      </c>
      <c r="B523" s="2" t="s">
        <v>19</v>
      </c>
      <c r="C523">
        <v>619.47491000000002</v>
      </c>
    </row>
    <row r="524" spans="1:3" x14ac:dyDescent="0.3">
      <c r="A524" s="1">
        <v>45745</v>
      </c>
      <c r="B524" s="2" t="s">
        <v>9</v>
      </c>
      <c r="C524">
        <v>0.67391999999999996</v>
      </c>
    </row>
    <row r="525" spans="1:3" x14ac:dyDescent="0.3">
      <c r="A525" s="1">
        <v>45745</v>
      </c>
      <c r="B525" s="2" t="s">
        <v>11</v>
      </c>
      <c r="C525">
        <v>82597.585940000004</v>
      </c>
    </row>
    <row r="526" spans="1:3" x14ac:dyDescent="0.3">
      <c r="A526" s="1">
        <v>45745</v>
      </c>
      <c r="B526" s="2" t="s">
        <v>13</v>
      </c>
      <c r="C526">
        <v>124.58765</v>
      </c>
    </row>
    <row r="527" spans="1:3" x14ac:dyDescent="0.3">
      <c r="A527" s="1">
        <v>45745</v>
      </c>
      <c r="B527" s="2" t="s">
        <v>15</v>
      </c>
      <c r="C527">
        <v>2.1399499999999998</v>
      </c>
    </row>
    <row r="528" spans="1:3" x14ac:dyDescent="0.3">
      <c r="A528" s="1">
        <v>45745</v>
      </c>
      <c r="B528" s="2" t="s">
        <v>17</v>
      </c>
      <c r="C528">
        <v>1827.3203100000001</v>
      </c>
    </row>
    <row r="529" spans="1:3" x14ac:dyDescent="0.3">
      <c r="A529" s="1">
        <v>45745</v>
      </c>
      <c r="B529" s="2" t="s">
        <v>19</v>
      </c>
      <c r="C529">
        <v>603.23784999999998</v>
      </c>
    </row>
    <row r="530" spans="1:3" x14ac:dyDescent="0.3">
      <c r="A530" s="1">
        <v>45746</v>
      </c>
      <c r="B530" s="2" t="s">
        <v>9</v>
      </c>
      <c r="C530">
        <v>0.66071000000000002</v>
      </c>
    </row>
    <row r="531" spans="1:3" x14ac:dyDescent="0.3">
      <c r="A531" s="1">
        <v>45746</v>
      </c>
      <c r="B531" s="2" t="s">
        <v>11</v>
      </c>
      <c r="C531">
        <v>82334.523440000004</v>
      </c>
    </row>
    <row r="532" spans="1:3" x14ac:dyDescent="0.3">
      <c r="A532" s="1">
        <v>45746</v>
      </c>
      <c r="B532" s="2" t="s">
        <v>13</v>
      </c>
      <c r="C532">
        <v>124.64263</v>
      </c>
    </row>
    <row r="533" spans="1:3" x14ac:dyDescent="0.3">
      <c r="A533" s="1">
        <v>45746</v>
      </c>
      <c r="B533" s="2" t="s">
        <v>15</v>
      </c>
      <c r="C533">
        <v>2.1361400000000001</v>
      </c>
    </row>
    <row r="534" spans="1:3" x14ac:dyDescent="0.3">
      <c r="A534" s="1">
        <v>45746</v>
      </c>
      <c r="B534" s="2" t="s">
        <v>17</v>
      </c>
      <c r="C534">
        <v>1806.2186300000001</v>
      </c>
    </row>
    <row r="535" spans="1:3" x14ac:dyDescent="0.3">
      <c r="A535" s="1">
        <v>45746</v>
      </c>
      <c r="B535" s="2" t="s">
        <v>19</v>
      </c>
      <c r="C535">
        <v>601.83019999999999</v>
      </c>
    </row>
    <row r="536" spans="1:3" x14ac:dyDescent="0.3">
      <c r="A536" s="1">
        <v>45747</v>
      </c>
      <c r="B536" s="2" t="s">
        <v>9</v>
      </c>
      <c r="C536">
        <v>0.66144999999999998</v>
      </c>
    </row>
    <row r="537" spans="1:3" x14ac:dyDescent="0.3">
      <c r="A537" s="1">
        <v>45747</v>
      </c>
      <c r="B537" s="2" t="s">
        <v>11</v>
      </c>
      <c r="C537">
        <v>82548.914059999996</v>
      </c>
    </row>
    <row r="538" spans="1:3" x14ac:dyDescent="0.3">
      <c r="A538" s="1">
        <v>45747</v>
      </c>
      <c r="B538" s="2" t="s">
        <v>13</v>
      </c>
      <c r="C538">
        <v>124.69413</v>
      </c>
    </row>
    <row r="539" spans="1:3" x14ac:dyDescent="0.3">
      <c r="A539" s="1">
        <v>45747</v>
      </c>
      <c r="B539" s="2" t="s">
        <v>15</v>
      </c>
      <c r="C539">
        <v>2.0899000000000001</v>
      </c>
    </row>
    <row r="540" spans="1:3" x14ac:dyDescent="0.3">
      <c r="A540" s="1">
        <v>45747</v>
      </c>
      <c r="B540" s="2" t="s">
        <v>17</v>
      </c>
      <c r="C540">
        <v>1823.4799800000001</v>
      </c>
    </row>
    <row r="541" spans="1:3" x14ac:dyDescent="0.3">
      <c r="A541" s="1">
        <v>45747</v>
      </c>
      <c r="B541" s="2" t="s">
        <v>19</v>
      </c>
      <c r="C541">
        <v>605.07281</v>
      </c>
    </row>
    <row r="542" spans="1:3" x14ac:dyDescent="0.3">
      <c r="A542" s="1">
        <v>45748</v>
      </c>
      <c r="B542" s="2" t="s">
        <v>9</v>
      </c>
      <c r="C542">
        <v>0.67764999999999997</v>
      </c>
    </row>
    <row r="543" spans="1:3" x14ac:dyDescent="0.3">
      <c r="A543" s="1">
        <v>45748</v>
      </c>
      <c r="B543" s="2" t="s">
        <v>11</v>
      </c>
      <c r="C543">
        <v>85169.171879999994</v>
      </c>
    </row>
    <row r="544" spans="1:3" x14ac:dyDescent="0.3">
      <c r="A544" s="1">
        <v>45748</v>
      </c>
      <c r="B544" s="2" t="s">
        <v>13</v>
      </c>
      <c r="C544">
        <v>126.68237999999999</v>
      </c>
    </row>
    <row r="545" spans="1:3" x14ac:dyDescent="0.3">
      <c r="A545" s="1">
        <v>45748</v>
      </c>
      <c r="B545" s="2" t="s">
        <v>15</v>
      </c>
      <c r="C545">
        <v>2.1396099999999998</v>
      </c>
    </row>
    <row r="546" spans="1:3" x14ac:dyDescent="0.3">
      <c r="A546" s="1">
        <v>45748</v>
      </c>
      <c r="B546" s="2" t="s">
        <v>17</v>
      </c>
      <c r="C546">
        <v>1905.49146</v>
      </c>
    </row>
    <row r="547" spans="1:3" x14ac:dyDescent="0.3">
      <c r="A547" s="1">
        <v>45748</v>
      </c>
      <c r="B547" s="2" t="s">
        <v>19</v>
      </c>
      <c r="C547">
        <v>611.29711999999995</v>
      </c>
    </row>
    <row r="548" spans="1:3" x14ac:dyDescent="0.3">
      <c r="A548" s="1">
        <v>45749</v>
      </c>
      <c r="B548" s="2" t="s">
        <v>9</v>
      </c>
      <c r="C548">
        <v>0.64163999999999999</v>
      </c>
    </row>
    <row r="549" spans="1:3" x14ac:dyDescent="0.3">
      <c r="A549" s="1">
        <v>45749</v>
      </c>
      <c r="B549" s="2" t="s">
        <v>11</v>
      </c>
      <c r="C549">
        <v>82485.710940000004</v>
      </c>
    </row>
    <row r="550" spans="1:3" x14ac:dyDescent="0.3">
      <c r="A550" s="1">
        <v>45749</v>
      </c>
      <c r="B550" s="2" t="s">
        <v>13</v>
      </c>
      <c r="C550">
        <v>117.75763000000001</v>
      </c>
    </row>
    <row r="551" spans="1:3" x14ac:dyDescent="0.3">
      <c r="A551" s="1">
        <v>45749</v>
      </c>
      <c r="B551" s="2" t="s">
        <v>15</v>
      </c>
      <c r="C551">
        <v>2.0250699999999999</v>
      </c>
    </row>
    <row r="552" spans="1:3" x14ac:dyDescent="0.3">
      <c r="A552" s="1">
        <v>45749</v>
      </c>
      <c r="B552" s="2" t="s">
        <v>17</v>
      </c>
      <c r="C552">
        <v>1795.31323</v>
      </c>
    </row>
    <row r="553" spans="1:3" x14ac:dyDescent="0.3">
      <c r="A553" s="1">
        <v>45749</v>
      </c>
      <c r="B553" s="2" t="s">
        <v>19</v>
      </c>
      <c r="C553">
        <v>590.63756999999998</v>
      </c>
    </row>
    <row r="554" spans="1:3" x14ac:dyDescent="0.3">
      <c r="A554" s="1">
        <v>45750</v>
      </c>
      <c r="B554" s="2" t="s">
        <v>9</v>
      </c>
      <c r="C554">
        <v>0.65005999999999997</v>
      </c>
    </row>
    <row r="555" spans="1:3" x14ac:dyDescent="0.3">
      <c r="A555" s="1">
        <v>45750</v>
      </c>
      <c r="B555" s="2" t="s">
        <v>11</v>
      </c>
      <c r="C555">
        <v>83102.828129999994</v>
      </c>
    </row>
    <row r="556" spans="1:3" x14ac:dyDescent="0.3">
      <c r="A556" s="1">
        <v>45750</v>
      </c>
      <c r="B556" s="2" t="s">
        <v>13</v>
      </c>
      <c r="C556">
        <v>117.06144999999999</v>
      </c>
    </row>
    <row r="557" spans="1:3" x14ac:dyDescent="0.3">
      <c r="A557" s="1">
        <v>45750</v>
      </c>
      <c r="B557" s="2" t="s">
        <v>15</v>
      </c>
      <c r="C557">
        <v>2.0624699999999998</v>
      </c>
    </row>
    <row r="558" spans="1:3" x14ac:dyDescent="0.3">
      <c r="A558" s="1">
        <v>45750</v>
      </c>
      <c r="B558" s="2" t="s">
        <v>17</v>
      </c>
      <c r="C558">
        <v>1815.6372100000001</v>
      </c>
    </row>
    <row r="559" spans="1:3" x14ac:dyDescent="0.3">
      <c r="A559" s="1">
        <v>45750</v>
      </c>
      <c r="B559" s="2" t="s">
        <v>19</v>
      </c>
      <c r="C559">
        <v>592.12445000000002</v>
      </c>
    </row>
    <row r="560" spans="1:3" x14ac:dyDescent="0.3">
      <c r="A560" s="1">
        <v>45751</v>
      </c>
      <c r="B560" s="2" t="s">
        <v>9</v>
      </c>
      <c r="C560">
        <v>0.66044999999999998</v>
      </c>
    </row>
    <row r="561" spans="1:3" x14ac:dyDescent="0.3">
      <c r="A561" s="1">
        <v>45751</v>
      </c>
      <c r="B561" s="2" t="s">
        <v>11</v>
      </c>
      <c r="C561">
        <v>83843.804690000004</v>
      </c>
    </row>
    <row r="562" spans="1:3" x14ac:dyDescent="0.3">
      <c r="A562" s="1">
        <v>45751</v>
      </c>
      <c r="B562" s="2" t="s">
        <v>13</v>
      </c>
      <c r="C562">
        <v>122.78688</v>
      </c>
    </row>
    <row r="563" spans="1:3" x14ac:dyDescent="0.3">
      <c r="A563" s="1">
        <v>45751</v>
      </c>
      <c r="B563" s="2" t="s">
        <v>15</v>
      </c>
      <c r="C563">
        <v>2.1289600000000002</v>
      </c>
    </row>
    <row r="564" spans="1:3" x14ac:dyDescent="0.3">
      <c r="A564" s="1">
        <v>45751</v>
      </c>
      <c r="B564" s="2" t="s">
        <v>17</v>
      </c>
      <c r="C564">
        <v>1815.33521</v>
      </c>
    </row>
    <row r="565" spans="1:3" x14ac:dyDescent="0.3">
      <c r="A565" s="1">
        <v>45751</v>
      </c>
      <c r="B565" s="2" t="s">
        <v>19</v>
      </c>
      <c r="C565">
        <v>597.57941000000005</v>
      </c>
    </row>
    <row r="566" spans="1:3" x14ac:dyDescent="0.3">
      <c r="A566" s="1">
        <v>45752</v>
      </c>
      <c r="B566" s="2" t="s">
        <v>9</v>
      </c>
      <c r="C566">
        <v>0.65466999999999997</v>
      </c>
    </row>
    <row r="567" spans="1:3" x14ac:dyDescent="0.3">
      <c r="A567" s="1">
        <v>45752</v>
      </c>
      <c r="B567" s="2" t="s">
        <v>11</v>
      </c>
      <c r="C567">
        <v>83504.796879999994</v>
      </c>
    </row>
    <row r="568" spans="1:3" x14ac:dyDescent="0.3">
      <c r="A568" s="1">
        <v>45752</v>
      </c>
      <c r="B568" s="2" t="s">
        <v>13</v>
      </c>
      <c r="C568">
        <v>120.259</v>
      </c>
    </row>
    <row r="569" spans="1:3" x14ac:dyDescent="0.3">
      <c r="A569" s="1">
        <v>45752</v>
      </c>
      <c r="B569" s="2" t="s">
        <v>15</v>
      </c>
      <c r="C569">
        <v>2.1437300000000001</v>
      </c>
    </row>
    <row r="570" spans="1:3" x14ac:dyDescent="0.3">
      <c r="A570" s="1">
        <v>45752</v>
      </c>
      <c r="B570" s="2" t="s">
        <v>17</v>
      </c>
      <c r="C570">
        <v>1805.97327</v>
      </c>
    </row>
    <row r="571" spans="1:3" x14ac:dyDescent="0.3">
      <c r="A571" s="1">
        <v>45752</v>
      </c>
      <c r="B571" s="2" t="s">
        <v>19</v>
      </c>
      <c r="C571">
        <v>593.11487</v>
      </c>
    </row>
    <row r="572" spans="1:3" x14ac:dyDescent="0.3">
      <c r="A572" s="1">
        <v>45753</v>
      </c>
      <c r="B572" s="2" t="s">
        <v>9</v>
      </c>
      <c r="C572">
        <v>0.57279000000000002</v>
      </c>
    </row>
    <row r="573" spans="1:3" x14ac:dyDescent="0.3">
      <c r="A573" s="1">
        <v>45753</v>
      </c>
      <c r="B573" s="2" t="s">
        <v>11</v>
      </c>
      <c r="C573">
        <v>78214.484379999994</v>
      </c>
    </row>
    <row r="574" spans="1:3" x14ac:dyDescent="0.3">
      <c r="A574" s="1">
        <v>45753</v>
      </c>
      <c r="B574" s="2" t="s">
        <v>13</v>
      </c>
      <c r="C574">
        <v>105.71201000000001</v>
      </c>
    </row>
    <row r="575" spans="1:3" x14ac:dyDescent="0.3">
      <c r="A575" s="1">
        <v>45753</v>
      </c>
      <c r="B575" s="2" t="s">
        <v>15</v>
      </c>
      <c r="C575">
        <v>1.9178900000000001</v>
      </c>
    </row>
    <row r="576" spans="1:3" x14ac:dyDescent="0.3">
      <c r="A576" s="1">
        <v>45753</v>
      </c>
      <c r="B576" s="2" t="s">
        <v>17</v>
      </c>
      <c r="C576">
        <v>1576.72803</v>
      </c>
    </row>
    <row r="577" spans="1:3" x14ac:dyDescent="0.3">
      <c r="A577" s="1">
        <v>45753</v>
      </c>
      <c r="B577" s="2" t="s">
        <v>19</v>
      </c>
      <c r="C577">
        <v>554.59491000000003</v>
      </c>
    </row>
    <row r="578" spans="1:3" x14ac:dyDescent="0.3">
      <c r="A578" s="1">
        <v>45754</v>
      </c>
      <c r="B578" s="2" t="s">
        <v>9</v>
      </c>
      <c r="C578">
        <v>0.58543000000000001</v>
      </c>
    </row>
    <row r="579" spans="1:3" x14ac:dyDescent="0.3">
      <c r="A579" s="1">
        <v>45754</v>
      </c>
      <c r="B579" s="2" t="s">
        <v>11</v>
      </c>
      <c r="C579">
        <v>79235.335940000004</v>
      </c>
    </row>
    <row r="580" spans="1:3" x14ac:dyDescent="0.3">
      <c r="A580" s="1">
        <v>45754</v>
      </c>
      <c r="B580" s="2" t="s">
        <v>13</v>
      </c>
      <c r="C580">
        <v>106.90278000000001</v>
      </c>
    </row>
    <row r="581" spans="1:3" x14ac:dyDescent="0.3">
      <c r="A581" s="1">
        <v>45754</v>
      </c>
      <c r="B581" s="2" t="s">
        <v>15</v>
      </c>
      <c r="C581">
        <v>1.89775</v>
      </c>
    </row>
    <row r="582" spans="1:3" x14ac:dyDescent="0.3">
      <c r="A582" s="1">
        <v>45754</v>
      </c>
      <c r="B582" s="2" t="s">
        <v>17</v>
      </c>
      <c r="C582">
        <v>1555.2409700000001</v>
      </c>
    </row>
    <row r="583" spans="1:3" x14ac:dyDescent="0.3">
      <c r="A583" s="1">
        <v>45754</v>
      </c>
      <c r="B583" s="2" t="s">
        <v>19</v>
      </c>
      <c r="C583">
        <v>554.48339999999996</v>
      </c>
    </row>
    <row r="584" spans="1:3" x14ac:dyDescent="0.3">
      <c r="A584" s="1">
        <v>45755</v>
      </c>
      <c r="B584" s="2" t="s">
        <v>9</v>
      </c>
      <c r="C584">
        <v>0.55789</v>
      </c>
    </row>
    <row r="585" spans="1:3" x14ac:dyDescent="0.3">
      <c r="A585" s="1">
        <v>45755</v>
      </c>
      <c r="B585" s="2" t="s">
        <v>11</v>
      </c>
      <c r="C585">
        <v>76271.953129999994</v>
      </c>
    </row>
    <row r="586" spans="1:3" x14ac:dyDescent="0.3">
      <c r="A586" s="1">
        <v>45755</v>
      </c>
      <c r="B586" s="2" t="s">
        <v>13</v>
      </c>
      <c r="C586">
        <v>105.51219</v>
      </c>
    </row>
    <row r="587" spans="1:3" x14ac:dyDescent="0.3">
      <c r="A587" s="1">
        <v>45755</v>
      </c>
      <c r="B587" s="2" t="s">
        <v>15</v>
      </c>
      <c r="C587">
        <v>1.79457</v>
      </c>
    </row>
    <row r="588" spans="1:3" x14ac:dyDescent="0.3">
      <c r="A588" s="1">
        <v>45755</v>
      </c>
      <c r="B588" s="2" t="s">
        <v>17</v>
      </c>
      <c r="C588">
        <v>1472.5531000000001</v>
      </c>
    </row>
    <row r="589" spans="1:3" x14ac:dyDescent="0.3">
      <c r="A589" s="1">
        <v>45755</v>
      </c>
      <c r="B589" s="2" t="s">
        <v>19</v>
      </c>
      <c r="C589">
        <v>553.46740999999997</v>
      </c>
    </row>
    <row r="590" spans="1:3" x14ac:dyDescent="0.3">
      <c r="A590" s="1">
        <v>45756</v>
      </c>
      <c r="B590" s="2" t="s">
        <v>9</v>
      </c>
      <c r="C590">
        <v>0.63168000000000002</v>
      </c>
    </row>
    <row r="591" spans="1:3" x14ac:dyDescent="0.3">
      <c r="A591" s="1">
        <v>45756</v>
      </c>
      <c r="B591" s="2" t="s">
        <v>11</v>
      </c>
      <c r="C591">
        <v>82573.953129999994</v>
      </c>
    </row>
    <row r="592" spans="1:3" x14ac:dyDescent="0.3">
      <c r="A592" s="1">
        <v>45756</v>
      </c>
      <c r="B592" s="2" t="s">
        <v>13</v>
      </c>
      <c r="C592">
        <v>119.05754</v>
      </c>
    </row>
    <row r="593" spans="1:3" x14ac:dyDescent="0.3">
      <c r="A593" s="1">
        <v>45756</v>
      </c>
      <c r="B593" s="2" t="s">
        <v>15</v>
      </c>
      <c r="C593">
        <v>2.0517400000000001</v>
      </c>
    </row>
    <row r="594" spans="1:3" x14ac:dyDescent="0.3">
      <c r="A594" s="1">
        <v>45756</v>
      </c>
      <c r="B594" s="2" t="s">
        <v>17</v>
      </c>
      <c r="C594">
        <v>1668.0400400000001</v>
      </c>
    </row>
    <row r="595" spans="1:3" x14ac:dyDescent="0.3">
      <c r="A595" s="1">
        <v>45756</v>
      </c>
      <c r="B595" s="2" t="s">
        <v>19</v>
      </c>
      <c r="C595">
        <v>582.36932000000002</v>
      </c>
    </row>
    <row r="596" spans="1:3" x14ac:dyDescent="0.3">
      <c r="A596" s="1">
        <v>45757</v>
      </c>
      <c r="B596" s="2" t="s">
        <v>9</v>
      </c>
      <c r="C596">
        <v>0.60938999999999999</v>
      </c>
    </row>
    <row r="597" spans="1:3" x14ac:dyDescent="0.3">
      <c r="A597" s="1">
        <v>45757</v>
      </c>
      <c r="B597" s="2" t="s">
        <v>11</v>
      </c>
      <c r="C597">
        <v>79626.140629999994</v>
      </c>
    </row>
    <row r="598" spans="1:3" x14ac:dyDescent="0.3">
      <c r="A598" s="1">
        <v>45757</v>
      </c>
      <c r="B598" s="2" t="s">
        <v>13</v>
      </c>
      <c r="C598">
        <v>112.80392000000001</v>
      </c>
    </row>
    <row r="599" spans="1:3" x14ac:dyDescent="0.3">
      <c r="A599" s="1">
        <v>45757</v>
      </c>
      <c r="B599" s="2" t="s">
        <v>15</v>
      </c>
      <c r="C599">
        <v>1.96648</v>
      </c>
    </row>
    <row r="600" spans="1:3" x14ac:dyDescent="0.3">
      <c r="A600" s="1">
        <v>45757</v>
      </c>
      <c r="B600" s="2" t="s">
        <v>17</v>
      </c>
      <c r="C600">
        <v>1522.5188000000001</v>
      </c>
    </row>
    <row r="601" spans="1:3" x14ac:dyDescent="0.3">
      <c r="A601" s="1">
        <v>45757</v>
      </c>
      <c r="B601" s="2" t="s">
        <v>19</v>
      </c>
      <c r="C601">
        <v>577.40593999999999</v>
      </c>
    </row>
    <row r="602" spans="1:3" x14ac:dyDescent="0.3">
      <c r="A602" s="1">
        <v>45758</v>
      </c>
      <c r="B602" s="2" t="s">
        <v>9</v>
      </c>
      <c r="C602">
        <v>0.62417</v>
      </c>
    </row>
    <row r="603" spans="1:3" x14ac:dyDescent="0.3">
      <c r="A603" s="1">
        <v>45758</v>
      </c>
      <c r="B603" s="2" t="s">
        <v>11</v>
      </c>
      <c r="C603">
        <v>83404.835940000004</v>
      </c>
    </row>
    <row r="604" spans="1:3" x14ac:dyDescent="0.3">
      <c r="A604" s="1">
        <v>45758</v>
      </c>
      <c r="B604" s="2" t="s">
        <v>13</v>
      </c>
      <c r="C604">
        <v>121.53238</v>
      </c>
    </row>
    <row r="605" spans="1:3" x14ac:dyDescent="0.3">
      <c r="A605" s="1">
        <v>45758</v>
      </c>
      <c r="B605" s="2" t="s">
        <v>15</v>
      </c>
      <c r="C605">
        <v>2.0238900000000002</v>
      </c>
    </row>
    <row r="606" spans="1:3" x14ac:dyDescent="0.3">
      <c r="A606" s="1">
        <v>45758</v>
      </c>
      <c r="B606" s="2" t="s">
        <v>17</v>
      </c>
      <c r="C606">
        <v>1567.14978</v>
      </c>
    </row>
    <row r="607" spans="1:3" x14ac:dyDescent="0.3">
      <c r="A607" s="1">
        <v>45758</v>
      </c>
      <c r="B607" s="2" t="s">
        <v>19</v>
      </c>
      <c r="C607">
        <v>586.08898999999997</v>
      </c>
    </row>
    <row r="608" spans="1:3" x14ac:dyDescent="0.3">
      <c r="A608" s="1">
        <v>45759</v>
      </c>
      <c r="B608" s="2" t="s">
        <v>9</v>
      </c>
      <c r="C608">
        <v>0.65885000000000005</v>
      </c>
    </row>
    <row r="609" spans="1:3" x14ac:dyDescent="0.3">
      <c r="A609" s="1">
        <v>45759</v>
      </c>
      <c r="B609" s="2" t="s">
        <v>11</v>
      </c>
      <c r="C609">
        <v>85287.109379999994</v>
      </c>
    </row>
    <row r="610" spans="1:3" x14ac:dyDescent="0.3">
      <c r="A610" s="1">
        <v>45759</v>
      </c>
      <c r="B610" s="2" t="s">
        <v>13</v>
      </c>
      <c r="C610">
        <v>132.26056</v>
      </c>
    </row>
    <row r="611" spans="1:3" x14ac:dyDescent="0.3">
      <c r="A611" s="1">
        <v>45759</v>
      </c>
      <c r="B611" s="2" t="s">
        <v>15</v>
      </c>
      <c r="C611">
        <v>2.15862</v>
      </c>
    </row>
    <row r="612" spans="1:3" x14ac:dyDescent="0.3">
      <c r="A612" s="1">
        <v>45759</v>
      </c>
      <c r="B612" s="2" t="s">
        <v>17</v>
      </c>
      <c r="C612">
        <v>1643.52856</v>
      </c>
    </row>
    <row r="613" spans="1:3" x14ac:dyDescent="0.3">
      <c r="A613" s="1">
        <v>45759</v>
      </c>
      <c r="B613" s="2" t="s">
        <v>19</v>
      </c>
      <c r="C613">
        <v>597.12305000000003</v>
      </c>
    </row>
    <row r="614" spans="1:3" x14ac:dyDescent="0.3">
      <c r="A614" s="1">
        <v>45760</v>
      </c>
      <c r="B614" s="2" t="s">
        <v>9</v>
      </c>
      <c r="C614">
        <v>0.63807000000000003</v>
      </c>
    </row>
    <row r="615" spans="1:3" x14ac:dyDescent="0.3">
      <c r="A615" s="1">
        <v>45760</v>
      </c>
      <c r="B615" s="2" t="s">
        <v>11</v>
      </c>
      <c r="C615">
        <v>83684.976559999996</v>
      </c>
    </row>
    <row r="616" spans="1:3" x14ac:dyDescent="0.3">
      <c r="A616" s="1">
        <v>45760</v>
      </c>
      <c r="B616" s="2" t="s">
        <v>13</v>
      </c>
      <c r="C616">
        <v>128.58080000000001</v>
      </c>
    </row>
    <row r="617" spans="1:3" x14ac:dyDescent="0.3">
      <c r="A617" s="1">
        <v>45760</v>
      </c>
      <c r="B617" s="2" t="s">
        <v>15</v>
      </c>
      <c r="C617">
        <v>2.1202000000000001</v>
      </c>
    </row>
    <row r="618" spans="1:3" x14ac:dyDescent="0.3">
      <c r="A618" s="1">
        <v>45760</v>
      </c>
      <c r="B618" s="2" t="s">
        <v>17</v>
      </c>
      <c r="C618">
        <v>1596.68579</v>
      </c>
    </row>
    <row r="619" spans="1:3" x14ac:dyDescent="0.3">
      <c r="A619" s="1">
        <v>45760</v>
      </c>
      <c r="B619" s="2" t="s">
        <v>19</v>
      </c>
      <c r="C619">
        <v>584.04247999999995</v>
      </c>
    </row>
    <row r="620" spans="1:3" x14ac:dyDescent="0.3">
      <c r="A620" s="1">
        <v>45761</v>
      </c>
      <c r="B620" s="2" t="s">
        <v>9</v>
      </c>
      <c r="C620">
        <v>0.63487000000000005</v>
      </c>
    </row>
    <row r="621" spans="1:3" x14ac:dyDescent="0.3">
      <c r="A621" s="1">
        <v>45761</v>
      </c>
      <c r="B621" s="2" t="s">
        <v>11</v>
      </c>
      <c r="C621">
        <v>84542.390629999994</v>
      </c>
    </row>
    <row r="622" spans="1:3" x14ac:dyDescent="0.3">
      <c r="A622" s="1">
        <v>45761</v>
      </c>
      <c r="B622" s="2" t="s">
        <v>13</v>
      </c>
      <c r="C622">
        <v>129.31038000000001</v>
      </c>
    </row>
    <row r="623" spans="1:3" x14ac:dyDescent="0.3">
      <c r="A623" s="1">
        <v>45761</v>
      </c>
      <c r="B623" s="2" t="s">
        <v>15</v>
      </c>
      <c r="C623">
        <v>2.1267499999999999</v>
      </c>
    </row>
    <row r="624" spans="1:3" x14ac:dyDescent="0.3">
      <c r="A624" s="1">
        <v>45761</v>
      </c>
      <c r="B624" s="2" t="s">
        <v>17</v>
      </c>
      <c r="C624">
        <v>1622.7699</v>
      </c>
    </row>
    <row r="625" spans="1:3" x14ac:dyDescent="0.3">
      <c r="A625" s="1">
        <v>45761</v>
      </c>
      <c r="B625" s="2" t="s">
        <v>19</v>
      </c>
      <c r="C625">
        <v>584.33520999999996</v>
      </c>
    </row>
    <row r="626" spans="1:3" x14ac:dyDescent="0.3">
      <c r="A626" s="1">
        <v>45762</v>
      </c>
      <c r="B626" s="2" t="s">
        <v>9</v>
      </c>
      <c r="C626">
        <v>0.60916000000000003</v>
      </c>
    </row>
    <row r="627" spans="1:3" x14ac:dyDescent="0.3">
      <c r="A627" s="1">
        <v>45762</v>
      </c>
      <c r="B627" s="2" t="s">
        <v>11</v>
      </c>
      <c r="C627">
        <v>83668.992190000004</v>
      </c>
    </row>
    <row r="628" spans="1:3" x14ac:dyDescent="0.3">
      <c r="A628" s="1">
        <v>45762</v>
      </c>
      <c r="B628" s="2" t="s">
        <v>13</v>
      </c>
      <c r="C628">
        <v>126.26313</v>
      </c>
    </row>
    <row r="629" spans="1:3" x14ac:dyDescent="0.3">
      <c r="A629" s="1">
        <v>45762</v>
      </c>
      <c r="B629" s="2" t="s">
        <v>15</v>
      </c>
      <c r="C629">
        <v>2.0885500000000001</v>
      </c>
    </row>
    <row r="630" spans="1:3" x14ac:dyDescent="0.3">
      <c r="A630" s="1">
        <v>45762</v>
      </c>
      <c r="B630" s="2" t="s">
        <v>17</v>
      </c>
      <c r="C630">
        <v>1588.6324500000001</v>
      </c>
    </row>
    <row r="631" spans="1:3" x14ac:dyDescent="0.3">
      <c r="A631" s="1">
        <v>45762</v>
      </c>
      <c r="B631" s="2" t="s">
        <v>19</v>
      </c>
      <c r="C631">
        <v>579.68604000000005</v>
      </c>
    </row>
    <row r="632" spans="1:3" x14ac:dyDescent="0.3">
      <c r="A632" s="1">
        <v>45763</v>
      </c>
      <c r="B632" s="2" t="s">
        <v>9</v>
      </c>
      <c r="C632">
        <v>0.61041999999999996</v>
      </c>
    </row>
    <row r="633" spans="1:3" x14ac:dyDescent="0.3">
      <c r="A633" s="1">
        <v>45763</v>
      </c>
      <c r="B633" s="2" t="s">
        <v>11</v>
      </c>
      <c r="C633">
        <v>84033.867190000004</v>
      </c>
    </row>
    <row r="634" spans="1:3" x14ac:dyDescent="0.3">
      <c r="A634" s="1">
        <v>45763</v>
      </c>
      <c r="B634" s="2" t="s">
        <v>13</v>
      </c>
      <c r="C634">
        <v>131.44969</v>
      </c>
    </row>
    <row r="635" spans="1:3" x14ac:dyDescent="0.3">
      <c r="A635" s="1">
        <v>45763</v>
      </c>
      <c r="B635" s="2" t="s">
        <v>15</v>
      </c>
      <c r="C635">
        <v>2.08324</v>
      </c>
    </row>
    <row r="636" spans="1:3" x14ac:dyDescent="0.3">
      <c r="A636" s="1">
        <v>45763</v>
      </c>
      <c r="B636" s="2" t="s">
        <v>17</v>
      </c>
      <c r="C636">
        <v>1578.10535</v>
      </c>
    </row>
    <row r="637" spans="1:3" x14ac:dyDescent="0.3">
      <c r="A637" s="1">
        <v>45763</v>
      </c>
      <c r="B637" s="2" t="s">
        <v>19</v>
      </c>
      <c r="C637">
        <v>582.80620999999996</v>
      </c>
    </row>
    <row r="638" spans="1:3" x14ac:dyDescent="0.3">
      <c r="A638" s="1">
        <v>45764</v>
      </c>
      <c r="B638" s="2" t="s">
        <v>9</v>
      </c>
      <c r="C638">
        <v>0.61629999999999996</v>
      </c>
    </row>
    <row r="639" spans="1:3" x14ac:dyDescent="0.3">
      <c r="A639" s="1">
        <v>45764</v>
      </c>
      <c r="B639" s="2" t="s">
        <v>11</v>
      </c>
      <c r="C639">
        <v>84895.75</v>
      </c>
    </row>
    <row r="640" spans="1:3" x14ac:dyDescent="0.3">
      <c r="A640" s="1">
        <v>45764</v>
      </c>
      <c r="B640" s="2" t="s">
        <v>13</v>
      </c>
      <c r="C640">
        <v>134.69874999999999</v>
      </c>
    </row>
    <row r="641" spans="1:3" x14ac:dyDescent="0.3">
      <c r="A641" s="1">
        <v>45764</v>
      </c>
      <c r="B641" s="2" t="s">
        <v>15</v>
      </c>
      <c r="C641">
        <v>2.0664199999999999</v>
      </c>
    </row>
    <row r="642" spans="1:3" x14ac:dyDescent="0.3">
      <c r="A642" s="1">
        <v>45764</v>
      </c>
      <c r="B642" s="2" t="s">
        <v>17</v>
      </c>
      <c r="C642">
        <v>1582.5483400000001</v>
      </c>
    </row>
    <row r="643" spans="1:3" x14ac:dyDescent="0.3">
      <c r="A643" s="1">
        <v>45764</v>
      </c>
      <c r="B643" s="2" t="s">
        <v>19</v>
      </c>
      <c r="C643">
        <v>590.16216999999995</v>
      </c>
    </row>
    <row r="644" spans="1:3" x14ac:dyDescent="0.3">
      <c r="A644" s="1">
        <v>45765</v>
      </c>
      <c r="B644" s="2" t="s">
        <v>9</v>
      </c>
      <c r="C644">
        <v>0.62744</v>
      </c>
    </row>
    <row r="645" spans="1:3" x14ac:dyDescent="0.3">
      <c r="A645" s="1">
        <v>45765</v>
      </c>
      <c r="B645" s="2" t="s">
        <v>11</v>
      </c>
      <c r="C645">
        <v>84450.804690000004</v>
      </c>
    </row>
    <row r="646" spans="1:3" x14ac:dyDescent="0.3">
      <c r="A646" s="1">
        <v>45765</v>
      </c>
      <c r="B646" s="2" t="s">
        <v>13</v>
      </c>
      <c r="C646">
        <v>134.0735</v>
      </c>
    </row>
    <row r="647" spans="1:3" x14ac:dyDescent="0.3">
      <c r="A647" s="1">
        <v>45765</v>
      </c>
      <c r="B647" s="2" t="s">
        <v>15</v>
      </c>
      <c r="C647">
        <v>2.0635300000000001</v>
      </c>
    </row>
    <row r="648" spans="1:3" x14ac:dyDescent="0.3">
      <c r="A648" s="1">
        <v>45765</v>
      </c>
      <c r="B648" s="2" t="s">
        <v>17</v>
      </c>
      <c r="C648">
        <v>1588.9246800000001</v>
      </c>
    </row>
    <row r="649" spans="1:3" x14ac:dyDescent="0.3">
      <c r="A649" s="1">
        <v>45765</v>
      </c>
      <c r="B649" s="2" t="s">
        <v>19</v>
      </c>
      <c r="C649">
        <v>591.76386000000002</v>
      </c>
    </row>
    <row r="650" spans="1:3" x14ac:dyDescent="0.3">
      <c r="A650" s="1">
        <v>45766</v>
      </c>
      <c r="B650" s="2" t="s">
        <v>9</v>
      </c>
      <c r="C650">
        <v>0.62795000000000001</v>
      </c>
    </row>
    <row r="651" spans="1:3" x14ac:dyDescent="0.3">
      <c r="A651" s="1">
        <v>45766</v>
      </c>
      <c r="B651" s="2" t="s">
        <v>11</v>
      </c>
      <c r="C651">
        <v>85063.414059999996</v>
      </c>
    </row>
    <row r="652" spans="1:3" x14ac:dyDescent="0.3">
      <c r="A652" s="1">
        <v>45766</v>
      </c>
      <c r="B652" s="2" t="s">
        <v>13</v>
      </c>
      <c r="C652">
        <v>139.75026</v>
      </c>
    </row>
    <row r="653" spans="1:3" x14ac:dyDescent="0.3">
      <c r="A653" s="1">
        <v>45766</v>
      </c>
      <c r="B653" s="2" t="s">
        <v>15</v>
      </c>
      <c r="C653">
        <v>2.0873200000000001</v>
      </c>
    </row>
    <row r="654" spans="1:3" x14ac:dyDescent="0.3">
      <c r="A654" s="1">
        <v>45766</v>
      </c>
      <c r="B654" s="2" t="s">
        <v>17</v>
      </c>
      <c r="C654">
        <v>1612.9228499999999</v>
      </c>
    </row>
    <row r="655" spans="1:3" x14ac:dyDescent="0.3">
      <c r="A655" s="1">
        <v>45766</v>
      </c>
      <c r="B655" s="2" t="s">
        <v>19</v>
      </c>
      <c r="C655">
        <v>591.77679000000001</v>
      </c>
    </row>
    <row r="656" spans="1:3" x14ac:dyDescent="0.3">
      <c r="A656" s="1">
        <v>45767</v>
      </c>
      <c r="B656" s="2" t="s">
        <v>9</v>
      </c>
      <c r="C656">
        <v>0.61978</v>
      </c>
    </row>
    <row r="657" spans="1:3" x14ac:dyDescent="0.3">
      <c r="A657" s="1">
        <v>45767</v>
      </c>
      <c r="B657" s="2" t="s">
        <v>11</v>
      </c>
      <c r="C657">
        <v>85174.304690000004</v>
      </c>
    </row>
    <row r="658" spans="1:3" x14ac:dyDescent="0.3">
      <c r="A658" s="1">
        <v>45767</v>
      </c>
      <c r="B658" s="2" t="s">
        <v>13</v>
      </c>
      <c r="C658">
        <v>137.77459999999999</v>
      </c>
    </row>
    <row r="659" spans="1:3" x14ac:dyDescent="0.3">
      <c r="A659" s="1">
        <v>45767</v>
      </c>
      <c r="B659" s="2" t="s">
        <v>15</v>
      </c>
      <c r="C659">
        <v>2.077</v>
      </c>
    </row>
    <row r="660" spans="1:3" x14ac:dyDescent="0.3">
      <c r="A660" s="1">
        <v>45767</v>
      </c>
      <c r="B660" s="2" t="s">
        <v>17</v>
      </c>
      <c r="C660">
        <v>1587.5142800000001</v>
      </c>
    </row>
    <row r="661" spans="1:3" x14ac:dyDescent="0.3">
      <c r="A661" s="1">
        <v>45767</v>
      </c>
      <c r="B661" s="2" t="s">
        <v>19</v>
      </c>
      <c r="C661">
        <v>592.97240999999997</v>
      </c>
    </row>
    <row r="662" spans="1:3" x14ac:dyDescent="0.3">
      <c r="A662" s="1">
        <v>45768</v>
      </c>
      <c r="B662" s="2" t="s">
        <v>9</v>
      </c>
      <c r="C662">
        <v>0.62394000000000005</v>
      </c>
    </row>
    <row r="663" spans="1:3" x14ac:dyDescent="0.3">
      <c r="A663" s="1">
        <v>45768</v>
      </c>
      <c r="B663" s="2" t="s">
        <v>11</v>
      </c>
      <c r="C663">
        <v>87518.90625</v>
      </c>
    </row>
    <row r="664" spans="1:3" x14ac:dyDescent="0.3">
      <c r="A664" s="1">
        <v>45768</v>
      </c>
      <c r="B664" s="2" t="s">
        <v>13</v>
      </c>
      <c r="C664">
        <v>136.70438999999999</v>
      </c>
    </row>
    <row r="665" spans="1:3" x14ac:dyDescent="0.3">
      <c r="A665" s="1">
        <v>45768</v>
      </c>
      <c r="B665" s="2" t="s">
        <v>15</v>
      </c>
      <c r="C665">
        <v>2.0855199999999998</v>
      </c>
    </row>
    <row r="666" spans="1:3" x14ac:dyDescent="0.3">
      <c r="A666" s="1">
        <v>45768</v>
      </c>
      <c r="B666" s="2" t="s">
        <v>17</v>
      </c>
      <c r="C666">
        <v>1579.7345</v>
      </c>
    </row>
    <row r="667" spans="1:3" x14ac:dyDescent="0.3">
      <c r="A667" s="1">
        <v>45768</v>
      </c>
      <c r="B667" s="2" t="s">
        <v>19</v>
      </c>
      <c r="C667">
        <v>597.41417999999999</v>
      </c>
    </row>
    <row r="668" spans="1:3" x14ac:dyDescent="0.3">
      <c r="A668" s="1">
        <v>45769</v>
      </c>
      <c r="B668" s="2" t="s">
        <v>9</v>
      </c>
      <c r="C668">
        <v>0.6804</v>
      </c>
    </row>
    <row r="669" spans="1:3" x14ac:dyDescent="0.3">
      <c r="A669" s="1">
        <v>45769</v>
      </c>
      <c r="B669" s="2" t="s">
        <v>11</v>
      </c>
      <c r="C669">
        <v>93441.890629999994</v>
      </c>
    </row>
    <row r="670" spans="1:3" x14ac:dyDescent="0.3">
      <c r="A670" s="1">
        <v>45769</v>
      </c>
      <c r="B670" s="2" t="s">
        <v>13</v>
      </c>
      <c r="C670">
        <v>148.73940999999999</v>
      </c>
    </row>
    <row r="671" spans="1:3" x14ac:dyDescent="0.3">
      <c r="A671" s="1">
        <v>45769</v>
      </c>
      <c r="B671" s="2" t="s">
        <v>15</v>
      </c>
      <c r="C671">
        <v>2.2154699999999998</v>
      </c>
    </row>
    <row r="672" spans="1:3" x14ac:dyDescent="0.3">
      <c r="A672" s="1">
        <v>45769</v>
      </c>
      <c r="B672" s="2" t="s">
        <v>17</v>
      </c>
      <c r="C672">
        <v>1757.33167</v>
      </c>
    </row>
    <row r="673" spans="1:3" x14ac:dyDescent="0.3">
      <c r="A673" s="1">
        <v>45769</v>
      </c>
      <c r="B673" s="2" t="s">
        <v>19</v>
      </c>
      <c r="C673">
        <v>618.82696999999996</v>
      </c>
    </row>
    <row r="674" spans="1:3" x14ac:dyDescent="0.3">
      <c r="A674" s="1">
        <v>45770</v>
      </c>
      <c r="B674" s="2" t="s">
        <v>9</v>
      </c>
      <c r="C674">
        <v>0.69757000000000002</v>
      </c>
    </row>
    <row r="675" spans="1:3" x14ac:dyDescent="0.3">
      <c r="A675" s="1">
        <v>45770</v>
      </c>
      <c r="B675" s="2" t="s">
        <v>11</v>
      </c>
      <c r="C675">
        <v>93699.109379999994</v>
      </c>
    </row>
    <row r="676" spans="1:3" x14ac:dyDescent="0.3">
      <c r="A676" s="1">
        <v>45770</v>
      </c>
      <c r="B676" s="2" t="s">
        <v>13</v>
      </c>
      <c r="C676">
        <v>151.15272999999999</v>
      </c>
    </row>
    <row r="677" spans="1:3" x14ac:dyDescent="0.3">
      <c r="A677" s="1">
        <v>45770</v>
      </c>
      <c r="B677" s="2" t="s">
        <v>15</v>
      </c>
      <c r="C677">
        <v>2.2173600000000002</v>
      </c>
    </row>
    <row r="678" spans="1:3" x14ac:dyDescent="0.3">
      <c r="A678" s="1">
        <v>45770</v>
      </c>
      <c r="B678" s="2" t="s">
        <v>17</v>
      </c>
      <c r="C678">
        <v>1796.1042500000001</v>
      </c>
    </row>
    <row r="679" spans="1:3" x14ac:dyDescent="0.3">
      <c r="A679" s="1">
        <v>45770</v>
      </c>
      <c r="B679" s="2" t="s">
        <v>19</v>
      </c>
      <c r="C679">
        <v>605.81500000000005</v>
      </c>
    </row>
    <row r="680" spans="1:3" x14ac:dyDescent="0.3">
      <c r="A680" s="1">
        <v>45771</v>
      </c>
      <c r="B680" s="2" t="s">
        <v>9</v>
      </c>
      <c r="C680">
        <v>0.72182999999999997</v>
      </c>
    </row>
    <row r="681" spans="1:3" x14ac:dyDescent="0.3">
      <c r="A681" s="1">
        <v>45771</v>
      </c>
      <c r="B681" s="2" t="s">
        <v>11</v>
      </c>
      <c r="C681">
        <v>93943.796879999994</v>
      </c>
    </row>
    <row r="682" spans="1:3" x14ac:dyDescent="0.3">
      <c r="A682" s="1">
        <v>45771</v>
      </c>
      <c r="B682" s="2" t="s">
        <v>13</v>
      </c>
      <c r="C682">
        <v>152.30363</v>
      </c>
    </row>
    <row r="683" spans="1:3" x14ac:dyDescent="0.3">
      <c r="A683" s="1">
        <v>45771</v>
      </c>
      <c r="B683" s="2" t="s">
        <v>15</v>
      </c>
      <c r="C683">
        <v>2.2045400000000002</v>
      </c>
    </row>
    <row r="684" spans="1:3" x14ac:dyDescent="0.3">
      <c r="A684" s="1">
        <v>45771</v>
      </c>
      <c r="B684" s="2" t="s">
        <v>17</v>
      </c>
      <c r="C684">
        <v>1769.83167</v>
      </c>
    </row>
    <row r="685" spans="1:3" x14ac:dyDescent="0.3">
      <c r="A685" s="1">
        <v>45771</v>
      </c>
      <c r="B685" s="2" t="s">
        <v>19</v>
      </c>
      <c r="C685">
        <v>601.71582000000001</v>
      </c>
    </row>
    <row r="686" spans="1:3" x14ac:dyDescent="0.3">
      <c r="A686" s="1">
        <v>45772</v>
      </c>
      <c r="B686" s="2" t="s">
        <v>9</v>
      </c>
      <c r="C686">
        <v>0.71414</v>
      </c>
    </row>
    <row r="687" spans="1:3" x14ac:dyDescent="0.3">
      <c r="A687" s="1">
        <v>45772</v>
      </c>
      <c r="B687" s="2" t="s">
        <v>11</v>
      </c>
      <c r="C687">
        <v>94720.5</v>
      </c>
    </row>
    <row r="688" spans="1:3" x14ac:dyDescent="0.3">
      <c r="A688" s="1">
        <v>45772</v>
      </c>
      <c r="B688" s="2" t="s">
        <v>13</v>
      </c>
      <c r="C688">
        <v>150.91501</v>
      </c>
    </row>
    <row r="689" spans="1:3" x14ac:dyDescent="0.3">
      <c r="A689" s="1">
        <v>45772</v>
      </c>
      <c r="B689" s="2" t="s">
        <v>15</v>
      </c>
      <c r="C689">
        <v>2.1830500000000002</v>
      </c>
    </row>
    <row r="690" spans="1:3" x14ac:dyDescent="0.3">
      <c r="A690" s="1">
        <v>45772</v>
      </c>
      <c r="B690" s="2" t="s">
        <v>17</v>
      </c>
      <c r="C690">
        <v>1786.6345200000001</v>
      </c>
    </row>
    <row r="691" spans="1:3" x14ac:dyDescent="0.3">
      <c r="A691" s="1">
        <v>45772</v>
      </c>
      <c r="B691" s="2" t="s">
        <v>19</v>
      </c>
      <c r="C691">
        <v>600.18102999999996</v>
      </c>
    </row>
    <row r="692" spans="1:3" x14ac:dyDescent="0.3">
      <c r="A692" s="1">
        <v>45773</v>
      </c>
      <c r="B692" s="2" t="s">
        <v>9</v>
      </c>
      <c r="C692">
        <v>0.70752000000000004</v>
      </c>
    </row>
    <row r="693" spans="1:3" x14ac:dyDescent="0.3">
      <c r="A693" s="1">
        <v>45773</v>
      </c>
      <c r="B693" s="2" t="s">
        <v>11</v>
      </c>
      <c r="C693">
        <v>94646.929690000004</v>
      </c>
    </row>
    <row r="694" spans="1:3" x14ac:dyDescent="0.3">
      <c r="A694" s="1">
        <v>45773</v>
      </c>
      <c r="B694" s="2" t="s">
        <v>13</v>
      </c>
      <c r="C694">
        <v>149.28936999999999</v>
      </c>
    </row>
    <row r="695" spans="1:3" x14ac:dyDescent="0.3">
      <c r="A695" s="1">
        <v>45773</v>
      </c>
      <c r="B695" s="2" t="s">
        <v>15</v>
      </c>
      <c r="C695">
        <v>2.19319</v>
      </c>
    </row>
    <row r="696" spans="1:3" x14ac:dyDescent="0.3">
      <c r="A696" s="1">
        <v>45773</v>
      </c>
      <c r="B696" s="2" t="s">
        <v>17</v>
      </c>
      <c r="C696">
        <v>1821.8811000000001</v>
      </c>
    </row>
    <row r="697" spans="1:3" x14ac:dyDescent="0.3">
      <c r="A697" s="1">
        <v>45773</v>
      </c>
      <c r="B697" s="2" t="s">
        <v>19</v>
      </c>
      <c r="C697">
        <v>607.70410000000004</v>
      </c>
    </row>
    <row r="698" spans="1:3" x14ac:dyDescent="0.3">
      <c r="A698" s="1">
        <v>45774</v>
      </c>
      <c r="B698" s="2" t="s">
        <v>9</v>
      </c>
      <c r="C698">
        <v>0.70398000000000005</v>
      </c>
    </row>
    <row r="699" spans="1:3" x14ac:dyDescent="0.3">
      <c r="A699" s="1">
        <v>45774</v>
      </c>
      <c r="B699" s="2" t="s">
        <v>11</v>
      </c>
      <c r="C699">
        <v>93754.84375</v>
      </c>
    </row>
    <row r="700" spans="1:3" x14ac:dyDescent="0.3">
      <c r="A700" s="1">
        <v>45774</v>
      </c>
      <c r="B700" s="2" t="s">
        <v>13</v>
      </c>
      <c r="C700">
        <v>148.24583000000001</v>
      </c>
    </row>
    <row r="701" spans="1:3" x14ac:dyDescent="0.3">
      <c r="A701" s="1">
        <v>45774</v>
      </c>
      <c r="B701" s="2" t="s">
        <v>15</v>
      </c>
      <c r="C701">
        <v>2.25624</v>
      </c>
    </row>
    <row r="702" spans="1:3" x14ac:dyDescent="0.3">
      <c r="A702" s="1">
        <v>45774</v>
      </c>
      <c r="B702" s="2" t="s">
        <v>17</v>
      </c>
      <c r="C702">
        <v>1792.86499</v>
      </c>
    </row>
    <row r="703" spans="1:3" x14ac:dyDescent="0.3">
      <c r="A703" s="1">
        <v>45774</v>
      </c>
      <c r="B703" s="2" t="s">
        <v>19</v>
      </c>
      <c r="C703">
        <v>603.61847</v>
      </c>
    </row>
    <row r="704" spans="1:3" x14ac:dyDescent="0.3">
      <c r="A704" s="1">
        <v>45775</v>
      </c>
      <c r="B704" s="2" t="s">
        <v>9</v>
      </c>
      <c r="C704">
        <v>0.70548</v>
      </c>
    </row>
    <row r="705" spans="1:3" x14ac:dyDescent="0.3">
      <c r="A705" s="1">
        <v>45775</v>
      </c>
      <c r="B705" s="2" t="s">
        <v>11</v>
      </c>
      <c r="C705">
        <v>94978.75</v>
      </c>
    </row>
    <row r="706" spans="1:3" x14ac:dyDescent="0.3">
      <c r="A706" s="1">
        <v>45775</v>
      </c>
      <c r="B706" s="2" t="s">
        <v>13</v>
      </c>
      <c r="C706">
        <v>147.80994000000001</v>
      </c>
    </row>
    <row r="707" spans="1:3" x14ac:dyDescent="0.3">
      <c r="A707" s="1">
        <v>45775</v>
      </c>
      <c r="B707" s="2" t="s">
        <v>15</v>
      </c>
      <c r="C707">
        <v>2.29514</v>
      </c>
    </row>
    <row r="708" spans="1:3" x14ac:dyDescent="0.3">
      <c r="A708" s="1">
        <v>45775</v>
      </c>
      <c r="B708" s="2" t="s">
        <v>17</v>
      </c>
      <c r="C708">
        <v>1798.8518099999999</v>
      </c>
    </row>
    <row r="709" spans="1:3" x14ac:dyDescent="0.3">
      <c r="A709" s="1">
        <v>45775</v>
      </c>
      <c r="B709" s="2" t="s">
        <v>19</v>
      </c>
      <c r="C709">
        <v>606.36499000000003</v>
      </c>
    </row>
    <row r="710" spans="1:3" x14ac:dyDescent="0.3">
      <c r="A710" s="1">
        <v>45776</v>
      </c>
      <c r="B710" s="2" t="s">
        <v>9</v>
      </c>
      <c r="C710">
        <v>0.69633</v>
      </c>
    </row>
    <row r="711" spans="1:3" x14ac:dyDescent="0.3">
      <c r="A711" s="1">
        <v>45776</v>
      </c>
      <c r="B711" s="2" t="s">
        <v>11</v>
      </c>
      <c r="C711">
        <v>94284.789059999996</v>
      </c>
    </row>
    <row r="712" spans="1:3" x14ac:dyDescent="0.3">
      <c r="A712" s="1">
        <v>45776</v>
      </c>
      <c r="B712" s="2" t="s">
        <v>13</v>
      </c>
      <c r="C712">
        <v>146.42787000000001</v>
      </c>
    </row>
    <row r="713" spans="1:3" x14ac:dyDescent="0.3">
      <c r="A713" s="1">
        <v>45776</v>
      </c>
      <c r="B713" s="2" t="s">
        <v>15</v>
      </c>
      <c r="C713">
        <v>2.2408000000000001</v>
      </c>
    </row>
    <row r="714" spans="1:3" x14ac:dyDescent="0.3">
      <c r="A714" s="1">
        <v>45776</v>
      </c>
      <c r="B714" s="2" t="s">
        <v>17</v>
      </c>
      <c r="C714">
        <v>1799.1756600000001</v>
      </c>
    </row>
    <row r="715" spans="1:3" x14ac:dyDescent="0.3">
      <c r="A715" s="1">
        <v>45776</v>
      </c>
      <c r="B715" s="2" t="s">
        <v>19</v>
      </c>
      <c r="C715">
        <v>601.02899000000002</v>
      </c>
    </row>
    <row r="716" spans="1:3" x14ac:dyDescent="0.3">
      <c r="A716" s="1">
        <v>45777</v>
      </c>
      <c r="B716" s="2" t="s">
        <v>9</v>
      </c>
      <c r="C716">
        <v>0.68193000000000004</v>
      </c>
    </row>
    <row r="717" spans="1:3" x14ac:dyDescent="0.3">
      <c r="A717" s="1">
        <v>45777</v>
      </c>
      <c r="B717" s="2" t="s">
        <v>11</v>
      </c>
      <c r="C717">
        <v>94207.3125</v>
      </c>
    </row>
    <row r="718" spans="1:3" x14ac:dyDescent="0.3">
      <c r="A718" s="1">
        <v>45777</v>
      </c>
      <c r="B718" s="2" t="s">
        <v>13</v>
      </c>
      <c r="C718">
        <v>147.64320000000001</v>
      </c>
    </row>
    <row r="719" spans="1:3" x14ac:dyDescent="0.3">
      <c r="A719" s="1">
        <v>45777</v>
      </c>
      <c r="B719" s="2" t="s">
        <v>15</v>
      </c>
      <c r="C719">
        <v>2.19156</v>
      </c>
    </row>
    <row r="720" spans="1:3" x14ac:dyDescent="0.3">
      <c r="A720" s="1">
        <v>45777</v>
      </c>
      <c r="B720" s="2" t="s">
        <v>17</v>
      </c>
      <c r="C720">
        <v>1793.77539</v>
      </c>
    </row>
    <row r="721" spans="1:3" x14ac:dyDescent="0.3">
      <c r="A721" s="1">
        <v>45777</v>
      </c>
      <c r="B721" s="2" t="s">
        <v>19</v>
      </c>
      <c r="C721">
        <v>599.68169999999998</v>
      </c>
    </row>
    <row r="722" spans="1:3" x14ac:dyDescent="0.3">
      <c r="A722" s="1">
        <v>45778</v>
      </c>
      <c r="B722" s="2" t="s">
        <v>9</v>
      </c>
      <c r="C722">
        <v>0.70543</v>
      </c>
    </row>
    <row r="723" spans="1:3" x14ac:dyDescent="0.3">
      <c r="A723" s="1">
        <v>45778</v>
      </c>
      <c r="B723" s="2" t="s">
        <v>11</v>
      </c>
      <c r="C723">
        <v>96492.335940000004</v>
      </c>
    </row>
    <row r="724" spans="1:3" x14ac:dyDescent="0.3">
      <c r="A724" s="1">
        <v>45778</v>
      </c>
      <c r="B724" s="2" t="s">
        <v>13</v>
      </c>
      <c r="C724">
        <v>150.84658999999999</v>
      </c>
    </row>
    <row r="725" spans="1:3" x14ac:dyDescent="0.3">
      <c r="A725" s="1">
        <v>45778</v>
      </c>
      <c r="B725" s="2" t="s">
        <v>15</v>
      </c>
      <c r="C725">
        <v>2.2141600000000001</v>
      </c>
    </row>
    <row r="726" spans="1:3" x14ac:dyDescent="0.3">
      <c r="A726" s="1">
        <v>45778</v>
      </c>
      <c r="B726" s="2" t="s">
        <v>17</v>
      </c>
      <c r="C726">
        <v>1839.22156</v>
      </c>
    </row>
    <row r="727" spans="1:3" x14ac:dyDescent="0.3">
      <c r="A727" s="1">
        <v>45778</v>
      </c>
      <c r="B727" s="2" t="s">
        <v>19</v>
      </c>
      <c r="C727">
        <v>599.91821000000004</v>
      </c>
    </row>
    <row r="728" spans="1:3" x14ac:dyDescent="0.3">
      <c r="A728" s="1">
        <v>45779</v>
      </c>
      <c r="B728" s="2" t="s">
        <v>9</v>
      </c>
      <c r="C728">
        <v>0.69803999999999999</v>
      </c>
    </row>
    <row r="729" spans="1:3" x14ac:dyDescent="0.3">
      <c r="A729" s="1">
        <v>45779</v>
      </c>
      <c r="B729" s="2" t="s">
        <v>11</v>
      </c>
      <c r="C729">
        <v>96910.070309999996</v>
      </c>
    </row>
    <row r="730" spans="1:3" x14ac:dyDescent="0.3">
      <c r="A730" s="1">
        <v>45779</v>
      </c>
      <c r="B730" s="2" t="s">
        <v>13</v>
      </c>
      <c r="C730">
        <v>148.05002999999999</v>
      </c>
    </row>
    <row r="731" spans="1:3" x14ac:dyDescent="0.3">
      <c r="A731" s="1">
        <v>45779</v>
      </c>
      <c r="B731" s="2" t="s">
        <v>15</v>
      </c>
      <c r="C731">
        <v>2.2098300000000002</v>
      </c>
    </row>
    <row r="732" spans="1:3" x14ac:dyDescent="0.3">
      <c r="A732" s="1">
        <v>45779</v>
      </c>
      <c r="B732" s="2" t="s">
        <v>17</v>
      </c>
      <c r="C732">
        <v>1842.7078899999999</v>
      </c>
    </row>
    <row r="733" spans="1:3" x14ac:dyDescent="0.3">
      <c r="A733" s="1">
        <v>45779</v>
      </c>
      <c r="B733" s="2" t="s">
        <v>19</v>
      </c>
      <c r="C733">
        <v>601.16417999999999</v>
      </c>
    </row>
    <row r="734" spans="1:3" x14ac:dyDescent="0.3">
      <c r="A734" s="1">
        <v>45780</v>
      </c>
      <c r="B734" s="2" t="s">
        <v>9</v>
      </c>
      <c r="C734">
        <v>0.70103000000000004</v>
      </c>
    </row>
    <row r="735" spans="1:3" x14ac:dyDescent="0.3">
      <c r="A735" s="1">
        <v>45780</v>
      </c>
      <c r="B735" s="2" t="s">
        <v>11</v>
      </c>
      <c r="C735">
        <v>95891.796879999994</v>
      </c>
    </row>
    <row r="736" spans="1:3" x14ac:dyDescent="0.3">
      <c r="A736" s="1">
        <v>45780</v>
      </c>
      <c r="B736" s="2" t="s">
        <v>13</v>
      </c>
      <c r="C736">
        <v>146.79605000000001</v>
      </c>
    </row>
    <row r="737" spans="1:3" x14ac:dyDescent="0.3">
      <c r="A737" s="1">
        <v>45780</v>
      </c>
      <c r="B737" s="2" t="s">
        <v>15</v>
      </c>
      <c r="C737">
        <v>2.1883699999999999</v>
      </c>
    </row>
    <row r="738" spans="1:3" x14ac:dyDescent="0.3">
      <c r="A738" s="1">
        <v>45780</v>
      </c>
      <c r="B738" s="2" t="s">
        <v>17</v>
      </c>
      <c r="C738">
        <v>1833.8397199999999</v>
      </c>
    </row>
    <row r="739" spans="1:3" x14ac:dyDescent="0.3">
      <c r="A739" s="1">
        <v>45780</v>
      </c>
      <c r="B739" s="2" t="s">
        <v>19</v>
      </c>
      <c r="C739">
        <v>599.33136000000002</v>
      </c>
    </row>
    <row r="740" spans="1:3" x14ac:dyDescent="0.3">
      <c r="A740" s="1">
        <v>45781</v>
      </c>
      <c r="B740" s="2" t="s">
        <v>9</v>
      </c>
      <c r="C740">
        <v>0.67669000000000001</v>
      </c>
    </row>
    <row r="741" spans="1:3" x14ac:dyDescent="0.3">
      <c r="A741" s="1">
        <v>45781</v>
      </c>
      <c r="B741" s="2" t="s">
        <v>11</v>
      </c>
      <c r="C741">
        <v>94315.976559999996</v>
      </c>
    </row>
    <row r="742" spans="1:3" x14ac:dyDescent="0.3">
      <c r="A742" s="1">
        <v>45781</v>
      </c>
      <c r="B742" s="2" t="s">
        <v>13</v>
      </c>
      <c r="C742">
        <v>143.98305999999999</v>
      </c>
    </row>
    <row r="743" spans="1:3" x14ac:dyDescent="0.3">
      <c r="A743" s="1">
        <v>45781</v>
      </c>
      <c r="B743" s="2" t="s">
        <v>15</v>
      </c>
      <c r="C743">
        <v>2.1577899999999999</v>
      </c>
    </row>
    <row r="744" spans="1:3" x14ac:dyDescent="0.3">
      <c r="A744" s="1">
        <v>45781</v>
      </c>
      <c r="B744" s="2" t="s">
        <v>17</v>
      </c>
      <c r="C744">
        <v>1808.5942399999999</v>
      </c>
    </row>
    <row r="745" spans="1:3" x14ac:dyDescent="0.3">
      <c r="A745" s="1">
        <v>45781</v>
      </c>
      <c r="B745" s="2" t="s">
        <v>19</v>
      </c>
      <c r="C745">
        <v>585.99505999999997</v>
      </c>
    </row>
    <row r="746" spans="1:3" x14ac:dyDescent="0.3">
      <c r="A746" s="1">
        <v>45782</v>
      </c>
      <c r="B746" s="2" t="s">
        <v>9</v>
      </c>
      <c r="C746">
        <v>0.66298000000000001</v>
      </c>
    </row>
    <row r="747" spans="1:3" x14ac:dyDescent="0.3">
      <c r="A747" s="1">
        <v>45782</v>
      </c>
      <c r="B747" s="2" t="s">
        <v>11</v>
      </c>
      <c r="C747">
        <v>94748.054690000004</v>
      </c>
    </row>
    <row r="748" spans="1:3" x14ac:dyDescent="0.3">
      <c r="A748" s="1">
        <v>45782</v>
      </c>
      <c r="B748" s="2" t="s">
        <v>13</v>
      </c>
      <c r="C748">
        <v>146.69664</v>
      </c>
    </row>
    <row r="749" spans="1:3" x14ac:dyDescent="0.3">
      <c r="A749" s="1">
        <v>45782</v>
      </c>
      <c r="B749" s="2" t="s">
        <v>15</v>
      </c>
      <c r="C749">
        <v>2.1356099999999998</v>
      </c>
    </row>
    <row r="750" spans="1:3" x14ac:dyDescent="0.3">
      <c r="A750" s="1">
        <v>45782</v>
      </c>
      <c r="B750" s="2" t="s">
        <v>17</v>
      </c>
      <c r="C750">
        <v>1819.69751</v>
      </c>
    </row>
    <row r="751" spans="1:3" x14ac:dyDescent="0.3">
      <c r="A751" s="1">
        <v>45782</v>
      </c>
      <c r="B751" s="2" t="s">
        <v>19</v>
      </c>
      <c r="C751">
        <v>597.68975999999998</v>
      </c>
    </row>
    <row r="752" spans="1:3" x14ac:dyDescent="0.3">
      <c r="A752" s="1">
        <v>45783</v>
      </c>
      <c r="B752" s="2" t="s">
        <v>9</v>
      </c>
      <c r="C752">
        <v>0.67837999999999998</v>
      </c>
    </row>
    <row r="753" spans="1:3" x14ac:dyDescent="0.3">
      <c r="A753" s="1">
        <v>45783</v>
      </c>
      <c r="B753" s="2" t="s">
        <v>11</v>
      </c>
      <c r="C753">
        <v>96802.476559999996</v>
      </c>
    </row>
    <row r="754" spans="1:3" x14ac:dyDescent="0.3">
      <c r="A754" s="1">
        <v>45783</v>
      </c>
      <c r="B754" s="2" t="s">
        <v>13</v>
      </c>
      <c r="C754">
        <v>146.7664</v>
      </c>
    </row>
    <row r="755" spans="1:3" x14ac:dyDescent="0.3">
      <c r="A755" s="1">
        <v>45783</v>
      </c>
      <c r="B755" s="2" t="s">
        <v>15</v>
      </c>
      <c r="C755">
        <v>2.15543</v>
      </c>
    </row>
    <row r="756" spans="1:3" x14ac:dyDescent="0.3">
      <c r="A756" s="1">
        <v>45783</v>
      </c>
      <c r="B756" s="2" t="s">
        <v>17</v>
      </c>
      <c r="C756">
        <v>1815.08752</v>
      </c>
    </row>
    <row r="757" spans="1:3" x14ac:dyDescent="0.3">
      <c r="A757" s="1">
        <v>45783</v>
      </c>
      <c r="B757" s="2" t="s">
        <v>19</v>
      </c>
      <c r="C757">
        <v>602.47388000000001</v>
      </c>
    </row>
    <row r="758" spans="1:3" x14ac:dyDescent="0.3">
      <c r="A758" s="1">
        <v>45784</v>
      </c>
      <c r="B758" s="2" t="s">
        <v>9</v>
      </c>
      <c r="C758">
        <v>0.67118999999999995</v>
      </c>
    </row>
    <row r="759" spans="1:3" x14ac:dyDescent="0.3">
      <c r="A759" s="1">
        <v>45784</v>
      </c>
      <c r="B759" s="2" t="s">
        <v>11</v>
      </c>
      <c r="C759">
        <v>97032.320309999996</v>
      </c>
    </row>
    <row r="760" spans="1:3" x14ac:dyDescent="0.3">
      <c r="A760" s="1">
        <v>45784</v>
      </c>
      <c r="B760" s="2" t="s">
        <v>13</v>
      </c>
      <c r="C760">
        <v>147.21375</v>
      </c>
    </row>
    <row r="761" spans="1:3" x14ac:dyDescent="0.3">
      <c r="A761" s="1">
        <v>45784</v>
      </c>
      <c r="B761" s="2" t="s">
        <v>15</v>
      </c>
      <c r="C761">
        <v>2.1261700000000001</v>
      </c>
    </row>
    <row r="762" spans="1:3" x14ac:dyDescent="0.3">
      <c r="A762" s="1">
        <v>45784</v>
      </c>
      <c r="B762" s="2" t="s">
        <v>17</v>
      </c>
      <c r="C762">
        <v>1811.6066900000001</v>
      </c>
    </row>
    <row r="763" spans="1:3" x14ac:dyDescent="0.3">
      <c r="A763" s="1">
        <v>45784</v>
      </c>
      <c r="B763" s="2" t="s">
        <v>19</v>
      </c>
      <c r="C763">
        <v>603.27966000000004</v>
      </c>
    </row>
    <row r="764" spans="1:3" x14ac:dyDescent="0.3">
      <c r="A764" s="1">
        <v>45785</v>
      </c>
      <c r="B764" s="2" t="s">
        <v>9</v>
      </c>
      <c r="C764">
        <v>0.76659999999999995</v>
      </c>
    </row>
    <row r="765" spans="1:3" x14ac:dyDescent="0.3">
      <c r="A765" s="1">
        <v>45785</v>
      </c>
      <c r="B765" s="2" t="s">
        <v>11</v>
      </c>
      <c r="C765">
        <v>103241.46090000001</v>
      </c>
    </row>
    <row r="766" spans="1:3" x14ac:dyDescent="0.3">
      <c r="A766" s="1">
        <v>45785</v>
      </c>
      <c r="B766" s="2" t="s">
        <v>13</v>
      </c>
      <c r="C766">
        <v>163.96078</v>
      </c>
    </row>
    <row r="767" spans="1:3" x14ac:dyDescent="0.3">
      <c r="A767" s="1">
        <v>45785</v>
      </c>
      <c r="B767" s="2" t="s">
        <v>15</v>
      </c>
      <c r="C767">
        <v>2.3231799999999998</v>
      </c>
    </row>
    <row r="768" spans="1:3" x14ac:dyDescent="0.3">
      <c r="A768" s="1">
        <v>45785</v>
      </c>
      <c r="B768" s="2" t="s">
        <v>17</v>
      </c>
      <c r="C768">
        <v>2206.5146500000001</v>
      </c>
    </row>
    <row r="769" spans="1:3" x14ac:dyDescent="0.3">
      <c r="A769" s="1">
        <v>45785</v>
      </c>
      <c r="B769" s="2" t="s">
        <v>19</v>
      </c>
      <c r="C769">
        <v>628.66345000000001</v>
      </c>
    </row>
    <row r="770" spans="1:3" x14ac:dyDescent="0.3">
      <c r="A770" s="1">
        <v>45786</v>
      </c>
      <c r="B770" s="2" t="s">
        <v>9</v>
      </c>
      <c r="C770">
        <v>0.77771000000000001</v>
      </c>
    </row>
    <row r="771" spans="1:3" x14ac:dyDescent="0.3">
      <c r="A771" s="1">
        <v>45786</v>
      </c>
      <c r="B771" s="2" t="s">
        <v>11</v>
      </c>
      <c r="C771">
        <v>102970.85159999999</v>
      </c>
    </row>
    <row r="772" spans="1:3" x14ac:dyDescent="0.3">
      <c r="A772" s="1">
        <v>45786</v>
      </c>
      <c r="B772" s="2" t="s">
        <v>13</v>
      </c>
      <c r="C772">
        <v>172.82828000000001</v>
      </c>
    </row>
    <row r="773" spans="1:3" x14ac:dyDescent="0.3">
      <c r="A773" s="1">
        <v>45786</v>
      </c>
      <c r="B773" s="2" t="s">
        <v>15</v>
      </c>
      <c r="C773">
        <v>2.3446699999999998</v>
      </c>
    </row>
    <row r="774" spans="1:3" x14ac:dyDescent="0.3">
      <c r="A774" s="1">
        <v>45786</v>
      </c>
      <c r="B774" s="2" t="s">
        <v>17</v>
      </c>
      <c r="C774">
        <v>2345.5073200000002</v>
      </c>
    </row>
    <row r="775" spans="1:3" x14ac:dyDescent="0.3">
      <c r="A775" s="1">
        <v>45786</v>
      </c>
      <c r="B775" s="2" t="s">
        <v>19</v>
      </c>
      <c r="C775">
        <v>666.87847999999997</v>
      </c>
    </row>
    <row r="776" spans="1:3" x14ac:dyDescent="0.3">
      <c r="A776" s="1">
        <v>45787</v>
      </c>
      <c r="B776" s="2" t="s">
        <v>9</v>
      </c>
      <c r="C776">
        <v>0.84126999999999996</v>
      </c>
    </row>
    <row r="777" spans="1:3" x14ac:dyDescent="0.3">
      <c r="A777" s="1">
        <v>45787</v>
      </c>
      <c r="B777" s="2" t="s">
        <v>11</v>
      </c>
      <c r="C777">
        <v>104696.3281</v>
      </c>
    </row>
    <row r="778" spans="1:3" x14ac:dyDescent="0.3">
      <c r="A778" s="1">
        <v>45787</v>
      </c>
      <c r="B778" s="2" t="s">
        <v>13</v>
      </c>
      <c r="C778">
        <v>177.62181000000001</v>
      </c>
    </row>
    <row r="779" spans="1:3" x14ac:dyDescent="0.3">
      <c r="A779" s="1">
        <v>45787</v>
      </c>
      <c r="B779" s="2" t="s">
        <v>15</v>
      </c>
      <c r="C779">
        <v>2.4720300000000002</v>
      </c>
    </row>
    <row r="780" spans="1:3" x14ac:dyDescent="0.3">
      <c r="A780" s="1">
        <v>45787</v>
      </c>
      <c r="B780" s="2" t="s">
        <v>17</v>
      </c>
      <c r="C780">
        <v>2582.4226100000001</v>
      </c>
    </row>
    <row r="781" spans="1:3" x14ac:dyDescent="0.3">
      <c r="A781" s="1">
        <v>45787</v>
      </c>
      <c r="B781" s="2" t="s">
        <v>19</v>
      </c>
      <c r="C781">
        <v>663.61725000000001</v>
      </c>
    </row>
    <row r="782" spans="1:3" x14ac:dyDescent="0.3">
      <c r="A782" s="1">
        <v>45788</v>
      </c>
      <c r="B782" s="2" t="s">
        <v>9</v>
      </c>
      <c r="C782">
        <v>0.80498999999999998</v>
      </c>
    </row>
    <row r="783" spans="1:3" x14ac:dyDescent="0.3">
      <c r="A783" s="1">
        <v>45788</v>
      </c>
      <c r="B783" s="2" t="s">
        <v>11</v>
      </c>
      <c r="C783">
        <v>104106.3594</v>
      </c>
    </row>
    <row r="784" spans="1:3" x14ac:dyDescent="0.3">
      <c r="A784" s="1">
        <v>45788</v>
      </c>
      <c r="B784" s="2" t="s">
        <v>13</v>
      </c>
      <c r="C784">
        <v>173.02645999999999</v>
      </c>
    </row>
    <row r="785" spans="1:3" x14ac:dyDescent="0.3">
      <c r="A785" s="1">
        <v>45788</v>
      </c>
      <c r="B785" s="2" t="s">
        <v>15</v>
      </c>
      <c r="C785">
        <v>2.36652</v>
      </c>
    </row>
    <row r="786" spans="1:3" x14ac:dyDescent="0.3">
      <c r="A786" s="1">
        <v>45788</v>
      </c>
      <c r="B786" s="2" t="s">
        <v>17</v>
      </c>
      <c r="C786">
        <v>2510.2377900000001</v>
      </c>
    </row>
    <row r="787" spans="1:3" x14ac:dyDescent="0.3">
      <c r="A787" s="1">
        <v>45788</v>
      </c>
      <c r="B787" s="2" t="s">
        <v>19</v>
      </c>
      <c r="C787">
        <v>650.62543000000005</v>
      </c>
    </row>
    <row r="788" spans="1:3" x14ac:dyDescent="0.3">
      <c r="A788" s="1">
        <v>45789</v>
      </c>
      <c r="B788" s="2" t="s">
        <v>9</v>
      </c>
      <c r="C788">
        <v>0.81764000000000003</v>
      </c>
    </row>
    <row r="789" spans="1:3" x14ac:dyDescent="0.3">
      <c r="A789" s="1">
        <v>45789</v>
      </c>
      <c r="B789" s="2" t="s">
        <v>11</v>
      </c>
      <c r="C789">
        <v>102812.9531</v>
      </c>
    </row>
    <row r="790" spans="1:3" x14ac:dyDescent="0.3">
      <c r="A790" s="1">
        <v>45789</v>
      </c>
      <c r="B790" s="2" t="s">
        <v>13</v>
      </c>
      <c r="C790">
        <v>174.24789000000001</v>
      </c>
    </row>
    <row r="791" spans="1:3" x14ac:dyDescent="0.3">
      <c r="A791" s="1">
        <v>45789</v>
      </c>
      <c r="B791" s="2" t="s">
        <v>15</v>
      </c>
      <c r="C791">
        <v>2.5446399999999998</v>
      </c>
    </row>
    <row r="792" spans="1:3" x14ac:dyDescent="0.3">
      <c r="A792" s="1">
        <v>45789</v>
      </c>
      <c r="B792" s="2" t="s">
        <v>17</v>
      </c>
      <c r="C792">
        <v>2496.3977100000002</v>
      </c>
    </row>
    <row r="793" spans="1:3" x14ac:dyDescent="0.3">
      <c r="A793" s="1">
        <v>45789</v>
      </c>
      <c r="B793" s="2" t="s">
        <v>19</v>
      </c>
      <c r="C793">
        <v>660.48431000000005</v>
      </c>
    </row>
    <row r="794" spans="1:3" x14ac:dyDescent="0.3">
      <c r="A794" s="1">
        <v>45790</v>
      </c>
      <c r="B794" s="2" t="s">
        <v>9</v>
      </c>
      <c r="C794">
        <v>0.83155999999999997</v>
      </c>
    </row>
    <row r="795" spans="1:3" x14ac:dyDescent="0.3">
      <c r="A795" s="1">
        <v>45790</v>
      </c>
      <c r="B795" s="2" t="s">
        <v>11</v>
      </c>
      <c r="C795">
        <v>104169.8125</v>
      </c>
    </row>
    <row r="796" spans="1:3" x14ac:dyDescent="0.3">
      <c r="A796" s="1">
        <v>45790</v>
      </c>
      <c r="B796" s="2" t="s">
        <v>13</v>
      </c>
      <c r="C796">
        <v>184.00626</v>
      </c>
    </row>
    <row r="797" spans="1:3" x14ac:dyDescent="0.3">
      <c r="A797" s="1">
        <v>45790</v>
      </c>
      <c r="B797" s="2" t="s">
        <v>15</v>
      </c>
      <c r="C797">
        <v>2.5865499999999999</v>
      </c>
    </row>
    <row r="798" spans="1:3" x14ac:dyDescent="0.3">
      <c r="A798" s="1">
        <v>45790</v>
      </c>
      <c r="B798" s="2" t="s">
        <v>17</v>
      </c>
      <c r="C798">
        <v>2680.1296400000001</v>
      </c>
    </row>
    <row r="799" spans="1:3" x14ac:dyDescent="0.3">
      <c r="A799" s="1">
        <v>45790</v>
      </c>
      <c r="B799" s="2" t="s">
        <v>19</v>
      </c>
      <c r="C799">
        <v>665.57056</v>
      </c>
    </row>
    <row r="800" spans="1:3" x14ac:dyDescent="0.3">
      <c r="A800" s="1">
        <v>45791</v>
      </c>
      <c r="B800" s="2" t="s">
        <v>9</v>
      </c>
      <c r="C800">
        <v>0.79952000000000001</v>
      </c>
    </row>
    <row r="801" spans="1:3" x14ac:dyDescent="0.3">
      <c r="A801" s="1">
        <v>45791</v>
      </c>
      <c r="B801" s="2" t="s">
        <v>11</v>
      </c>
      <c r="C801">
        <v>103539.41409999999</v>
      </c>
    </row>
    <row r="802" spans="1:3" x14ac:dyDescent="0.3">
      <c r="A802" s="1">
        <v>45791</v>
      </c>
      <c r="B802" s="2" t="s">
        <v>13</v>
      </c>
      <c r="C802">
        <v>176.70922999999999</v>
      </c>
    </row>
    <row r="803" spans="1:3" x14ac:dyDescent="0.3">
      <c r="A803" s="1">
        <v>45791</v>
      </c>
      <c r="B803" s="2" t="s">
        <v>15</v>
      </c>
      <c r="C803">
        <v>2.5527000000000002</v>
      </c>
    </row>
    <row r="804" spans="1:3" x14ac:dyDescent="0.3">
      <c r="A804" s="1">
        <v>45791</v>
      </c>
      <c r="B804" s="2" t="s">
        <v>17</v>
      </c>
      <c r="C804">
        <v>2610.0632300000002</v>
      </c>
    </row>
    <row r="805" spans="1:3" x14ac:dyDescent="0.3">
      <c r="A805" s="1">
        <v>45791</v>
      </c>
      <c r="B805" s="2" t="s">
        <v>19</v>
      </c>
      <c r="C805">
        <v>652.57104000000004</v>
      </c>
    </row>
    <row r="806" spans="1:3" x14ac:dyDescent="0.3">
      <c r="A806" s="1">
        <v>45792</v>
      </c>
      <c r="B806" s="2" t="s">
        <v>9</v>
      </c>
      <c r="C806">
        <v>0.76124000000000003</v>
      </c>
    </row>
    <row r="807" spans="1:3" x14ac:dyDescent="0.3">
      <c r="A807" s="1">
        <v>45792</v>
      </c>
      <c r="B807" s="2" t="s">
        <v>11</v>
      </c>
      <c r="C807">
        <v>103744.6406</v>
      </c>
    </row>
    <row r="808" spans="1:3" x14ac:dyDescent="0.3">
      <c r="A808" s="1">
        <v>45792</v>
      </c>
      <c r="B808" s="2" t="s">
        <v>13</v>
      </c>
      <c r="C808">
        <v>169.00998999999999</v>
      </c>
    </row>
    <row r="809" spans="1:3" x14ac:dyDescent="0.3">
      <c r="A809" s="1">
        <v>45792</v>
      </c>
      <c r="B809" s="2" t="s">
        <v>15</v>
      </c>
      <c r="C809">
        <v>2.3803700000000001</v>
      </c>
    </row>
    <row r="810" spans="1:3" x14ac:dyDescent="0.3">
      <c r="A810" s="1">
        <v>45792</v>
      </c>
      <c r="B810" s="2" t="s">
        <v>17</v>
      </c>
      <c r="C810">
        <v>2546.8569299999999</v>
      </c>
    </row>
    <row r="811" spans="1:3" x14ac:dyDescent="0.3">
      <c r="A811" s="1">
        <v>45792</v>
      </c>
      <c r="B811" s="2" t="s">
        <v>19</v>
      </c>
      <c r="C811">
        <v>651.26422000000002</v>
      </c>
    </row>
    <row r="812" spans="1:3" x14ac:dyDescent="0.3">
      <c r="A812" s="1">
        <v>45793</v>
      </c>
      <c r="B812" s="2" t="s">
        <v>9</v>
      </c>
      <c r="C812">
        <v>0.75927</v>
      </c>
    </row>
    <row r="813" spans="1:3" x14ac:dyDescent="0.3">
      <c r="A813" s="1">
        <v>45793</v>
      </c>
      <c r="B813" s="2" t="s">
        <v>11</v>
      </c>
      <c r="C813">
        <v>103489.28909999999</v>
      </c>
    </row>
    <row r="814" spans="1:3" x14ac:dyDescent="0.3">
      <c r="A814" s="1">
        <v>45793</v>
      </c>
      <c r="B814" s="2" t="s">
        <v>13</v>
      </c>
      <c r="C814">
        <v>167.33394999999999</v>
      </c>
    </row>
    <row r="815" spans="1:3" x14ac:dyDescent="0.3">
      <c r="A815" s="1">
        <v>45793</v>
      </c>
      <c r="B815" s="2" t="s">
        <v>15</v>
      </c>
      <c r="C815">
        <v>2.3809800000000001</v>
      </c>
    </row>
    <row r="816" spans="1:3" x14ac:dyDescent="0.3">
      <c r="A816" s="1">
        <v>45793</v>
      </c>
      <c r="B816" s="2" t="s">
        <v>17</v>
      </c>
      <c r="C816">
        <v>2536.2976100000001</v>
      </c>
    </row>
    <row r="817" spans="1:3" x14ac:dyDescent="0.3">
      <c r="A817" s="1">
        <v>45793</v>
      </c>
      <c r="B817" s="2" t="s">
        <v>19</v>
      </c>
      <c r="C817">
        <v>646.32135000000005</v>
      </c>
    </row>
    <row r="818" spans="1:3" x14ac:dyDescent="0.3">
      <c r="A818" s="1">
        <v>45794</v>
      </c>
      <c r="B818" s="2" t="s">
        <v>9</v>
      </c>
      <c r="C818">
        <v>0.74238999999999999</v>
      </c>
    </row>
    <row r="819" spans="1:3" x14ac:dyDescent="0.3">
      <c r="A819" s="1">
        <v>45794</v>
      </c>
      <c r="B819" s="2" t="s">
        <v>11</v>
      </c>
      <c r="C819">
        <v>103191.08590000001</v>
      </c>
    </row>
    <row r="820" spans="1:3" x14ac:dyDescent="0.3">
      <c r="A820" s="1">
        <v>45794</v>
      </c>
      <c r="B820" s="2" t="s">
        <v>13</v>
      </c>
      <c r="C820">
        <v>165.93082999999999</v>
      </c>
    </row>
    <row r="821" spans="1:3" x14ac:dyDescent="0.3">
      <c r="A821" s="1">
        <v>45794</v>
      </c>
      <c r="B821" s="2" t="s">
        <v>15</v>
      </c>
      <c r="C821">
        <v>2.3543599999999998</v>
      </c>
    </row>
    <row r="822" spans="1:3" x14ac:dyDescent="0.3">
      <c r="A822" s="1">
        <v>45794</v>
      </c>
      <c r="B822" s="2" t="s">
        <v>17</v>
      </c>
      <c r="C822">
        <v>2475.7543999999998</v>
      </c>
    </row>
    <row r="823" spans="1:3" x14ac:dyDescent="0.3">
      <c r="A823" s="1">
        <v>45794</v>
      </c>
      <c r="B823" s="2" t="s">
        <v>19</v>
      </c>
      <c r="C823">
        <v>639.61890000000005</v>
      </c>
    </row>
    <row r="824" spans="1:3" x14ac:dyDescent="0.3">
      <c r="A824" s="1">
        <v>45795</v>
      </c>
      <c r="B824" s="2" t="s">
        <v>9</v>
      </c>
      <c r="C824">
        <v>0.76063000000000003</v>
      </c>
    </row>
    <row r="825" spans="1:3" x14ac:dyDescent="0.3">
      <c r="A825" s="1">
        <v>45795</v>
      </c>
      <c r="B825" s="2" t="s">
        <v>11</v>
      </c>
      <c r="C825">
        <v>106446.00780000001</v>
      </c>
    </row>
    <row r="826" spans="1:3" x14ac:dyDescent="0.3">
      <c r="A826" s="1">
        <v>45795</v>
      </c>
      <c r="B826" s="2" t="s">
        <v>13</v>
      </c>
      <c r="C826">
        <v>173.89870999999999</v>
      </c>
    </row>
    <row r="827" spans="1:3" x14ac:dyDescent="0.3">
      <c r="A827" s="1">
        <v>45795</v>
      </c>
      <c r="B827" s="2" t="s">
        <v>15</v>
      </c>
      <c r="C827">
        <v>2.4341699999999999</v>
      </c>
    </row>
    <row r="828" spans="1:3" x14ac:dyDescent="0.3">
      <c r="A828" s="1">
        <v>45795</v>
      </c>
      <c r="B828" s="2" t="s">
        <v>17</v>
      </c>
      <c r="C828">
        <v>2498.2336399999999</v>
      </c>
    </row>
    <row r="829" spans="1:3" x14ac:dyDescent="0.3">
      <c r="A829" s="1">
        <v>45795</v>
      </c>
      <c r="B829" s="2" t="s">
        <v>19</v>
      </c>
      <c r="C829">
        <v>652.16431</v>
      </c>
    </row>
    <row r="830" spans="1:3" x14ac:dyDescent="0.3">
      <c r="A830" s="1">
        <v>45796</v>
      </c>
      <c r="B830" s="2" t="s">
        <v>9</v>
      </c>
      <c r="C830">
        <v>0.74306000000000005</v>
      </c>
    </row>
    <row r="831" spans="1:3" x14ac:dyDescent="0.3">
      <c r="A831" s="1">
        <v>45796</v>
      </c>
      <c r="B831" s="2" t="s">
        <v>11</v>
      </c>
      <c r="C831">
        <v>105606.17969999999</v>
      </c>
    </row>
    <row r="832" spans="1:3" x14ac:dyDescent="0.3">
      <c r="A832" s="1">
        <v>45796</v>
      </c>
      <c r="B832" s="2" t="s">
        <v>13</v>
      </c>
      <c r="C832">
        <v>166.86422999999999</v>
      </c>
    </row>
    <row r="833" spans="1:3" x14ac:dyDescent="0.3">
      <c r="A833" s="1">
        <v>45796</v>
      </c>
      <c r="B833" s="2" t="s">
        <v>15</v>
      </c>
      <c r="C833">
        <v>2.3813800000000001</v>
      </c>
    </row>
    <row r="834" spans="1:3" x14ac:dyDescent="0.3">
      <c r="A834" s="1">
        <v>45796</v>
      </c>
      <c r="B834" s="2" t="s">
        <v>17</v>
      </c>
      <c r="C834">
        <v>2529.1667499999999</v>
      </c>
    </row>
    <row r="835" spans="1:3" x14ac:dyDescent="0.3">
      <c r="A835" s="1">
        <v>45796</v>
      </c>
      <c r="B835" s="2" t="s">
        <v>19</v>
      </c>
      <c r="C835">
        <v>649.85290999999995</v>
      </c>
    </row>
    <row r="836" spans="1:3" x14ac:dyDescent="0.3">
      <c r="A836" s="1">
        <v>45797</v>
      </c>
      <c r="B836" s="2" t="s">
        <v>9</v>
      </c>
      <c r="C836">
        <v>0.74573</v>
      </c>
    </row>
    <row r="837" spans="1:3" x14ac:dyDescent="0.3">
      <c r="A837" s="1">
        <v>45797</v>
      </c>
      <c r="B837" s="2" t="s">
        <v>11</v>
      </c>
      <c r="C837">
        <v>106791.08590000001</v>
      </c>
    </row>
    <row r="838" spans="1:3" x14ac:dyDescent="0.3">
      <c r="A838" s="1">
        <v>45797</v>
      </c>
      <c r="B838" s="2" t="s">
        <v>13</v>
      </c>
      <c r="C838">
        <v>168.48369</v>
      </c>
    </row>
    <row r="839" spans="1:3" x14ac:dyDescent="0.3">
      <c r="A839" s="1">
        <v>45797</v>
      </c>
      <c r="B839" s="2" t="s">
        <v>15</v>
      </c>
      <c r="C839">
        <v>2.35676</v>
      </c>
    </row>
    <row r="840" spans="1:3" x14ac:dyDescent="0.3">
      <c r="A840" s="1">
        <v>45797</v>
      </c>
      <c r="B840" s="2" t="s">
        <v>17</v>
      </c>
      <c r="C840">
        <v>2524.1731</v>
      </c>
    </row>
    <row r="841" spans="1:3" x14ac:dyDescent="0.3">
      <c r="A841" s="1">
        <v>45797</v>
      </c>
      <c r="B841" s="2" t="s">
        <v>19</v>
      </c>
      <c r="C841">
        <v>650.33081000000004</v>
      </c>
    </row>
    <row r="842" spans="1:3" x14ac:dyDescent="0.3">
      <c r="A842" s="1">
        <v>45798</v>
      </c>
      <c r="B842" s="2" t="s">
        <v>9</v>
      </c>
      <c r="C842">
        <v>0.77071999999999996</v>
      </c>
    </row>
    <row r="843" spans="1:3" x14ac:dyDescent="0.3">
      <c r="A843" s="1">
        <v>45798</v>
      </c>
      <c r="B843" s="2" t="s">
        <v>11</v>
      </c>
      <c r="C843">
        <v>109678.0781</v>
      </c>
    </row>
    <row r="844" spans="1:3" x14ac:dyDescent="0.3">
      <c r="A844" s="1">
        <v>45798</v>
      </c>
      <c r="B844" s="2" t="s">
        <v>13</v>
      </c>
      <c r="C844">
        <v>173.68172999999999</v>
      </c>
    </row>
    <row r="845" spans="1:3" x14ac:dyDescent="0.3">
      <c r="A845" s="1">
        <v>45798</v>
      </c>
      <c r="B845" s="2" t="s">
        <v>15</v>
      </c>
      <c r="C845">
        <v>2.39893</v>
      </c>
    </row>
    <row r="846" spans="1:3" x14ac:dyDescent="0.3">
      <c r="A846" s="1">
        <v>45798</v>
      </c>
      <c r="B846" s="2" t="s">
        <v>17</v>
      </c>
      <c r="C846">
        <v>2552.34717</v>
      </c>
    </row>
    <row r="847" spans="1:3" x14ac:dyDescent="0.3">
      <c r="A847" s="1">
        <v>45798</v>
      </c>
      <c r="B847" s="2" t="s">
        <v>19</v>
      </c>
      <c r="C847">
        <v>673.14862000000005</v>
      </c>
    </row>
    <row r="848" spans="1:3" x14ac:dyDescent="0.3">
      <c r="A848" s="1">
        <v>45799</v>
      </c>
      <c r="B848" s="2" t="s">
        <v>9</v>
      </c>
      <c r="C848">
        <v>0.80813999999999997</v>
      </c>
    </row>
    <row r="849" spans="1:3" x14ac:dyDescent="0.3">
      <c r="A849" s="1">
        <v>45799</v>
      </c>
      <c r="B849" s="2" t="s">
        <v>11</v>
      </c>
      <c r="C849">
        <v>111673.2813</v>
      </c>
    </row>
    <row r="850" spans="1:3" x14ac:dyDescent="0.3">
      <c r="A850" s="1">
        <v>45799</v>
      </c>
      <c r="B850" s="2" t="s">
        <v>13</v>
      </c>
      <c r="C850">
        <v>179.69094999999999</v>
      </c>
    </row>
    <row r="851" spans="1:3" x14ac:dyDescent="0.3">
      <c r="A851" s="1">
        <v>45799</v>
      </c>
      <c r="B851" s="2" t="s">
        <v>15</v>
      </c>
      <c r="C851">
        <v>2.4298000000000002</v>
      </c>
    </row>
    <row r="852" spans="1:3" x14ac:dyDescent="0.3">
      <c r="A852" s="1">
        <v>45799</v>
      </c>
      <c r="B852" s="2" t="s">
        <v>17</v>
      </c>
      <c r="C852">
        <v>2664.1569800000002</v>
      </c>
    </row>
    <row r="853" spans="1:3" x14ac:dyDescent="0.3">
      <c r="A853" s="1">
        <v>45799</v>
      </c>
      <c r="B853" s="2" t="s">
        <v>19</v>
      </c>
      <c r="C853">
        <v>686.23566000000005</v>
      </c>
    </row>
    <row r="854" spans="1:3" x14ac:dyDescent="0.3">
      <c r="A854" s="1">
        <v>45800</v>
      </c>
      <c r="B854" s="2" t="s">
        <v>9</v>
      </c>
      <c r="C854">
        <v>0.74638000000000004</v>
      </c>
    </row>
    <row r="855" spans="1:3" x14ac:dyDescent="0.3">
      <c r="A855" s="1">
        <v>45800</v>
      </c>
      <c r="B855" s="2" t="s">
        <v>11</v>
      </c>
      <c r="C855">
        <v>107287.7969</v>
      </c>
    </row>
    <row r="856" spans="1:3" x14ac:dyDescent="0.3">
      <c r="A856" s="1">
        <v>45800</v>
      </c>
      <c r="B856" s="2" t="s">
        <v>13</v>
      </c>
      <c r="C856">
        <v>173.82542000000001</v>
      </c>
    </row>
    <row r="857" spans="1:3" x14ac:dyDescent="0.3">
      <c r="A857" s="1">
        <v>45800</v>
      </c>
      <c r="B857" s="2" t="s">
        <v>15</v>
      </c>
      <c r="C857">
        <v>2.2943199999999999</v>
      </c>
    </row>
    <row r="858" spans="1:3" x14ac:dyDescent="0.3">
      <c r="A858" s="1">
        <v>45800</v>
      </c>
      <c r="B858" s="2" t="s">
        <v>17</v>
      </c>
      <c r="C858">
        <v>2526.4418999999998</v>
      </c>
    </row>
    <row r="859" spans="1:3" x14ac:dyDescent="0.3">
      <c r="A859" s="1">
        <v>45800</v>
      </c>
      <c r="B859" s="2" t="s">
        <v>19</v>
      </c>
      <c r="C859">
        <v>656.23168999999996</v>
      </c>
    </row>
    <row r="860" spans="1:3" x14ac:dyDescent="0.3">
      <c r="A860" s="1">
        <v>45801</v>
      </c>
      <c r="B860" s="2" t="s">
        <v>9</v>
      </c>
      <c r="C860">
        <v>0.74719000000000002</v>
      </c>
    </row>
    <row r="861" spans="1:3" x14ac:dyDescent="0.3">
      <c r="A861" s="1">
        <v>45801</v>
      </c>
      <c r="B861" s="2" t="s">
        <v>11</v>
      </c>
      <c r="C861">
        <v>107791.1563</v>
      </c>
    </row>
    <row r="862" spans="1:3" x14ac:dyDescent="0.3">
      <c r="A862" s="1">
        <v>45801</v>
      </c>
      <c r="B862" s="2" t="s">
        <v>13</v>
      </c>
      <c r="C862">
        <v>176.04239999999999</v>
      </c>
    </row>
    <row r="863" spans="1:3" x14ac:dyDescent="0.3">
      <c r="A863" s="1">
        <v>45801</v>
      </c>
      <c r="B863" s="2" t="s">
        <v>15</v>
      </c>
      <c r="C863">
        <v>2.3328700000000002</v>
      </c>
    </row>
    <row r="864" spans="1:3" x14ac:dyDescent="0.3">
      <c r="A864" s="1">
        <v>45801</v>
      </c>
      <c r="B864" s="2" t="s">
        <v>17</v>
      </c>
      <c r="C864">
        <v>2530.64624</v>
      </c>
    </row>
    <row r="865" spans="1:3" x14ac:dyDescent="0.3">
      <c r="A865" s="1">
        <v>45801</v>
      </c>
      <c r="B865" s="2" t="s">
        <v>19</v>
      </c>
      <c r="C865">
        <v>668.30651999999998</v>
      </c>
    </row>
    <row r="866" spans="1:3" x14ac:dyDescent="0.3">
      <c r="A866" s="1">
        <v>45802</v>
      </c>
      <c r="B866" s="2" t="s">
        <v>9</v>
      </c>
      <c r="C866">
        <v>0.75997999999999999</v>
      </c>
    </row>
    <row r="867" spans="1:3" x14ac:dyDescent="0.3">
      <c r="A867" s="1">
        <v>45802</v>
      </c>
      <c r="B867" s="2" t="s">
        <v>11</v>
      </c>
      <c r="C867">
        <v>109035.3906</v>
      </c>
    </row>
    <row r="868" spans="1:3" x14ac:dyDescent="0.3">
      <c r="A868" s="1">
        <v>45802</v>
      </c>
      <c r="B868" s="2" t="s">
        <v>13</v>
      </c>
      <c r="C868">
        <v>175.72548</v>
      </c>
    </row>
    <row r="869" spans="1:3" x14ac:dyDescent="0.3">
      <c r="A869" s="1">
        <v>45802</v>
      </c>
      <c r="B869" s="2" t="s">
        <v>15</v>
      </c>
      <c r="C869">
        <v>2.3429700000000002</v>
      </c>
    </row>
    <row r="870" spans="1:3" x14ac:dyDescent="0.3">
      <c r="A870" s="1">
        <v>45802</v>
      </c>
      <c r="B870" s="2" t="s">
        <v>17</v>
      </c>
      <c r="C870">
        <v>2551.7639199999999</v>
      </c>
    </row>
    <row r="871" spans="1:3" x14ac:dyDescent="0.3">
      <c r="A871" s="1">
        <v>45802</v>
      </c>
      <c r="B871" s="2" t="s">
        <v>19</v>
      </c>
      <c r="C871">
        <v>669.91687000000002</v>
      </c>
    </row>
    <row r="872" spans="1:3" x14ac:dyDescent="0.3">
      <c r="A872" s="1">
        <v>45803</v>
      </c>
      <c r="B872" s="2" t="s">
        <v>9</v>
      </c>
      <c r="C872">
        <v>0.75954999999999995</v>
      </c>
    </row>
    <row r="873" spans="1:3" x14ac:dyDescent="0.3">
      <c r="A873" s="1">
        <v>45803</v>
      </c>
      <c r="B873" s="2" t="s">
        <v>11</v>
      </c>
      <c r="C873">
        <v>109440.36719999999</v>
      </c>
    </row>
    <row r="874" spans="1:3" x14ac:dyDescent="0.3">
      <c r="A874" s="1">
        <v>45803</v>
      </c>
      <c r="B874" s="2" t="s">
        <v>13</v>
      </c>
      <c r="C874">
        <v>174.90790000000001</v>
      </c>
    </row>
    <row r="875" spans="1:3" x14ac:dyDescent="0.3">
      <c r="A875" s="1">
        <v>45803</v>
      </c>
      <c r="B875" s="2" t="s">
        <v>15</v>
      </c>
      <c r="C875">
        <v>2.3106599999999999</v>
      </c>
    </row>
    <row r="876" spans="1:3" x14ac:dyDescent="0.3">
      <c r="A876" s="1">
        <v>45803</v>
      </c>
      <c r="B876" s="2" t="s">
        <v>17</v>
      </c>
      <c r="C876">
        <v>2564.13843</v>
      </c>
    </row>
    <row r="877" spans="1:3" x14ac:dyDescent="0.3">
      <c r="A877" s="1">
        <v>45803</v>
      </c>
      <c r="B877" s="2" t="s">
        <v>19</v>
      </c>
      <c r="C877">
        <v>674.39264000000003</v>
      </c>
    </row>
    <row r="878" spans="1:3" x14ac:dyDescent="0.3">
      <c r="A878" s="1">
        <v>45804</v>
      </c>
      <c r="B878" s="2" t="s">
        <v>9</v>
      </c>
      <c r="C878">
        <v>0.75868000000000002</v>
      </c>
    </row>
    <row r="879" spans="1:3" x14ac:dyDescent="0.3">
      <c r="A879" s="1">
        <v>45804</v>
      </c>
      <c r="B879" s="2" t="s">
        <v>11</v>
      </c>
      <c r="C879">
        <v>108994.6406</v>
      </c>
    </row>
    <row r="880" spans="1:3" x14ac:dyDescent="0.3">
      <c r="A880" s="1">
        <v>45804</v>
      </c>
      <c r="B880" s="2" t="s">
        <v>13</v>
      </c>
      <c r="C880">
        <v>176.81519</v>
      </c>
    </row>
    <row r="881" spans="1:3" x14ac:dyDescent="0.3">
      <c r="A881" s="1">
        <v>45804</v>
      </c>
      <c r="B881" s="2" t="s">
        <v>15</v>
      </c>
      <c r="C881">
        <v>2.31867</v>
      </c>
    </row>
    <row r="882" spans="1:3" x14ac:dyDescent="0.3">
      <c r="A882" s="1">
        <v>45804</v>
      </c>
      <c r="B882" s="2" t="s">
        <v>17</v>
      </c>
      <c r="C882">
        <v>2663.0698200000002</v>
      </c>
    </row>
    <row r="883" spans="1:3" x14ac:dyDescent="0.3">
      <c r="A883" s="1">
        <v>45804</v>
      </c>
      <c r="B883" s="2" t="s">
        <v>19</v>
      </c>
      <c r="C883">
        <v>687.15948000000003</v>
      </c>
    </row>
    <row r="884" spans="1:3" x14ac:dyDescent="0.3">
      <c r="A884" s="1">
        <v>45805</v>
      </c>
      <c r="B884" s="2" t="s">
        <v>9</v>
      </c>
      <c r="C884">
        <v>0.74689000000000005</v>
      </c>
    </row>
    <row r="885" spans="1:3" x14ac:dyDescent="0.3">
      <c r="A885" s="1">
        <v>45805</v>
      </c>
      <c r="B885" s="2" t="s">
        <v>11</v>
      </c>
      <c r="C885">
        <v>107802.3281</v>
      </c>
    </row>
    <row r="886" spans="1:3" x14ac:dyDescent="0.3">
      <c r="A886" s="1">
        <v>45805</v>
      </c>
      <c r="B886" s="2" t="s">
        <v>13</v>
      </c>
      <c r="C886">
        <v>172.18956</v>
      </c>
    </row>
    <row r="887" spans="1:3" x14ac:dyDescent="0.3">
      <c r="A887" s="1">
        <v>45805</v>
      </c>
      <c r="B887" s="2" t="s">
        <v>15</v>
      </c>
      <c r="C887">
        <v>2.2742499999999999</v>
      </c>
    </row>
    <row r="888" spans="1:3" x14ac:dyDescent="0.3">
      <c r="A888" s="1">
        <v>45805</v>
      </c>
      <c r="B888" s="2" t="s">
        <v>17</v>
      </c>
      <c r="C888">
        <v>2682.2128899999998</v>
      </c>
    </row>
    <row r="889" spans="1:3" x14ac:dyDescent="0.3">
      <c r="A889" s="1">
        <v>45805</v>
      </c>
      <c r="B889" s="2" t="s">
        <v>19</v>
      </c>
      <c r="C889">
        <v>687.40552000000002</v>
      </c>
    </row>
    <row r="890" spans="1:3" x14ac:dyDescent="0.3">
      <c r="A890" s="1">
        <v>45806</v>
      </c>
      <c r="B890" s="2" t="s">
        <v>9</v>
      </c>
      <c r="C890">
        <v>0.72233999999999998</v>
      </c>
    </row>
    <row r="891" spans="1:3" x14ac:dyDescent="0.3">
      <c r="A891" s="1">
        <v>45806</v>
      </c>
      <c r="B891" s="2" t="s">
        <v>11</v>
      </c>
      <c r="C891">
        <v>105641.75780000001</v>
      </c>
    </row>
    <row r="892" spans="1:3" x14ac:dyDescent="0.3">
      <c r="A892" s="1">
        <v>45806</v>
      </c>
      <c r="B892" s="2" t="s">
        <v>13</v>
      </c>
      <c r="C892">
        <v>166.58817999999999</v>
      </c>
    </row>
    <row r="893" spans="1:3" x14ac:dyDescent="0.3">
      <c r="A893" s="1">
        <v>45806</v>
      </c>
      <c r="B893" s="2" t="s">
        <v>15</v>
      </c>
      <c r="C893">
        <v>2.2442500000000001</v>
      </c>
    </row>
    <row r="894" spans="1:3" x14ac:dyDescent="0.3">
      <c r="A894" s="1">
        <v>45806</v>
      </c>
      <c r="B894" s="2" t="s">
        <v>17</v>
      </c>
      <c r="C894">
        <v>2632.65479</v>
      </c>
    </row>
    <row r="895" spans="1:3" x14ac:dyDescent="0.3">
      <c r="A895" s="1">
        <v>45806</v>
      </c>
      <c r="B895" s="2" t="s">
        <v>19</v>
      </c>
      <c r="C895">
        <v>675.17218000000003</v>
      </c>
    </row>
    <row r="896" spans="1:3" x14ac:dyDescent="0.3">
      <c r="A896" s="1">
        <v>45807</v>
      </c>
      <c r="B896" s="2" t="s">
        <v>9</v>
      </c>
      <c r="C896">
        <v>0.68933</v>
      </c>
    </row>
    <row r="897" spans="1:3" x14ac:dyDescent="0.3">
      <c r="A897" s="1">
        <v>45807</v>
      </c>
      <c r="B897" s="2" t="s">
        <v>11</v>
      </c>
      <c r="C897">
        <v>103998.57030000001</v>
      </c>
    </row>
    <row r="898" spans="1:3" x14ac:dyDescent="0.3">
      <c r="A898" s="1">
        <v>45807</v>
      </c>
      <c r="B898" s="2" t="s">
        <v>13</v>
      </c>
      <c r="C898">
        <v>156.23471000000001</v>
      </c>
    </row>
    <row r="899" spans="1:3" x14ac:dyDescent="0.3">
      <c r="A899" s="1">
        <v>45807</v>
      </c>
      <c r="B899" s="2" t="s">
        <v>15</v>
      </c>
      <c r="C899">
        <v>2.13863</v>
      </c>
    </row>
    <row r="900" spans="1:3" x14ac:dyDescent="0.3">
      <c r="A900" s="1">
        <v>45807</v>
      </c>
      <c r="B900" s="2" t="s">
        <v>17</v>
      </c>
      <c r="C900">
        <v>2529.9436000000001</v>
      </c>
    </row>
    <row r="901" spans="1:3" x14ac:dyDescent="0.3">
      <c r="A901" s="1">
        <v>45807</v>
      </c>
      <c r="B901" s="2" t="s">
        <v>19</v>
      </c>
      <c r="C901">
        <v>655.48217999999997</v>
      </c>
    </row>
    <row r="902" spans="1:3" x14ac:dyDescent="0.3">
      <c r="A902" s="1">
        <v>45808</v>
      </c>
      <c r="B902" s="2" t="s">
        <v>9</v>
      </c>
      <c r="C902">
        <v>0.68606999999999996</v>
      </c>
    </row>
    <row r="903" spans="1:3" x14ac:dyDescent="0.3">
      <c r="A903" s="1">
        <v>45808</v>
      </c>
      <c r="B903" s="2" t="s">
        <v>11</v>
      </c>
      <c r="C903">
        <v>104638.0938</v>
      </c>
    </row>
    <row r="904" spans="1:3" x14ac:dyDescent="0.3">
      <c r="A904" s="1">
        <v>45808</v>
      </c>
      <c r="B904" s="2" t="s">
        <v>13</v>
      </c>
      <c r="C904">
        <v>156.63894999999999</v>
      </c>
    </row>
    <row r="905" spans="1:3" x14ac:dyDescent="0.3">
      <c r="A905" s="1">
        <v>45808</v>
      </c>
      <c r="B905" s="2" t="s">
        <v>15</v>
      </c>
      <c r="C905">
        <v>2.1750600000000002</v>
      </c>
    </row>
    <row r="906" spans="1:3" x14ac:dyDescent="0.3">
      <c r="A906" s="1">
        <v>45808</v>
      </c>
      <c r="B906" s="2" t="s">
        <v>17</v>
      </c>
      <c r="C906">
        <v>2529.0873999999999</v>
      </c>
    </row>
    <row r="907" spans="1:3" x14ac:dyDescent="0.3">
      <c r="A907" s="1">
        <v>45808</v>
      </c>
      <c r="B907" s="2" t="s">
        <v>19</v>
      </c>
      <c r="C907">
        <v>658.50127999999995</v>
      </c>
    </row>
    <row r="908" spans="1:3" x14ac:dyDescent="0.3">
      <c r="A908" s="1">
        <v>45809</v>
      </c>
      <c r="B908" s="2" t="s">
        <v>9</v>
      </c>
      <c r="C908">
        <v>0.68496999999999997</v>
      </c>
    </row>
    <row r="909" spans="1:3" x14ac:dyDescent="0.3">
      <c r="A909" s="1">
        <v>45809</v>
      </c>
      <c r="B909" s="2" t="s">
        <v>11</v>
      </c>
      <c r="C909">
        <v>105652.10159999999</v>
      </c>
    </row>
    <row r="910" spans="1:3" x14ac:dyDescent="0.3">
      <c r="A910" s="1">
        <v>45809</v>
      </c>
      <c r="B910" s="2" t="s">
        <v>13</v>
      </c>
      <c r="C910">
        <v>157.78455</v>
      </c>
    </row>
    <row r="911" spans="1:3" x14ac:dyDescent="0.3">
      <c r="A911" s="1">
        <v>45809</v>
      </c>
      <c r="B911" s="2" t="s">
        <v>15</v>
      </c>
      <c r="C911">
        <v>2.1791800000000001</v>
      </c>
    </row>
    <row r="912" spans="1:3" x14ac:dyDescent="0.3">
      <c r="A912" s="1">
        <v>45809</v>
      </c>
      <c r="B912" s="2" t="s">
        <v>17</v>
      </c>
      <c r="C912">
        <v>2536.2663600000001</v>
      </c>
    </row>
    <row r="913" spans="1:3" x14ac:dyDescent="0.3">
      <c r="A913" s="1">
        <v>45809</v>
      </c>
      <c r="B913" s="2" t="s">
        <v>19</v>
      </c>
      <c r="C913">
        <v>660.99176</v>
      </c>
    </row>
    <row r="914" spans="1:3" x14ac:dyDescent="0.3">
      <c r="A914" s="1">
        <v>45810</v>
      </c>
      <c r="B914" s="2" t="s">
        <v>9</v>
      </c>
      <c r="C914">
        <v>0.68967999999999996</v>
      </c>
    </row>
    <row r="915" spans="1:3" x14ac:dyDescent="0.3">
      <c r="A915" s="1">
        <v>45810</v>
      </c>
      <c r="B915" s="2" t="s">
        <v>11</v>
      </c>
      <c r="C915">
        <v>105881.5313</v>
      </c>
    </row>
    <row r="916" spans="1:3" x14ac:dyDescent="0.3">
      <c r="A916" s="1">
        <v>45810</v>
      </c>
      <c r="B916" s="2" t="s">
        <v>13</v>
      </c>
      <c r="C916">
        <v>156.99806000000001</v>
      </c>
    </row>
    <row r="917" spans="1:3" x14ac:dyDescent="0.3">
      <c r="A917" s="1">
        <v>45810</v>
      </c>
      <c r="B917" s="2" t="s">
        <v>15</v>
      </c>
      <c r="C917">
        <v>2.1977600000000002</v>
      </c>
    </row>
    <row r="918" spans="1:3" x14ac:dyDescent="0.3">
      <c r="A918" s="1">
        <v>45810</v>
      </c>
      <c r="B918" s="2" t="s">
        <v>17</v>
      </c>
      <c r="C918">
        <v>2607.0974099999999</v>
      </c>
    </row>
    <row r="919" spans="1:3" x14ac:dyDescent="0.3">
      <c r="A919" s="1">
        <v>45810</v>
      </c>
      <c r="B919" s="2" t="s">
        <v>19</v>
      </c>
      <c r="C919">
        <v>666.59076000000005</v>
      </c>
    </row>
    <row r="920" spans="1:3" x14ac:dyDescent="0.3">
      <c r="A920" s="1">
        <v>45811</v>
      </c>
      <c r="B920" s="2" t="s">
        <v>9</v>
      </c>
      <c r="C920">
        <v>0.68461000000000005</v>
      </c>
    </row>
    <row r="921" spans="1:3" x14ac:dyDescent="0.3">
      <c r="A921" s="1">
        <v>45811</v>
      </c>
      <c r="B921" s="2" t="s">
        <v>11</v>
      </c>
      <c r="C921">
        <v>105432.4688</v>
      </c>
    </row>
    <row r="922" spans="1:3" x14ac:dyDescent="0.3">
      <c r="A922" s="1">
        <v>45811</v>
      </c>
      <c r="B922" s="2" t="s">
        <v>13</v>
      </c>
      <c r="C922">
        <v>155.34316999999999</v>
      </c>
    </row>
    <row r="923" spans="1:3" x14ac:dyDescent="0.3">
      <c r="A923" s="1">
        <v>45811</v>
      </c>
      <c r="B923" s="2" t="s">
        <v>15</v>
      </c>
      <c r="C923">
        <v>2.2468400000000002</v>
      </c>
    </row>
    <row r="924" spans="1:3" x14ac:dyDescent="0.3">
      <c r="A924" s="1">
        <v>45811</v>
      </c>
      <c r="B924" s="2" t="s">
        <v>17</v>
      </c>
      <c r="C924">
        <v>2593.2802700000002</v>
      </c>
    </row>
    <row r="925" spans="1:3" x14ac:dyDescent="0.3">
      <c r="A925" s="1">
        <v>45811</v>
      </c>
      <c r="B925" s="2" t="s">
        <v>19</v>
      </c>
      <c r="C925">
        <v>661.69890999999996</v>
      </c>
    </row>
    <row r="926" spans="1:3" x14ac:dyDescent="0.3">
      <c r="A926" s="1">
        <v>45812</v>
      </c>
      <c r="B926" s="2" t="s">
        <v>9</v>
      </c>
      <c r="C926">
        <v>0.66588999999999998</v>
      </c>
    </row>
    <row r="927" spans="1:3" x14ac:dyDescent="0.3">
      <c r="A927" s="1">
        <v>45812</v>
      </c>
      <c r="B927" s="2" t="s">
        <v>11</v>
      </c>
      <c r="C927">
        <v>104731.9844</v>
      </c>
    </row>
    <row r="928" spans="1:3" x14ac:dyDescent="0.3">
      <c r="A928" s="1">
        <v>45812</v>
      </c>
      <c r="B928" s="2" t="s">
        <v>13</v>
      </c>
      <c r="C928">
        <v>153.35964999999999</v>
      </c>
    </row>
    <row r="929" spans="1:3" x14ac:dyDescent="0.3">
      <c r="A929" s="1">
        <v>45812</v>
      </c>
      <c r="B929" s="2" t="s">
        <v>15</v>
      </c>
      <c r="C929">
        <v>2.2023100000000002</v>
      </c>
    </row>
    <row r="930" spans="1:3" x14ac:dyDescent="0.3">
      <c r="A930" s="1">
        <v>45812</v>
      </c>
      <c r="B930" s="2" t="s">
        <v>17</v>
      </c>
      <c r="C930">
        <v>2608.6430700000001</v>
      </c>
    </row>
    <row r="931" spans="1:3" x14ac:dyDescent="0.3">
      <c r="A931" s="1">
        <v>45812</v>
      </c>
      <c r="B931" s="2" t="s">
        <v>19</v>
      </c>
      <c r="C931">
        <v>663.70630000000006</v>
      </c>
    </row>
    <row r="932" spans="1:3" x14ac:dyDescent="0.3">
      <c r="A932" s="1">
        <v>45813</v>
      </c>
      <c r="B932" s="2" t="s">
        <v>9</v>
      </c>
      <c r="C932">
        <v>0.62756999999999996</v>
      </c>
    </row>
    <row r="933" spans="1:3" x14ac:dyDescent="0.3">
      <c r="A933" s="1">
        <v>45813</v>
      </c>
      <c r="B933" s="2" t="s">
        <v>11</v>
      </c>
      <c r="C933">
        <v>101575.9531</v>
      </c>
    </row>
    <row r="934" spans="1:3" x14ac:dyDescent="0.3">
      <c r="A934" s="1">
        <v>45813</v>
      </c>
      <c r="B934" s="2" t="s">
        <v>13</v>
      </c>
      <c r="C934">
        <v>144.54294999999999</v>
      </c>
    </row>
    <row r="935" spans="1:3" x14ac:dyDescent="0.3">
      <c r="A935" s="1">
        <v>45813</v>
      </c>
      <c r="B935" s="2" t="s">
        <v>15</v>
      </c>
      <c r="C935">
        <v>2.0976300000000001</v>
      </c>
    </row>
    <row r="936" spans="1:3" x14ac:dyDescent="0.3">
      <c r="A936" s="1">
        <v>45813</v>
      </c>
      <c r="B936" s="2" t="s">
        <v>17</v>
      </c>
      <c r="C936">
        <v>2416.2856499999998</v>
      </c>
    </row>
    <row r="937" spans="1:3" x14ac:dyDescent="0.3">
      <c r="A937" s="1">
        <v>45813</v>
      </c>
      <c r="B937" s="2" t="s">
        <v>19</v>
      </c>
      <c r="C937">
        <v>634.05358999999999</v>
      </c>
    </row>
    <row r="938" spans="1:3" x14ac:dyDescent="0.3">
      <c r="A938" s="1">
        <v>45814</v>
      </c>
      <c r="B938" s="2" t="s">
        <v>9</v>
      </c>
      <c r="C938">
        <v>0.65641000000000005</v>
      </c>
    </row>
    <row r="939" spans="1:3" x14ac:dyDescent="0.3">
      <c r="A939" s="1">
        <v>45814</v>
      </c>
      <c r="B939" s="2" t="s">
        <v>11</v>
      </c>
      <c r="C939">
        <v>104390.3438</v>
      </c>
    </row>
    <row r="940" spans="1:3" x14ac:dyDescent="0.3">
      <c r="A940" s="1">
        <v>45814</v>
      </c>
      <c r="B940" s="2" t="s">
        <v>13</v>
      </c>
      <c r="C940">
        <v>147.91313</v>
      </c>
    </row>
    <row r="941" spans="1:3" x14ac:dyDescent="0.3">
      <c r="A941" s="1">
        <v>45814</v>
      </c>
      <c r="B941" s="2" t="s">
        <v>15</v>
      </c>
      <c r="C941">
        <v>2.1624099999999999</v>
      </c>
    </row>
    <row r="942" spans="1:3" x14ac:dyDescent="0.3">
      <c r="A942" s="1">
        <v>45814</v>
      </c>
      <c r="B942" s="2" t="s">
        <v>17</v>
      </c>
      <c r="C942">
        <v>2477.1948200000002</v>
      </c>
    </row>
    <row r="943" spans="1:3" x14ac:dyDescent="0.3">
      <c r="A943" s="1">
        <v>45814</v>
      </c>
      <c r="B943" s="2" t="s">
        <v>19</v>
      </c>
      <c r="C943">
        <v>643.43420000000003</v>
      </c>
    </row>
    <row r="944" spans="1:3" x14ac:dyDescent="0.3">
      <c r="A944" s="1">
        <v>45815</v>
      </c>
      <c r="B944" s="2" t="s">
        <v>9</v>
      </c>
      <c r="C944">
        <v>0.66500999999999999</v>
      </c>
    </row>
    <row r="945" spans="1:3" x14ac:dyDescent="0.3">
      <c r="A945" s="1">
        <v>45815</v>
      </c>
      <c r="B945" s="2" t="s">
        <v>11</v>
      </c>
      <c r="C945">
        <v>105615.625</v>
      </c>
    </row>
    <row r="946" spans="1:3" x14ac:dyDescent="0.3">
      <c r="A946" s="1">
        <v>45815</v>
      </c>
      <c r="B946" s="2" t="s">
        <v>13</v>
      </c>
      <c r="C946">
        <v>150.13406000000001</v>
      </c>
    </row>
    <row r="947" spans="1:3" x14ac:dyDescent="0.3">
      <c r="A947" s="1">
        <v>45815</v>
      </c>
      <c r="B947" s="2" t="s">
        <v>15</v>
      </c>
      <c r="C947">
        <v>2.17855</v>
      </c>
    </row>
    <row r="948" spans="1:3" x14ac:dyDescent="0.3">
      <c r="A948" s="1">
        <v>45815</v>
      </c>
      <c r="B948" s="2" t="s">
        <v>17</v>
      </c>
      <c r="C948">
        <v>2526.5053699999999</v>
      </c>
    </row>
    <row r="949" spans="1:3" x14ac:dyDescent="0.3">
      <c r="A949" s="1">
        <v>45815</v>
      </c>
      <c r="B949" s="2" t="s">
        <v>19</v>
      </c>
      <c r="C949">
        <v>651.15044999999998</v>
      </c>
    </row>
    <row r="950" spans="1:3" x14ac:dyDescent="0.3">
      <c r="A950" s="1">
        <v>45816</v>
      </c>
      <c r="B950" s="2" t="s">
        <v>9</v>
      </c>
      <c r="C950">
        <v>0.66990000000000005</v>
      </c>
    </row>
    <row r="951" spans="1:3" x14ac:dyDescent="0.3">
      <c r="A951" s="1">
        <v>45816</v>
      </c>
      <c r="B951" s="2" t="s">
        <v>11</v>
      </c>
      <c r="C951">
        <v>105793.64840000001</v>
      </c>
    </row>
    <row r="952" spans="1:3" x14ac:dyDescent="0.3">
      <c r="A952" s="1">
        <v>45816</v>
      </c>
      <c r="B952" s="2" t="s">
        <v>13</v>
      </c>
      <c r="C952">
        <v>152.43010000000001</v>
      </c>
    </row>
    <row r="953" spans="1:3" x14ac:dyDescent="0.3">
      <c r="A953" s="1">
        <v>45816</v>
      </c>
      <c r="B953" s="2" t="s">
        <v>15</v>
      </c>
      <c r="C953">
        <v>2.2654999999999998</v>
      </c>
    </row>
    <row r="954" spans="1:3" x14ac:dyDescent="0.3">
      <c r="A954" s="1">
        <v>45816</v>
      </c>
      <c r="B954" s="2" t="s">
        <v>17</v>
      </c>
      <c r="C954">
        <v>2510.7871100000002</v>
      </c>
    </row>
    <row r="955" spans="1:3" x14ac:dyDescent="0.3">
      <c r="A955" s="1">
        <v>45816</v>
      </c>
      <c r="B955" s="2" t="s">
        <v>19</v>
      </c>
      <c r="C955">
        <v>652.14783</v>
      </c>
    </row>
    <row r="956" spans="1:3" x14ac:dyDescent="0.3">
      <c r="A956" s="1">
        <v>45817</v>
      </c>
      <c r="B956" s="2" t="s">
        <v>9</v>
      </c>
      <c r="C956">
        <v>0.70504999999999995</v>
      </c>
    </row>
    <row r="957" spans="1:3" x14ac:dyDescent="0.3">
      <c r="A957" s="1">
        <v>45817</v>
      </c>
      <c r="B957" s="2" t="s">
        <v>11</v>
      </c>
      <c r="C957">
        <v>110294.10159999999</v>
      </c>
    </row>
    <row r="958" spans="1:3" x14ac:dyDescent="0.3">
      <c r="A958" s="1">
        <v>45817</v>
      </c>
      <c r="B958" s="2" t="s">
        <v>13</v>
      </c>
      <c r="C958">
        <v>161.08865</v>
      </c>
    </row>
    <row r="959" spans="1:3" x14ac:dyDescent="0.3">
      <c r="A959" s="1">
        <v>45817</v>
      </c>
      <c r="B959" s="2" t="s">
        <v>15</v>
      </c>
      <c r="C959">
        <v>2.32037</v>
      </c>
    </row>
    <row r="960" spans="1:3" x14ac:dyDescent="0.3">
      <c r="A960" s="1">
        <v>45817</v>
      </c>
      <c r="B960" s="2" t="s">
        <v>17</v>
      </c>
      <c r="C960">
        <v>2681.5170899999998</v>
      </c>
    </row>
    <row r="961" spans="1:3" x14ac:dyDescent="0.3">
      <c r="A961" s="1">
        <v>45817</v>
      </c>
      <c r="B961" s="2" t="s">
        <v>19</v>
      </c>
      <c r="C961">
        <v>665.95403999999996</v>
      </c>
    </row>
    <row r="962" spans="1:3" x14ac:dyDescent="0.3">
      <c r="A962" s="1">
        <v>45818</v>
      </c>
      <c r="B962" s="2" t="s">
        <v>9</v>
      </c>
      <c r="C962">
        <v>0.71591000000000005</v>
      </c>
    </row>
    <row r="963" spans="1:3" x14ac:dyDescent="0.3">
      <c r="A963" s="1">
        <v>45818</v>
      </c>
      <c r="B963" s="2" t="s">
        <v>11</v>
      </c>
      <c r="C963">
        <v>110257.2344</v>
      </c>
    </row>
    <row r="964" spans="1:3" x14ac:dyDescent="0.3">
      <c r="A964" s="1">
        <v>45818</v>
      </c>
      <c r="B964" s="2" t="s">
        <v>13</v>
      </c>
      <c r="C964">
        <v>165.02816999999999</v>
      </c>
    </row>
    <row r="965" spans="1:3" x14ac:dyDescent="0.3">
      <c r="A965" s="1">
        <v>45818</v>
      </c>
      <c r="B965" s="2" t="s">
        <v>15</v>
      </c>
      <c r="C965">
        <v>2.3052800000000002</v>
      </c>
    </row>
    <row r="966" spans="1:3" x14ac:dyDescent="0.3">
      <c r="A966" s="1">
        <v>45818</v>
      </c>
      <c r="B966" s="2" t="s">
        <v>17</v>
      </c>
      <c r="C966">
        <v>2813.5175800000002</v>
      </c>
    </row>
    <row r="967" spans="1:3" x14ac:dyDescent="0.3">
      <c r="A967" s="1">
        <v>45818</v>
      </c>
      <c r="B967" s="2" t="s">
        <v>19</v>
      </c>
      <c r="C967">
        <v>673.61046999999996</v>
      </c>
    </row>
    <row r="968" spans="1:3" x14ac:dyDescent="0.3">
      <c r="A968" s="1">
        <v>45819</v>
      </c>
      <c r="B968" s="2" t="s">
        <v>9</v>
      </c>
      <c r="C968">
        <v>0.69816</v>
      </c>
    </row>
    <row r="969" spans="1:3" x14ac:dyDescent="0.3">
      <c r="A969" s="1">
        <v>45819</v>
      </c>
      <c r="B969" s="2" t="s">
        <v>11</v>
      </c>
      <c r="C969">
        <v>108686.625</v>
      </c>
    </row>
    <row r="970" spans="1:3" x14ac:dyDescent="0.3">
      <c r="A970" s="1">
        <v>45819</v>
      </c>
      <c r="B970" s="2" t="s">
        <v>13</v>
      </c>
      <c r="C970">
        <v>161.05586</v>
      </c>
    </row>
    <row r="971" spans="1:3" x14ac:dyDescent="0.3">
      <c r="A971" s="1">
        <v>45819</v>
      </c>
      <c r="B971" s="2" t="s">
        <v>15</v>
      </c>
      <c r="C971">
        <v>2.2708699999999999</v>
      </c>
    </row>
    <row r="972" spans="1:3" x14ac:dyDescent="0.3">
      <c r="A972" s="1">
        <v>45819</v>
      </c>
      <c r="B972" s="2" t="s">
        <v>17</v>
      </c>
      <c r="C972">
        <v>2773.5293000000001</v>
      </c>
    </row>
    <row r="973" spans="1:3" x14ac:dyDescent="0.3">
      <c r="A973" s="1">
        <v>45819</v>
      </c>
      <c r="B973" s="2" t="s">
        <v>19</v>
      </c>
      <c r="C973">
        <v>667.66907000000003</v>
      </c>
    </row>
    <row r="974" spans="1:3" x14ac:dyDescent="0.3">
      <c r="A974" s="1">
        <v>45820</v>
      </c>
      <c r="B974" s="2" t="s">
        <v>9</v>
      </c>
      <c r="C974">
        <v>0.66383999999999999</v>
      </c>
    </row>
    <row r="975" spans="1:3" x14ac:dyDescent="0.3">
      <c r="A975" s="1">
        <v>45820</v>
      </c>
      <c r="B975" s="2" t="s">
        <v>11</v>
      </c>
      <c r="C975">
        <v>105929.05469999999</v>
      </c>
    </row>
    <row r="976" spans="1:3" x14ac:dyDescent="0.3">
      <c r="A976" s="1">
        <v>45820</v>
      </c>
      <c r="B976" s="2" t="s">
        <v>13</v>
      </c>
      <c r="C976">
        <v>152.78967</v>
      </c>
    </row>
    <row r="977" spans="1:3" x14ac:dyDescent="0.3">
      <c r="A977" s="1">
        <v>45820</v>
      </c>
      <c r="B977" s="2" t="s">
        <v>15</v>
      </c>
      <c r="C977">
        <v>2.1947700000000001</v>
      </c>
    </row>
    <row r="978" spans="1:3" x14ac:dyDescent="0.3">
      <c r="A978" s="1">
        <v>45820</v>
      </c>
      <c r="B978" s="2" t="s">
        <v>17</v>
      </c>
      <c r="C978">
        <v>2651.7951699999999</v>
      </c>
    </row>
    <row r="979" spans="1:3" x14ac:dyDescent="0.3">
      <c r="A979" s="1">
        <v>45820</v>
      </c>
      <c r="B979" s="2" t="s">
        <v>19</v>
      </c>
      <c r="C979">
        <v>656.24383999999998</v>
      </c>
    </row>
    <row r="980" spans="1:3" x14ac:dyDescent="0.3">
      <c r="A980" s="1">
        <v>45821</v>
      </c>
      <c r="B980" s="2" t="s">
        <v>9</v>
      </c>
      <c r="C980">
        <v>0.64214000000000004</v>
      </c>
    </row>
    <row r="981" spans="1:3" x14ac:dyDescent="0.3">
      <c r="A981" s="1">
        <v>45821</v>
      </c>
      <c r="B981" s="2" t="s">
        <v>11</v>
      </c>
      <c r="C981">
        <v>106090.9688</v>
      </c>
    </row>
    <row r="982" spans="1:3" x14ac:dyDescent="0.3">
      <c r="A982" s="1">
        <v>45821</v>
      </c>
      <c r="B982" s="2" t="s">
        <v>13</v>
      </c>
      <c r="C982">
        <v>148.62835999999999</v>
      </c>
    </row>
    <row r="983" spans="1:3" x14ac:dyDescent="0.3">
      <c r="A983" s="1">
        <v>45821</v>
      </c>
      <c r="B983" s="2" t="s">
        <v>15</v>
      </c>
      <c r="C983">
        <v>2.1490300000000002</v>
      </c>
    </row>
    <row r="984" spans="1:3" x14ac:dyDescent="0.3">
      <c r="A984" s="1">
        <v>45821</v>
      </c>
      <c r="B984" s="2" t="s">
        <v>17</v>
      </c>
      <c r="C984">
        <v>2579.4860800000001</v>
      </c>
    </row>
    <row r="985" spans="1:3" x14ac:dyDescent="0.3">
      <c r="A985" s="1">
        <v>45821</v>
      </c>
      <c r="B985" s="2" t="s">
        <v>19</v>
      </c>
      <c r="C985">
        <v>655.25573999999995</v>
      </c>
    </row>
    <row r="986" spans="1:3" x14ac:dyDescent="0.3">
      <c r="A986" s="1">
        <v>45822</v>
      </c>
      <c r="B986" s="2" t="s">
        <v>9</v>
      </c>
      <c r="C986">
        <v>0.62495000000000001</v>
      </c>
    </row>
    <row r="987" spans="1:3" x14ac:dyDescent="0.3">
      <c r="A987" s="1">
        <v>45822</v>
      </c>
      <c r="B987" s="2" t="s">
        <v>11</v>
      </c>
      <c r="C987">
        <v>105472.4063</v>
      </c>
    </row>
    <row r="988" spans="1:3" x14ac:dyDescent="0.3">
      <c r="A988" s="1">
        <v>45822</v>
      </c>
      <c r="B988" s="2" t="s">
        <v>13</v>
      </c>
      <c r="C988">
        <v>144.76374999999999</v>
      </c>
    </row>
    <row r="989" spans="1:3" x14ac:dyDescent="0.3">
      <c r="A989" s="1">
        <v>45822</v>
      </c>
      <c r="B989" s="2" t="s">
        <v>15</v>
      </c>
      <c r="C989">
        <v>2.14141</v>
      </c>
    </row>
    <row r="990" spans="1:3" x14ac:dyDescent="0.3">
      <c r="A990" s="1">
        <v>45822</v>
      </c>
      <c r="B990" s="2" t="s">
        <v>17</v>
      </c>
      <c r="C990">
        <v>2533.44409</v>
      </c>
    </row>
    <row r="991" spans="1:3" x14ac:dyDescent="0.3">
      <c r="A991" s="1">
        <v>45822</v>
      </c>
      <c r="B991" s="2" t="s">
        <v>19</v>
      </c>
      <c r="C991">
        <v>645.91278</v>
      </c>
    </row>
    <row r="992" spans="1:3" x14ac:dyDescent="0.3">
      <c r="A992" s="1">
        <v>45823</v>
      </c>
      <c r="B992" s="2" t="s">
        <v>9</v>
      </c>
      <c r="C992">
        <v>0.63385000000000002</v>
      </c>
    </row>
    <row r="993" spans="1:3" x14ac:dyDescent="0.3">
      <c r="A993" s="1">
        <v>45823</v>
      </c>
      <c r="B993" s="2" t="s">
        <v>11</v>
      </c>
      <c r="C993">
        <v>105552.02340000001</v>
      </c>
    </row>
    <row r="994" spans="1:3" x14ac:dyDescent="0.3">
      <c r="A994" s="1">
        <v>45823</v>
      </c>
      <c r="B994" s="2" t="s">
        <v>13</v>
      </c>
      <c r="C994">
        <v>152.81439</v>
      </c>
    </row>
    <row r="995" spans="1:3" x14ac:dyDescent="0.3">
      <c r="A995" s="1">
        <v>45823</v>
      </c>
      <c r="B995" s="2" t="s">
        <v>15</v>
      </c>
      <c r="C995">
        <v>2.1671800000000001</v>
      </c>
    </row>
    <row r="996" spans="1:3" x14ac:dyDescent="0.3">
      <c r="A996" s="1">
        <v>45823</v>
      </c>
      <c r="B996" s="2" t="s">
        <v>17</v>
      </c>
      <c r="C996">
        <v>2546.83716</v>
      </c>
    </row>
    <row r="997" spans="1:3" x14ac:dyDescent="0.3">
      <c r="A997" s="1">
        <v>45823</v>
      </c>
      <c r="B997" s="2" t="s">
        <v>19</v>
      </c>
      <c r="C997">
        <v>648.28075999999999</v>
      </c>
    </row>
    <row r="998" spans="1:3" x14ac:dyDescent="0.3">
      <c r="A998" s="1">
        <v>45824</v>
      </c>
      <c r="B998" s="2" t="s">
        <v>9</v>
      </c>
      <c r="C998">
        <v>0.63163000000000002</v>
      </c>
    </row>
    <row r="999" spans="1:3" x14ac:dyDescent="0.3">
      <c r="A999" s="1">
        <v>45824</v>
      </c>
      <c r="B999" s="2" t="s">
        <v>11</v>
      </c>
      <c r="C999">
        <v>106796.75780000001</v>
      </c>
    </row>
    <row r="1000" spans="1:3" x14ac:dyDescent="0.3">
      <c r="A1000" s="1">
        <v>45824</v>
      </c>
      <c r="B1000" s="2" t="s">
        <v>13</v>
      </c>
      <c r="C1000">
        <v>150.87</v>
      </c>
    </row>
    <row r="1001" spans="1:3" x14ac:dyDescent="0.3">
      <c r="A1001" s="1">
        <v>45824</v>
      </c>
      <c r="B1001" s="2" t="s">
        <v>15</v>
      </c>
      <c r="C1001">
        <v>2.2417699999999998</v>
      </c>
    </row>
    <row r="1002" spans="1:3" x14ac:dyDescent="0.3">
      <c r="A1002" s="1">
        <v>45824</v>
      </c>
      <c r="B1002" s="2" t="s">
        <v>17</v>
      </c>
      <c r="C1002">
        <v>2540.6049800000001</v>
      </c>
    </row>
    <row r="1003" spans="1:3" x14ac:dyDescent="0.3">
      <c r="A1003" s="1">
        <v>45824</v>
      </c>
      <c r="B1003" s="2" t="s">
        <v>19</v>
      </c>
      <c r="C1003">
        <v>650.96172999999999</v>
      </c>
    </row>
    <row r="1004" spans="1:3" x14ac:dyDescent="0.3">
      <c r="A1004" s="1">
        <v>45825</v>
      </c>
      <c r="B1004" s="2" t="s">
        <v>9</v>
      </c>
      <c r="C1004">
        <v>0.61045000000000005</v>
      </c>
    </row>
    <row r="1005" spans="1:3" x14ac:dyDescent="0.3">
      <c r="A1005" s="1">
        <v>45825</v>
      </c>
      <c r="B1005" s="2" t="s">
        <v>11</v>
      </c>
      <c r="C1005">
        <v>104601.11719999999</v>
      </c>
    </row>
    <row r="1006" spans="1:3" x14ac:dyDescent="0.3">
      <c r="A1006" s="1">
        <v>45825</v>
      </c>
      <c r="B1006" s="2" t="s">
        <v>13</v>
      </c>
      <c r="C1006">
        <v>147.74979999999999</v>
      </c>
    </row>
    <row r="1007" spans="1:3" x14ac:dyDescent="0.3">
      <c r="A1007" s="1">
        <v>45825</v>
      </c>
      <c r="B1007" s="2" t="s">
        <v>15</v>
      </c>
      <c r="C1007">
        <v>2.1607099999999999</v>
      </c>
    </row>
    <row r="1008" spans="1:3" x14ac:dyDescent="0.3">
      <c r="A1008" s="1">
        <v>45825</v>
      </c>
      <c r="B1008" s="2" t="s">
        <v>17</v>
      </c>
      <c r="C1008">
        <v>2510.7614800000001</v>
      </c>
    </row>
    <row r="1009" spans="1:3" x14ac:dyDescent="0.3">
      <c r="A1009" s="1">
        <v>45825</v>
      </c>
      <c r="B1009" s="2" t="s">
        <v>19</v>
      </c>
      <c r="C1009">
        <v>648.51080000000002</v>
      </c>
    </row>
    <row r="1010" spans="1:3" x14ac:dyDescent="0.3">
      <c r="A1010" s="1">
        <v>45826</v>
      </c>
      <c r="B1010" s="2" t="s">
        <v>9</v>
      </c>
      <c r="C1010">
        <v>0.60345000000000004</v>
      </c>
    </row>
    <row r="1011" spans="1:3" x14ac:dyDescent="0.3">
      <c r="A1011" s="1">
        <v>45826</v>
      </c>
      <c r="B1011" s="2" t="s">
        <v>11</v>
      </c>
      <c r="C1011">
        <v>104883.3281</v>
      </c>
    </row>
    <row r="1012" spans="1:3" x14ac:dyDescent="0.3">
      <c r="A1012" s="1">
        <v>45826</v>
      </c>
      <c r="B1012" s="2" t="s">
        <v>13</v>
      </c>
      <c r="C1012">
        <v>146.35311999999999</v>
      </c>
    </row>
    <row r="1013" spans="1:3" x14ac:dyDescent="0.3">
      <c r="A1013" s="1">
        <v>45826</v>
      </c>
      <c r="B1013" s="2" t="s">
        <v>15</v>
      </c>
      <c r="C1013">
        <v>2.16967</v>
      </c>
    </row>
    <row r="1014" spans="1:3" x14ac:dyDescent="0.3">
      <c r="A1014" s="1">
        <v>45826</v>
      </c>
      <c r="B1014" s="2" t="s">
        <v>17</v>
      </c>
      <c r="C1014">
        <v>2524.3015099999998</v>
      </c>
    </row>
    <row r="1015" spans="1:3" x14ac:dyDescent="0.3">
      <c r="A1015" s="1">
        <v>45826</v>
      </c>
      <c r="B1015" s="2" t="s">
        <v>19</v>
      </c>
      <c r="C1015">
        <v>644.80676000000005</v>
      </c>
    </row>
    <row r="1016" spans="1:3" x14ac:dyDescent="0.3">
      <c r="A1016" s="1">
        <v>45827</v>
      </c>
      <c r="B1016" s="2" t="s">
        <v>9</v>
      </c>
      <c r="C1016">
        <v>0.60211999999999999</v>
      </c>
    </row>
    <row r="1017" spans="1:3" x14ac:dyDescent="0.3">
      <c r="A1017" s="1">
        <v>45827</v>
      </c>
      <c r="B1017" s="2" t="s">
        <v>11</v>
      </c>
      <c r="C1017">
        <v>104684.28909999999</v>
      </c>
    </row>
    <row r="1018" spans="1:3" x14ac:dyDescent="0.3">
      <c r="A1018" s="1">
        <v>45827</v>
      </c>
      <c r="B1018" s="2" t="s">
        <v>13</v>
      </c>
      <c r="C1018">
        <v>147.07147000000001</v>
      </c>
    </row>
    <row r="1019" spans="1:3" x14ac:dyDescent="0.3">
      <c r="A1019" s="1">
        <v>45827</v>
      </c>
      <c r="B1019" s="2" t="s">
        <v>15</v>
      </c>
      <c r="C1019">
        <v>2.16594</v>
      </c>
    </row>
    <row r="1020" spans="1:3" x14ac:dyDescent="0.3">
      <c r="A1020" s="1">
        <v>45827</v>
      </c>
      <c r="B1020" s="2" t="s">
        <v>17</v>
      </c>
      <c r="C1020">
        <v>2521.6535600000002</v>
      </c>
    </row>
    <row r="1021" spans="1:3" x14ac:dyDescent="0.3">
      <c r="A1021" s="1">
        <v>45827</v>
      </c>
      <c r="B1021" s="2" t="s">
        <v>19</v>
      </c>
      <c r="C1021">
        <v>644.68073000000004</v>
      </c>
    </row>
    <row r="1022" spans="1:3" x14ac:dyDescent="0.3">
      <c r="A1022" s="1">
        <v>45828</v>
      </c>
      <c r="B1022" s="2" t="s">
        <v>9</v>
      </c>
      <c r="C1022">
        <v>0.57726</v>
      </c>
    </row>
    <row r="1023" spans="1:3" x14ac:dyDescent="0.3">
      <c r="A1023" s="1">
        <v>45828</v>
      </c>
      <c r="B1023" s="2" t="s">
        <v>11</v>
      </c>
      <c r="C1023">
        <v>103309.60159999999</v>
      </c>
    </row>
    <row r="1024" spans="1:3" x14ac:dyDescent="0.3">
      <c r="A1024" s="1">
        <v>45828</v>
      </c>
      <c r="B1024" s="2" t="s">
        <v>13</v>
      </c>
      <c r="C1024">
        <v>140.16858999999999</v>
      </c>
    </row>
    <row r="1025" spans="1:3" x14ac:dyDescent="0.3">
      <c r="A1025" s="1">
        <v>45828</v>
      </c>
      <c r="B1025" s="2" t="s">
        <v>15</v>
      </c>
      <c r="C1025">
        <v>2.1203500000000002</v>
      </c>
    </row>
    <row r="1026" spans="1:3" x14ac:dyDescent="0.3">
      <c r="A1026" s="1">
        <v>45828</v>
      </c>
      <c r="B1026" s="2" t="s">
        <v>17</v>
      </c>
      <c r="C1026">
        <v>2407.3042</v>
      </c>
    </row>
    <row r="1027" spans="1:3" x14ac:dyDescent="0.3">
      <c r="A1027" s="1">
        <v>45828</v>
      </c>
      <c r="B1027" s="2" t="s">
        <v>19</v>
      </c>
      <c r="C1027">
        <v>641.78441999999995</v>
      </c>
    </row>
    <row r="1028" spans="1:3" x14ac:dyDescent="0.3">
      <c r="A1028" s="1">
        <v>45829</v>
      </c>
      <c r="B1028" s="2" t="s">
        <v>9</v>
      </c>
      <c r="C1028">
        <v>0.55430999999999997</v>
      </c>
    </row>
    <row r="1029" spans="1:3" x14ac:dyDescent="0.3">
      <c r="A1029" s="1">
        <v>45829</v>
      </c>
      <c r="B1029" s="2" t="s">
        <v>11</v>
      </c>
      <c r="C1029">
        <v>102257.4063</v>
      </c>
    </row>
    <row r="1030" spans="1:3" x14ac:dyDescent="0.3">
      <c r="A1030" s="1">
        <v>45829</v>
      </c>
      <c r="B1030" s="2" t="s">
        <v>13</v>
      </c>
      <c r="C1030">
        <v>135.16101</v>
      </c>
    </row>
    <row r="1031" spans="1:3" x14ac:dyDescent="0.3">
      <c r="A1031" s="1">
        <v>45829</v>
      </c>
      <c r="B1031" s="2" t="s">
        <v>15</v>
      </c>
      <c r="C1031">
        <v>2.0575600000000001</v>
      </c>
    </row>
    <row r="1032" spans="1:3" x14ac:dyDescent="0.3">
      <c r="A1032" s="1">
        <v>45829</v>
      </c>
      <c r="B1032" s="2" t="s">
        <v>17</v>
      </c>
      <c r="C1032">
        <v>2300.4956099999999</v>
      </c>
    </row>
    <row r="1033" spans="1:3" x14ac:dyDescent="0.3">
      <c r="A1033" s="1">
        <v>45829</v>
      </c>
      <c r="B1033" s="2" t="s">
        <v>19</v>
      </c>
      <c r="C1033">
        <v>628.74785999999995</v>
      </c>
    </row>
    <row r="1034" spans="1:3" x14ac:dyDescent="0.3">
      <c r="A1034" s="1">
        <v>45830</v>
      </c>
      <c r="B1034" s="2" t="s">
        <v>9</v>
      </c>
      <c r="C1034">
        <v>0.54098000000000002</v>
      </c>
    </row>
    <row r="1035" spans="1:3" x14ac:dyDescent="0.3">
      <c r="A1035" s="1">
        <v>45830</v>
      </c>
      <c r="B1035" s="2" t="s">
        <v>11</v>
      </c>
      <c r="C1035">
        <v>100987.1406</v>
      </c>
    </row>
    <row r="1036" spans="1:3" x14ac:dyDescent="0.3">
      <c r="A1036" s="1">
        <v>45830</v>
      </c>
      <c r="B1036" s="2" t="s">
        <v>13</v>
      </c>
      <c r="C1036">
        <v>131.61569</v>
      </c>
    </row>
    <row r="1037" spans="1:3" x14ac:dyDescent="0.3">
      <c r="A1037" s="1">
        <v>45830</v>
      </c>
      <c r="B1037" s="2" t="s">
        <v>15</v>
      </c>
      <c r="C1037">
        <v>2.01403</v>
      </c>
    </row>
    <row r="1038" spans="1:3" x14ac:dyDescent="0.3">
      <c r="A1038" s="1">
        <v>45830</v>
      </c>
      <c r="B1038" s="2" t="s">
        <v>17</v>
      </c>
      <c r="C1038">
        <v>2228.2131399999998</v>
      </c>
    </row>
    <row r="1039" spans="1:3" x14ac:dyDescent="0.3">
      <c r="A1039" s="1">
        <v>45830</v>
      </c>
      <c r="B1039" s="2" t="s">
        <v>19</v>
      </c>
      <c r="C1039">
        <v>615.99463000000003</v>
      </c>
    </row>
    <row r="1040" spans="1:3" x14ac:dyDescent="0.3">
      <c r="A1040" s="1">
        <v>45831</v>
      </c>
      <c r="B1040" s="2" t="s">
        <v>9</v>
      </c>
      <c r="C1040">
        <v>0.58328000000000002</v>
      </c>
    </row>
    <row r="1041" spans="1:3" x14ac:dyDescent="0.3">
      <c r="A1041" s="1">
        <v>45831</v>
      </c>
      <c r="B1041" s="2" t="s">
        <v>11</v>
      </c>
      <c r="C1041">
        <v>105577.77340000001</v>
      </c>
    </row>
    <row r="1042" spans="1:3" x14ac:dyDescent="0.3">
      <c r="A1042" s="1">
        <v>45831</v>
      </c>
      <c r="B1042" s="2" t="s">
        <v>13</v>
      </c>
      <c r="C1042">
        <v>144.84673000000001</v>
      </c>
    </row>
    <row r="1043" spans="1:3" x14ac:dyDescent="0.3">
      <c r="A1043" s="1">
        <v>45831</v>
      </c>
      <c r="B1043" s="2" t="s">
        <v>15</v>
      </c>
      <c r="C1043">
        <v>2.1663100000000002</v>
      </c>
    </row>
    <row r="1044" spans="1:3" x14ac:dyDescent="0.3">
      <c r="A1044" s="1">
        <v>45831</v>
      </c>
      <c r="B1044" s="2" t="s">
        <v>17</v>
      </c>
      <c r="C1044">
        <v>2421.8249500000002</v>
      </c>
    </row>
    <row r="1045" spans="1:3" x14ac:dyDescent="0.3">
      <c r="A1045" s="1">
        <v>45831</v>
      </c>
      <c r="B1045" s="2" t="s">
        <v>19</v>
      </c>
      <c r="C1045">
        <v>641.2962</v>
      </c>
    </row>
    <row r="1046" spans="1:3" x14ac:dyDescent="0.3">
      <c r="A1046" s="1">
        <v>45832</v>
      </c>
      <c r="B1046" s="2" t="s">
        <v>9</v>
      </c>
      <c r="C1046">
        <v>0.58736999999999995</v>
      </c>
    </row>
    <row r="1047" spans="1:3" x14ac:dyDescent="0.3">
      <c r="A1047" s="1">
        <v>45832</v>
      </c>
      <c r="B1047" s="2" t="s">
        <v>11</v>
      </c>
      <c r="C1047">
        <v>106045.63280000001</v>
      </c>
    </row>
    <row r="1048" spans="1:3" x14ac:dyDescent="0.3">
      <c r="A1048" s="1">
        <v>45832</v>
      </c>
      <c r="B1048" s="2" t="s">
        <v>13</v>
      </c>
      <c r="C1048">
        <v>145.95453000000001</v>
      </c>
    </row>
    <row r="1049" spans="1:3" x14ac:dyDescent="0.3">
      <c r="A1049" s="1">
        <v>45832</v>
      </c>
      <c r="B1049" s="2" t="s">
        <v>15</v>
      </c>
      <c r="C1049">
        <v>2.19082</v>
      </c>
    </row>
    <row r="1050" spans="1:3" x14ac:dyDescent="0.3">
      <c r="A1050" s="1">
        <v>45832</v>
      </c>
      <c r="B1050" s="2" t="s">
        <v>17</v>
      </c>
      <c r="C1050">
        <v>2448.0087899999999</v>
      </c>
    </row>
    <row r="1051" spans="1:3" x14ac:dyDescent="0.3">
      <c r="A1051" s="1">
        <v>45832</v>
      </c>
      <c r="B1051" s="2" t="s">
        <v>19</v>
      </c>
      <c r="C1051">
        <v>643.73717999999997</v>
      </c>
    </row>
    <row r="1052" spans="1:3" x14ac:dyDescent="0.3">
      <c r="A1052" s="1">
        <v>45833</v>
      </c>
      <c r="B1052" s="2" t="s">
        <v>9</v>
      </c>
      <c r="C1052">
        <v>0.56708000000000003</v>
      </c>
    </row>
    <row r="1053" spans="1:3" x14ac:dyDescent="0.3">
      <c r="A1053" s="1">
        <v>45833</v>
      </c>
      <c r="B1053" s="2" t="s">
        <v>11</v>
      </c>
      <c r="C1053">
        <v>107361.25780000001</v>
      </c>
    </row>
    <row r="1054" spans="1:3" x14ac:dyDescent="0.3">
      <c r="A1054" s="1">
        <v>45833</v>
      </c>
      <c r="B1054" s="2" t="s">
        <v>13</v>
      </c>
      <c r="C1054">
        <v>143.50513000000001</v>
      </c>
    </row>
    <row r="1055" spans="1:3" x14ac:dyDescent="0.3">
      <c r="A1055" s="1">
        <v>45833</v>
      </c>
      <c r="B1055" s="2" t="s">
        <v>15</v>
      </c>
      <c r="C1055">
        <v>2.18587</v>
      </c>
    </row>
    <row r="1056" spans="1:3" x14ac:dyDescent="0.3">
      <c r="A1056" s="1">
        <v>45833</v>
      </c>
      <c r="B1056" s="2" t="s">
        <v>17</v>
      </c>
      <c r="C1056">
        <v>2419.3103000000001</v>
      </c>
    </row>
    <row r="1057" spans="1:3" x14ac:dyDescent="0.3">
      <c r="A1057" s="1">
        <v>45833</v>
      </c>
      <c r="B1057" s="2" t="s">
        <v>19</v>
      </c>
      <c r="C1057">
        <v>645.92316000000005</v>
      </c>
    </row>
    <row r="1058" spans="1:3" x14ac:dyDescent="0.3">
      <c r="A1058" s="1">
        <v>45834</v>
      </c>
      <c r="B1058" s="2" t="s">
        <v>9</v>
      </c>
      <c r="C1058">
        <v>0.55401999999999996</v>
      </c>
    </row>
    <row r="1059" spans="1:3" x14ac:dyDescent="0.3">
      <c r="A1059" s="1">
        <v>45834</v>
      </c>
      <c r="B1059" s="2" t="s">
        <v>11</v>
      </c>
      <c r="C1059">
        <v>106960</v>
      </c>
    </row>
    <row r="1060" spans="1:3" x14ac:dyDescent="0.3">
      <c r="A1060" s="1">
        <v>45834</v>
      </c>
      <c r="B1060" s="2" t="s">
        <v>13</v>
      </c>
      <c r="C1060">
        <v>139.05985999999999</v>
      </c>
    </row>
    <row r="1061" spans="1:3" x14ac:dyDescent="0.3">
      <c r="A1061" s="1">
        <v>45834</v>
      </c>
      <c r="B1061" s="2" t="s">
        <v>15</v>
      </c>
      <c r="C1061">
        <v>2.1058500000000002</v>
      </c>
    </row>
    <row r="1062" spans="1:3" x14ac:dyDescent="0.3">
      <c r="A1062" s="1">
        <v>45834</v>
      </c>
      <c r="B1062" s="2" t="s">
        <v>17</v>
      </c>
      <c r="C1062">
        <v>2416.1467299999999</v>
      </c>
    </row>
    <row r="1063" spans="1:3" x14ac:dyDescent="0.3">
      <c r="A1063" s="1">
        <v>45834</v>
      </c>
      <c r="B1063" s="2" t="s">
        <v>19</v>
      </c>
      <c r="C1063">
        <v>642.41425000000004</v>
      </c>
    </row>
    <row r="1064" spans="1:3" x14ac:dyDescent="0.3">
      <c r="A1064" s="1">
        <v>45835</v>
      </c>
      <c r="B1064" s="2" t="s">
        <v>9</v>
      </c>
      <c r="C1064">
        <v>0.55876000000000003</v>
      </c>
    </row>
    <row r="1065" spans="1:3" x14ac:dyDescent="0.3">
      <c r="A1065" s="1">
        <v>45835</v>
      </c>
      <c r="B1065" s="2" t="s">
        <v>11</v>
      </c>
      <c r="C1065">
        <v>107088.42969999999</v>
      </c>
    </row>
    <row r="1066" spans="1:3" x14ac:dyDescent="0.3">
      <c r="A1066" s="1">
        <v>45835</v>
      </c>
      <c r="B1066" s="2" t="s">
        <v>13</v>
      </c>
      <c r="C1066">
        <v>142.19148000000001</v>
      </c>
    </row>
    <row r="1067" spans="1:3" x14ac:dyDescent="0.3">
      <c r="A1067" s="1">
        <v>45835</v>
      </c>
      <c r="B1067" s="2" t="s">
        <v>15</v>
      </c>
      <c r="C1067">
        <v>2.14262</v>
      </c>
    </row>
    <row r="1068" spans="1:3" x14ac:dyDescent="0.3">
      <c r="A1068" s="1">
        <v>45835</v>
      </c>
      <c r="B1068" s="2" t="s">
        <v>17</v>
      </c>
      <c r="C1068">
        <v>2423.8669399999999</v>
      </c>
    </row>
    <row r="1069" spans="1:3" x14ac:dyDescent="0.3">
      <c r="A1069" s="1">
        <v>45835</v>
      </c>
      <c r="B1069" s="2" t="s">
        <v>19</v>
      </c>
      <c r="C1069">
        <v>646.15363000000002</v>
      </c>
    </row>
    <row r="1070" spans="1:3" x14ac:dyDescent="0.3">
      <c r="A1070" s="1">
        <v>45836</v>
      </c>
      <c r="B1070" s="2" t="s">
        <v>9</v>
      </c>
      <c r="C1070">
        <v>0.56569999999999998</v>
      </c>
    </row>
    <row r="1071" spans="1:3" x14ac:dyDescent="0.3">
      <c r="A1071" s="1">
        <v>45836</v>
      </c>
      <c r="B1071" s="2" t="s">
        <v>11</v>
      </c>
      <c r="C1071">
        <v>107327.7031</v>
      </c>
    </row>
    <row r="1072" spans="1:3" x14ac:dyDescent="0.3">
      <c r="A1072" s="1">
        <v>45836</v>
      </c>
      <c r="B1072" s="2" t="s">
        <v>13</v>
      </c>
      <c r="C1072">
        <v>150.82756000000001</v>
      </c>
    </row>
    <row r="1073" spans="1:3" x14ac:dyDescent="0.3">
      <c r="A1073" s="1">
        <v>45836</v>
      </c>
      <c r="B1073" s="2" t="s">
        <v>15</v>
      </c>
      <c r="C1073">
        <v>2.1860400000000002</v>
      </c>
    </row>
    <row r="1074" spans="1:3" x14ac:dyDescent="0.3">
      <c r="A1074" s="1">
        <v>45836</v>
      </c>
      <c r="B1074" s="2" t="s">
        <v>17</v>
      </c>
      <c r="C1074">
        <v>2437.1093799999999</v>
      </c>
    </row>
    <row r="1075" spans="1:3" x14ac:dyDescent="0.3">
      <c r="A1075" s="1">
        <v>45836</v>
      </c>
      <c r="B1075" s="2" t="s">
        <v>19</v>
      </c>
      <c r="C1075">
        <v>648.75043000000005</v>
      </c>
    </row>
    <row r="1076" spans="1:3" x14ac:dyDescent="0.3">
      <c r="A1076" s="1">
        <v>45837</v>
      </c>
      <c r="B1076" s="2" t="s">
        <v>9</v>
      </c>
      <c r="C1076">
        <v>0.57808999999999999</v>
      </c>
    </row>
    <row r="1077" spans="1:3" x14ac:dyDescent="0.3">
      <c r="A1077" s="1">
        <v>45837</v>
      </c>
      <c r="B1077" s="2" t="s">
        <v>11</v>
      </c>
      <c r="C1077">
        <v>108385.57030000001</v>
      </c>
    </row>
    <row r="1078" spans="1:3" x14ac:dyDescent="0.3">
      <c r="A1078" s="1">
        <v>45837</v>
      </c>
      <c r="B1078" s="2" t="s">
        <v>13</v>
      </c>
      <c r="C1078">
        <v>153.35309000000001</v>
      </c>
    </row>
    <row r="1079" spans="1:3" x14ac:dyDescent="0.3">
      <c r="A1079" s="1">
        <v>45837</v>
      </c>
      <c r="B1079" s="2" t="s">
        <v>15</v>
      </c>
      <c r="C1079">
        <v>2.2070699999999999</v>
      </c>
    </row>
    <row r="1080" spans="1:3" x14ac:dyDescent="0.3">
      <c r="A1080" s="1">
        <v>45837</v>
      </c>
      <c r="B1080" s="2" t="s">
        <v>17</v>
      </c>
      <c r="C1080">
        <v>2500.9599600000001</v>
      </c>
    </row>
    <row r="1081" spans="1:3" x14ac:dyDescent="0.3">
      <c r="A1081" s="1">
        <v>45837</v>
      </c>
      <c r="B1081" s="2" t="s">
        <v>19</v>
      </c>
      <c r="C1081">
        <v>655.03619000000003</v>
      </c>
    </row>
    <row r="1082" spans="1:3" x14ac:dyDescent="0.3">
      <c r="A1082" s="1">
        <v>45838</v>
      </c>
      <c r="B1082" s="2" t="s">
        <v>9</v>
      </c>
      <c r="C1082">
        <v>0.57211999999999996</v>
      </c>
    </row>
    <row r="1083" spans="1:3" x14ac:dyDescent="0.3">
      <c r="A1083" s="1">
        <v>45838</v>
      </c>
      <c r="B1083" s="2" t="s">
        <v>11</v>
      </c>
      <c r="C1083">
        <v>107135.33590000001</v>
      </c>
    </row>
    <row r="1084" spans="1:3" x14ac:dyDescent="0.3">
      <c r="A1084" s="1">
        <v>45838</v>
      </c>
      <c r="B1084" s="2" t="s">
        <v>13</v>
      </c>
      <c r="C1084">
        <v>154.73531</v>
      </c>
    </row>
    <row r="1085" spans="1:3" x14ac:dyDescent="0.3">
      <c r="A1085" s="1">
        <v>45838</v>
      </c>
      <c r="B1085" s="2" t="s">
        <v>15</v>
      </c>
      <c r="C1085">
        <v>2.23875</v>
      </c>
    </row>
    <row r="1086" spans="1:3" x14ac:dyDescent="0.3">
      <c r="A1086" s="1">
        <v>45838</v>
      </c>
      <c r="B1086" s="2" t="s">
        <v>17</v>
      </c>
      <c r="C1086">
        <v>2486.4643599999999</v>
      </c>
    </row>
    <row r="1087" spans="1:3" x14ac:dyDescent="0.3">
      <c r="A1087" s="1">
        <v>45838</v>
      </c>
      <c r="B1087" s="2" t="s">
        <v>19</v>
      </c>
      <c r="C1087">
        <v>657.02533000000005</v>
      </c>
    </row>
    <row r="1088" spans="1:3" x14ac:dyDescent="0.3">
      <c r="A1088" s="1">
        <v>45839</v>
      </c>
      <c r="B1088" s="2" t="s">
        <v>9</v>
      </c>
      <c r="C1088">
        <v>0.54215999999999998</v>
      </c>
    </row>
    <row r="1089" spans="1:3" x14ac:dyDescent="0.3">
      <c r="A1089" s="1">
        <v>45839</v>
      </c>
      <c r="B1089" s="2" t="s">
        <v>11</v>
      </c>
      <c r="C1089">
        <v>105698.2813</v>
      </c>
    </row>
    <row r="1090" spans="1:3" x14ac:dyDescent="0.3">
      <c r="A1090" s="1">
        <v>45839</v>
      </c>
      <c r="B1090" s="2" t="s">
        <v>13</v>
      </c>
      <c r="C1090">
        <v>146.92663999999999</v>
      </c>
    </row>
    <row r="1091" spans="1:3" x14ac:dyDescent="0.3">
      <c r="A1091" s="1">
        <v>45839</v>
      </c>
      <c r="B1091" s="2" t="s">
        <v>15</v>
      </c>
      <c r="C1091">
        <v>2.1721900000000001</v>
      </c>
    </row>
    <row r="1092" spans="1:3" x14ac:dyDescent="0.3">
      <c r="A1092" s="1">
        <v>45839</v>
      </c>
      <c r="B1092" s="2" t="s">
        <v>17</v>
      </c>
      <c r="C1092">
        <v>2405.7927300000001</v>
      </c>
    </row>
    <row r="1093" spans="1:3" x14ac:dyDescent="0.3">
      <c r="A1093" s="1">
        <v>45839</v>
      </c>
      <c r="B1093" s="2" t="s">
        <v>19</v>
      </c>
      <c r="C1093">
        <v>646.39795000000004</v>
      </c>
    </row>
    <row r="1094" spans="1:3" x14ac:dyDescent="0.3">
      <c r="A1094" s="1">
        <v>45840</v>
      </c>
      <c r="B1094" s="2" t="s">
        <v>9</v>
      </c>
      <c r="C1094">
        <v>0.58409999999999995</v>
      </c>
    </row>
    <row r="1095" spans="1:3" x14ac:dyDescent="0.3">
      <c r="A1095" s="1">
        <v>45840</v>
      </c>
      <c r="B1095" s="2" t="s">
        <v>11</v>
      </c>
      <c r="C1095">
        <v>108859.32030000001</v>
      </c>
    </row>
    <row r="1096" spans="1:3" x14ac:dyDescent="0.3">
      <c r="A1096" s="1">
        <v>45840</v>
      </c>
      <c r="B1096" s="2" t="s">
        <v>13</v>
      </c>
      <c r="C1096">
        <v>152.22763</v>
      </c>
    </row>
    <row r="1097" spans="1:3" x14ac:dyDescent="0.3">
      <c r="A1097" s="1">
        <v>45840</v>
      </c>
      <c r="B1097" s="2" t="s">
        <v>15</v>
      </c>
      <c r="C1097">
        <v>2.2337699999999998</v>
      </c>
    </row>
    <row r="1098" spans="1:3" x14ac:dyDescent="0.3">
      <c r="A1098" s="1">
        <v>45840</v>
      </c>
      <c r="B1098" s="2" t="s">
        <v>17</v>
      </c>
      <c r="C1098">
        <v>2571.33545</v>
      </c>
    </row>
    <row r="1099" spans="1:3" x14ac:dyDescent="0.3">
      <c r="A1099" s="1">
        <v>45840</v>
      </c>
      <c r="B1099" s="2" t="s">
        <v>19</v>
      </c>
      <c r="C1099">
        <v>660.05724999999995</v>
      </c>
    </row>
    <row r="1100" spans="1:3" x14ac:dyDescent="0.3">
      <c r="A1100" s="1">
        <v>45841</v>
      </c>
      <c r="B1100" s="2" t="s">
        <v>9</v>
      </c>
      <c r="C1100">
        <v>0.59909000000000001</v>
      </c>
    </row>
    <row r="1101" spans="1:3" x14ac:dyDescent="0.3">
      <c r="A1101" s="1">
        <v>45841</v>
      </c>
      <c r="B1101" s="2" t="s">
        <v>11</v>
      </c>
      <c r="C1101">
        <v>109647.97659999999</v>
      </c>
    </row>
    <row r="1102" spans="1:3" x14ac:dyDescent="0.3">
      <c r="A1102" s="1">
        <v>45841</v>
      </c>
      <c r="B1102" s="2" t="s">
        <v>13</v>
      </c>
      <c r="C1102">
        <v>152.40179000000001</v>
      </c>
    </row>
    <row r="1103" spans="1:3" x14ac:dyDescent="0.3">
      <c r="A1103" s="1">
        <v>45841</v>
      </c>
      <c r="B1103" s="2" t="s">
        <v>15</v>
      </c>
      <c r="C1103">
        <v>2.25766</v>
      </c>
    </row>
    <row r="1104" spans="1:3" x14ac:dyDescent="0.3">
      <c r="A1104" s="1">
        <v>45841</v>
      </c>
      <c r="B1104" s="2" t="s">
        <v>17</v>
      </c>
      <c r="C1104">
        <v>2591.0073200000002</v>
      </c>
    </row>
    <row r="1105" spans="1:3" x14ac:dyDescent="0.3">
      <c r="A1105" s="1">
        <v>45841</v>
      </c>
      <c r="B1105" s="2" t="s">
        <v>19</v>
      </c>
      <c r="C1105">
        <v>663.32312000000002</v>
      </c>
    </row>
    <row r="1106" spans="1:3" x14ac:dyDescent="0.3">
      <c r="A1106" s="1">
        <v>45842</v>
      </c>
      <c r="B1106" s="2" t="s">
        <v>9</v>
      </c>
      <c r="C1106">
        <v>0.57289000000000001</v>
      </c>
    </row>
    <row r="1107" spans="1:3" x14ac:dyDescent="0.3">
      <c r="A1107" s="1">
        <v>45842</v>
      </c>
      <c r="B1107" s="2" t="s">
        <v>11</v>
      </c>
      <c r="C1107">
        <v>108034.33590000001</v>
      </c>
    </row>
    <row r="1108" spans="1:3" x14ac:dyDescent="0.3">
      <c r="A1108" s="1">
        <v>45842</v>
      </c>
      <c r="B1108" s="2" t="s">
        <v>13</v>
      </c>
      <c r="C1108">
        <v>147.76364000000001</v>
      </c>
    </row>
    <row r="1109" spans="1:3" x14ac:dyDescent="0.3">
      <c r="A1109" s="1">
        <v>45842</v>
      </c>
      <c r="B1109" s="2" t="s">
        <v>15</v>
      </c>
      <c r="C1109">
        <v>2.2211400000000001</v>
      </c>
    </row>
    <row r="1110" spans="1:3" x14ac:dyDescent="0.3">
      <c r="A1110" s="1">
        <v>45842</v>
      </c>
      <c r="B1110" s="2" t="s">
        <v>17</v>
      </c>
      <c r="C1110">
        <v>2508.5183099999999</v>
      </c>
    </row>
    <row r="1111" spans="1:3" x14ac:dyDescent="0.3">
      <c r="A1111" s="1">
        <v>45842</v>
      </c>
      <c r="B1111" s="2" t="s">
        <v>19</v>
      </c>
      <c r="C1111">
        <v>653.73950000000002</v>
      </c>
    </row>
    <row r="1112" spans="1:3" x14ac:dyDescent="0.3">
      <c r="A1112" s="1">
        <v>45843</v>
      </c>
      <c r="B1112" s="2" t="s">
        <v>9</v>
      </c>
      <c r="C1112">
        <v>0.57591000000000003</v>
      </c>
    </row>
    <row r="1113" spans="1:3" x14ac:dyDescent="0.3">
      <c r="A1113" s="1">
        <v>45843</v>
      </c>
      <c r="B1113" s="2" t="s">
        <v>11</v>
      </c>
      <c r="C1113">
        <v>108231.17969999999</v>
      </c>
    </row>
    <row r="1114" spans="1:3" x14ac:dyDescent="0.3">
      <c r="A1114" s="1">
        <v>45843</v>
      </c>
      <c r="B1114" s="2" t="s">
        <v>13</v>
      </c>
      <c r="C1114">
        <v>147.64144999999999</v>
      </c>
    </row>
    <row r="1115" spans="1:3" x14ac:dyDescent="0.3">
      <c r="A1115" s="1">
        <v>45843</v>
      </c>
      <c r="B1115" s="2" t="s">
        <v>15</v>
      </c>
      <c r="C1115">
        <v>2.2185199999999998</v>
      </c>
    </row>
    <row r="1116" spans="1:3" x14ac:dyDescent="0.3">
      <c r="A1116" s="1">
        <v>45843</v>
      </c>
      <c r="B1116" s="2" t="s">
        <v>17</v>
      </c>
      <c r="C1116">
        <v>2517.2800299999999</v>
      </c>
    </row>
    <row r="1117" spans="1:3" x14ac:dyDescent="0.3">
      <c r="A1117" s="1">
        <v>45843</v>
      </c>
      <c r="B1117" s="2" t="s">
        <v>19</v>
      </c>
      <c r="C1117">
        <v>656.14287999999999</v>
      </c>
    </row>
    <row r="1118" spans="1:3" x14ac:dyDescent="0.3">
      <c r="A1118" s="1">
        <v>45844</v>
      </c>
      <c r="B1118" s="2" t="s">
        <v>9</v>
      </c>
      <c r="C1118">
        <v>0.58601000000000003</v>
      </c>
    </row>
    <row r="1119" spans="1:3" x14ac:dyDescent="0.3">
      <c r="A1119" s="1">
        <v>45844</v>
      </c>
      <c r="B1119" s="2" t="s">
        <v>11</v>
      </c>
      <c r="C1119">
        <v>109232.07030000001</v>
      </c>
    </row>
    <row r="1120" spans="1:3" x14ac:dyDescent="0.3">
      <c r="A1120" s="1">
        <v>45844</v>
      </c>
      <c r="B1120" s="2" t="s">
        <v>13</v>
      </c>
      <c r="C1120">
        <v>151.87294</v>
      </c>
    </row>
    <row r="1121" spans="1:3" x14ac:dyDescent="0.3">
      <c r="A1121" s="1">
        <v>45844</v>
      </c>
      <c r="B1121" s="2" t="s">
        <v>15</v>
      </c>
      <c r="C1121">
        <v>2.2725399999999998</v>
      </c>
    </row>
    <row r="1122" spans="1:3" x14ac:dyDescent="0.3">
      <c r="A1122" s="1">
        <v>45844</v>
      </c>
      <c r="B1122" s="2" t="s">
        <v>17</v>
      </c>
      <c r="C1122">
        <v>2571.23657</v>
      </c>
    </row>
    <row r="1123" spans="1:3" x14ac:dyDescent="0.3">
      <c r="A1123" s="1">
        <v>45844</v>
      </c>
      <c r="B1123" s="2" t="s">
        <v>19</v>
      </c>
      <c r="C1123">
        <v>663.08898999999997</v>
      </c>
    </row>
    <row r="1124" spans="1:3" x14ac:dyDescent="0.3">
      <c r="A1124" s="1">
        <v>45845</v>
      </c>
      <c r="B1124" s="2" t="s">
        <v>9</v>
      </c>
      <c r="C1124">
        <v>0.58023999999999998</v>
      </c>
    </row>
    <row r="1125" spans="1:3" x14ac:dyDescent="0.3">
      <c r="A1125" s="1">
        <v>45845</v>
      </c>
      <c r="B1125" s="2" t="s">
        <v>11</v>
      </c>
      <c r="C1125">
        <v>108299.85159999999</v>
      </c>
    </row>
    <row r="1126" spans="1:3" x14ac:dyDescent="0.3">
      <c r="A1126" s="1">
        <v>45845</v>
      </c>
      <c r="B1126" s="2" t="s">
        <v>13</v>
      </c>
      <c r="C1126">
        <v>148.87235000000001</v>
      </c>
    </row>
    <row r="1127" spans="1:3" x14ac:dyDescent="0.3">
      <c r="A1127" s="1">
        <v>45845</v>
      </c>
      <c r="B1127" s="2" t="s">
        <v>15</v>
      </c>
      <c r="C1127">
        <v>2.2740800000000001</v>
      </c>
    </row>
    <row r="1128" spans="1:3" x14ac:dyDescent="0.3">
      <c r="A1128" s="1">
        <v>45845</v>
      </c>
      <c r="B1128" s="2" t="s">
        <v>17</v>
      </c>
      <c r="C1128">
        <v>2543.0131799999999</v>
      </c>
    </row>
    <row r="1129" spans="1:3" x14ac:dyDescent="0.3">
      <c r="A1129" s="1">
        <v>45845</v>
      </c>
      <c r="B1129" s="2" t="s">
        <v>19</v>
      </c>
      <c r="C1129">
        <v>661.01819</v>
      </c>
    </row>
    <row r="1130" spans="1:3" x14ac:dyDescent="0.3">
      <c r="A1130" s="1">
        <v>45846</v>
      </c>
      <c r="B1130" s="2" t="s">
        <v>9</v>
      </c>
      <c r="C1130">
        <v>0.58847000000000005</v>
      </c>
    </row>
    <row r="1131" spans="1:3" x14ac:dyDescent="0.3">
      <c r="A1131" s="1">
        <v>45846</v>
      </c>
      <c r="B1131" s="2" t="s">
        <v>11</v>
      </c>
      <c r="C1131">
        <v>108950.27340000001</v>
      </c>
    </row>
    <row r="1132" spans="1:3" x14ac:dyDescent="0.3">
      <c r="A1132" s="1">
        <v>45846</v>
      </c>
      <c r="B1132" s="2" t="s">
        <v>13</v>
      </c>
      <c r="C1132">
        <v>151.81039000000001</v>
      </c>
    </row>
    <row r="1133" spans="1:3" x14ac:dyDescent="0.3">
      <c r="A1133" s="1">
        <v>45846</v>
      </c>
      <c r="B1133" s="2" t="s">
        <v>15</v>
      </c>
      <c r="C1133">
        <v>2.3112300000000001</v>
      </c>
    </row>
    <row r="1134" spans="1:3" x14ac:dyDescent="0.3">
      <c r="A1134" s="1">
        <v>45846</v>
      </c>
      <c r="B1134" s="2" t="s">
        <v>17</v>
      </c>
      <c r="C1134">
        <v>2615.5058600000002</v>
      </c>
    </row>
    <row r="1135" spans="1:3" x14ac:dyDescent="0.3">
      <c r="A1135" s="1">
        <v>45846</v>
      </c>
      <c r="B1135" s="2" t="s">
        <v>19</v>
      </c>
      <c r="C1135">
        <v>660.76288</v>
      </c>
    </row>
    <row r="1136" spans="1:3" x14ac:dyDescent="0.3">
      <c r="A1136" s="1">
        <v>45847</v>
      </c>
      <c r="B1136" s="2" t="s">
        <v>9</v>
      </c>
      <c r="C1136">
        <v>0.62348999999999999</v>
      </c>
    </row>
    <row r="1137" spans="1:3" x14ac:dyDescent="0.3">
      <c r="A1137" s="1">
        <v>45847</v>
      </c>
      <c r="B1137" s="2" t="s">
        <v>11</v>
      </c>
      <c r="C1137">
        <v>111326.55469999999</v>
      </c>
    </row>
    <row r="1138" spans="1:3" x14ac:dyDescent="0.3">
      <c r="A1138" s="1">
        <v>45847</v>
      </c>
      <c r="B1138" s="2" t="s">
        <v>13</v>
      </c>
      <c r="C1138">
        <v>157.28151</v>
      </c>
    </row>
    <row r="1139" spans="1:3" x14ac:dyDescent="0.3">
      <c r="A1139" s="1">
        <v>45847</v>
      </c>
      <c r="B1139" s="2" t="s">
        <v>15</v>
      </c>
      <c r="C1139">
        <v>2.40564</v>
      </c>
    </row>
    <row r="1140" spans="1:3" x14ac:dyDescent="0.3">
      <c r="A1140" s="1">
        <v>45847</v>
      </c>
      <c r="B1140" s="2" t="s">
        <v>17</v>
      </c>
      <c r="C1140">
        <v>2770.7775900000001</v>
      </c>
    </row>
    <row r="1141" spans="1:3" x14ac:dyDescent="0.3">
      <c r="A1141" s="1">
        <v>45847</v>
      </c>
      <c r="B1141" s="2" t="s">
        <v>19</v>
      </c>
      <c r="C1141">
        <v>669.15252999999996</v>
      </c>
    </row>
    <row r="1142" spans="1:3" x14ac:dyDescent="0.3">
      <c r="A1142" s="1">
        <v>45848</v>
      </c>
      <c r="B1142" s="2" t="s">
        <v>9</v>
      </c>
      <c r="C1142">
        <v>0.67664999999999997</v>
      </c>
    </row>
    <row r="1143" spans="1:3" x14ac:dyDescent="0.3">
      <c r="A1143" s="1">
        <v>45848</v>
      </c>
      <c r="B1143" s="2" t="s">
        <v>11</v>
      </c>
      <c r="C1143">
        <v>115987.2031</v>
      </c>
    </row>
    <row r="1144" spans="1:3" x14ac:dyDescent="0.3">
      <c r="A1144" s="1">
        <v>45848</v>
      </c>
      <c r="B1144" s="2" t="s">
        <v>13</v>
      </c>
      <c r="C1144">
        <v>164.06277</v>
      </c>
    </row>
    <row r="1145" spans="1:3" x14ac:dyDescent="0.3">
      <c r="A1145" s="1">
        <v>45848</v>
      </c>
      <c r="B1145" s="2" t="s">
        <v>15</v>
      </c>
      <c r="C1145">
        <v>2.5466799999999998</v>
      </c>
    </row>
    <row r="1146" spans="1:3" x14ac:dyDescent="0.3">
      <c r="A1146" s="1">
        <v>45848</v>
      </c>
      <c r="B1146" s="2" t="s">
        <v>17</v>
      </c>
      <c r="C1146">
        <v>2954.8452200000002</v>
      </c>
    </row>
    <row r="1147" spans="1:3" x14ac:dyDescent="0.3">
      <c r="A1147" s="1">
        <v>45848</v>
      </c>
      <c r="B1147" s="2" t="s">
        <v>19</v>
      </c>
      <c r="C1147">
        <v>685.66070999999999</v>
      </c>
    </row>
    <row r="1148" spans="1:3" x14ac:dyDescent="0.3">
      <c r="A1148" s="1">
        <v>45849</v>
      </c>
      <c r="B1148" s="2" t="s">
        <v>9</v>
      </c>
      <c r="C1148">
        <v>0.71052999999999999</v>
      </c>
    </row>
    <row r="1149" spans="1:3" x14ac:dyDescent="0.3">
      <c r="A1149" s="1">
        <v>45849</v>
      </c>
      <c r="B1149" s="2" t="s">
        <v>11</v>
      </c>
      <c r="C1149">
        <v>117516.99219999999</v>
      </c>
    </row>
    <row r="1150" spans="1:3" x14ac:dyDescent="0.3">
      <c r="A1150" s="1">
        <v>45849</v>
      </c>
      <c r="B1150" s="2" t="s">
        <v>13</v>
      </c>
      <c r="C1150">
        <v>162.88337999999999</v>
      </c>
    </row>
    <row r="1151" spans="1:3" x14ac:dyDescent="0.3">
      <c r="A1151" s="1">
        <v>45849</v>
      </c>
      <c r="B1151" s="2" t="s">
        <v>15</v>
      </c>
      <c r="C1151">
        <v>2.7348599999999998</v>
      </c>
    </row>
    <row r="1152" spans="1:3" x14ac:dyDescent="0.3">
      <c r="A1152" s="1">
        <v>45849</v>
      </c>
      <c r="B1152" s="2" t="s">
        <v>17</v>
      </c>
      <c r="C1152">
        <v>2957.8862300000001</v>
      </c>
    </row>
    <row r="1153" spans="1:3" x14ac:dyDescent="0.3">
      <c r="A1153" s="1">
        <v>45849</v>
      </c>
      <c r="B1153" s="2" t="s">
        <v>19</v>
      </c>
      <c r="C1153">
        <v>689.87334999999996</v>
      </c>
    </row>
    <row r="1154" spans="1:3" x14ac:dyDescent="0.3">
      <c r="A1154" s="1">
        <v>45850</v>
      </c>
      <c r="B1154" s="2" t="s">
        <v>9</v>
      </c>
      <c r="C1154">
        <v>0.70830000000000004</v>
      </c>
    </row>
    <row r="1155" spans="1:3" x14ac:dyDescent="0.3">
      <c r="A1155" s="1">
        <v>45850</v>
      </c>
      <c r="B1155" s="2" t="s">
        <v>11</v>
      </c>
      <c r="C1155">
        <v>117435.22659999999</v>
      </c>
    </row>
    <row r="1156" spans="1:3" x14ac:dyDescent="0.3">
      <c r="A1156" s="1">
        <v>45850</v>
      </c>
      <c r="B1156" s="2" t="s">
        <v>13</v>
      </c>
      <c r="C1156">
        <v>160.68485000000001</v>
      </c>
    </row>
    <row r="1157" spans="1:3" x14ac:dyDescent="0.3">
      <c r="A1157" s="1">
        <v>45850</v>
      </c>
      <c r="B1157" s="2" t="s">
        <v>15</v>
      </c>
      <c r="C1157">
        <v>2.7376399999999999</v>
      </c>
    </row>
    <row r="1158" spans="1:3" x14ac:dyDescent="0.3">
      <c r="A1158" s="1">
        <v>45850</v>
      </c>
      <c r="B1158" s="2" t="s">
        <v>17</v>
      </c>
      <c r="C1158">
        <v>2942.9116199999999</v>
      </c>
    </row>
    <row r="1159" spans="1:3" x14ac:dyDescent="0.3">
      <c r="A1159" s="1">
        <v>45850</v>
      </c>
      <c r="B1159" s="2" t="s">
        <v>19</v>
      </c>
      <c r="C1159">
        <v>685.77788999999996</v>
      </c>
    </row>
    <row r="1160" spans="1:3" x14ac:dyDescent="0.3">
      <c r="A1160" s="1">
        <v>45851</v>
      </c>
      <c r="B1160" s="2" t="s">
        <v>9</v>
      </c>
      <c r="C1160">
        <v>0.73724999999999996</v>
      </c>
    </row>
    <row r="1161" spans="1:3" x14ac:dyDescent="0.3">
      <c r="A1161" s="1">
        <v>45851</v>
      </c>
      <c r="B1161" s="2" t="s">
        <v>11</v>
      </c>
      <c r="C1161">
        <v>119116.11719999999</v>
      </c>
    </row>
    <row r="1162" spans="1:3" x14ac:dyDescent="0.3">
      <c r="A1162" s="1">
        <v>45851</v>
      </c>
      <c r="B1162" s="2" t="s">
        <v>13</v>
      </c>
      <c r="C1162">
        <v>161.19401999999999</v>
      </c>
    </row>
    <row r="1163" spans="1:3" x14ac:dyDescent="0.3">
      <c r="A1163" s="1">
        <v>45851</v>
      </c>
      <c r="B1163" s="2" t="s">
        <v>15</v>
      </c>
      <c r="C1163">
        <v>2.8359399999999999</v>
      </c>
    </row>
    <row r="1164" spans="1:3" x14ac:dyDescent="0.3">
      <c r="A1164" s="1">
        <v>45851</v>
      </c>
      <c r="B1164" s="2" t="s">
        <v>17</v>
      </c>
      <c r="C1164">
        <v>2973.35889</v>
      </c>
    </row>
    <row r="1165" spans="1:3" x14ac:dyDescent="0.3">
      <c r="A1165" s="1">
        <v>45851</v>
      </c>
      <c r="B1165" s="2" t="s">
        <v>19</v>
      </c>
      <c r="C1165">
        <v>692.23041000000001</v>
      </c>
    </row>
    <row r="1166" spans="1:3" x14ac:dyDescent="0.3">
      <c r="A1166" s="1">
        <v>45852</v>
      </c>
      <c r="B1166" s="2" t="s">
        <v>9</v>
      </c>
      <c r="C1166">
        <v>0.73433999999999999</v>
      </c>
    </row>
    <row r="1167" spans="1:3" x14ac:dyDescent="0.3">
      <c r="A1167" s="1">
        <v>45852</v>
      </c>
      <c r="B1167" s="2" t="s">
        <v>11</v>
      </c>
      <c r="C1167">
        <v>119849.7031</v>
      </c>
    </row>
    <row r="1168" spans="1:3" x14ac:dyDescent="0.3">
      <c r="A1168" s="1">
        <v>45852</v>
      </c>
      <c r="B1168" s="2" t="s">
        <v>13</v>
      </c>
      <c r="C1168">
        <v>162.27521999999999</v>
      </c>
    </row>
    <row r="1169" spans="1:3" x14ac:dyDescent="0.3">
      <c r="A1169" s="1">
        <v>45852</v>
      </c>
      <c r="B1169" s="2" t="s">
        <v>15</v>
      </c>
      <c r="C1169">
        <v>2.9549799999999999</v>
      </c>
    </row>
    <row r="1170" spans="1:3" x14ac:dyDescent="0.3">
      <c r="A1170" s="1">
        <v>45852</v>
      </c>
      <c r="B1170" s="2" t="s">
        <v>17</v>
      </c>
      <c r="C1170">
        <v>3013.3508299999999</v>
      </c>
    </row>
    <row r="1171" spans="1:3" x14ac:dyDescent="0.3">
      <c r="A1171" s="1">
        <v>45852</v>
      </c>
      <c r="B1171" s="2" t="s">
        <v>19</v>
      </c>
      <c r="C1171">
        <v>689.41674999999998</v>
      </c>
    </row>
    <row r="1172" spans="1:3" x14ac:dyDescent="0.3">
      <c r="A1172" s="1">
        <v>45853</v>
      </c>
      <c r="B1172" s="2" t="s">
        <v>9</v>
      </c>
      <c r="C1172">
        <v>0.74682000000000004</v>
      </c>
    </row>
    <row r="1173" spans="1:3" x14ac:dyDescent="0.3">
      <c r="A1173" s="1">
        <v>45853</v>
      </c>
      <c r="B1173" s="2" t="s">
        <v>11</v>
      </c>
      <c r="C1173">
        <v>117777.1875</v>
      </c>
    </row>
    <row r="1174" spans="1:3" x14ac:dyDescent="0.3">
      <c r="A1174" s="1">
        <v>45853</v>
      </c>
      <c r="B1174" s="2" t="s">
        <v>13</v>
      </c>
      <c r="C1174">
        <v>163.95043999999999</v>
      </c>
    </row>
    <row r="1175" spans="1:3" x14ac:dyDescent="0.3">
      <c r="A1175" s="1">
        <v>45853</v>
      </c>
      <c r="B1175" s="2" t="s">
        <v>15</v>
      </c>
      <c r="C1175">
        <v>2.9189500000000002</v>
      </c>
    </row>
    <row r="1176" spans="1:3" x14ac:dyDescent="0.3">
      <c r="A1176" s="1">
        <v>45853</v>
      </c>
      <c r="B1176" s="2" t="s">
        <v>17</v>
      </c>
      <c r="C1176">
        <v>3139.8896500000001</v>
      </c>
    </row>
    <row r="1177" spans="1:3" x14ac:dyDescent="0.3">
      <c r="A1177" s="1">
        <v>45853</v>
      </c>
      <c r="B1177" s="2" t="s">
        <v>19</v>
      </c>
      <c r="C1177">
        <v>689.92114000000004</v>
      </c>
    </row>
    <row r="1178" spans="1:3" x14ac:dyDescent="0.3">
      <c r="A1178" s="1">
        <v>45854</v>
      </c>
      <c r="B1178" s="2" t="s">
        <v>9</v>
      </c>
      <c r="C1178">
        <v>0.76454999999999995</v>
      </c>
    </row>
    <row r="1179" spans="1:3" x14ac:dyDescent="0.3">
      <c r="A1179" s="1">
        <v>45854</v>
      </c>
      <c r="B1179" s="2" t="s">
        <v>11</v>
      </c>
      <c r="C1179">
        <v>118738.50780000001</v>
      </c>
    </row>
    <row r="1180" spans="1:3" x14ac:dyDescent="0.3">
      <c r="A1180" s="1">
        <v>45854</v>
      </c>
      <c r="B1180" s="2" t="s">
        <v>13</v>
      </c>
      <c r="C1180">
        <v>173.70848000000001</v>
      </c>
    </row>
    <row r="1181" spans="1:3" x14ac:dyDescent="0.3">
      <c r="A1181" s="1">
        <v>45854</v>
      </c>
      <c r="B1181" s="2" t="s">
        <v>15</v>
      </c>
      <c r="C1181">
        <v>3.0413999999999999</v>
      </c>
    </row>
    <row r="1182" spans="1:3" x14ac:dyDescent="0.3">
      <c r="A1182" s="1">
        <v>45854</v>
      </c>
      <c r="B1182" s="2" t="s">
        <v>17</v>
      </c>
      <c r="C1182">
        <v>3371.50684</v>
      </c>
    </row>
    <row r="1183" spans="1:3" x14ac:dyDescent="0.3">
      <c r="A1183" s="1">
        <v>45854</v>
      </c>
      <c r="B1183" s="2" t="s">
        <v>19</v>
      </c>
      <c r="C1183">
        <v>708.12609999999995</v>
      </c>
    </row>
    <row r="1184" spans="1:3" x14ac:dyDescent="0.3">
      <c r="A1184" s="1">
        <v>45855</v>
      </c>
      <c r="B1184" s="2" t="s">
        <v>9</v>
      </c>
      <c r="C1184">
        <v>0.82379000000000002</v>
      </c>
    </row>
    <row r="1185" spans="1:3" x14ac:dyDescent="0.3">
      <c r="A1185" s="1">
        <v>45855</v>
      </c>
      <c r="B1185" s="2" t="s">
        <v>11</v>
      </c>
      <c r="C1185">
        <v>119289.8438</v>
      </c>
    </row>
    <row r="1186" spans="1:3" x14ac:dyDescent="0.3">
      <c r="A1186" s="1">
        <v>45855</v>
      </c>
      <c r="B1186" s="2" t="s">
        <v>13</v>
      </c>
      <c r="C1186">
        <v>175.79304999999999</v>
      </c>
    </row>
    <row r="1187" spans="1:3" x14ac:dyDescent="0.3">
      <c r="A1187" s="1">
        <v>45855</v>
      </c>
      <c r="B1187" s="2" t="s">
        <v>15</v>
      </c>
      <c r="C1187">
        <v>3.4951300000000001</v>
      </c>
    </row>
    <row r="1188" spans="1:3" x14ac:dyDescent="0.3">
      <c r="A1188" s="1">
        <v>45855</v>
      </c>
      <c r="B1188" s="2" t="s">
        <v>17</v>
      </c>
      <c r="C1188">
        <v>3476.78442</v>
      </c>
    </row>
    <row r="1189" spans="1:3" x14ac:dyDescent="0.3">
      <c r="A1189" s="1">
        <v>45855</v>
      </c>
      <c r="B1189" s="2" t="s">
        <v>19</v>
      </c>
      <c r="C1189">
        <v>721.21198000000004</v>
      </c>
    </row>
    <row r="1190" spans="1:3" x14ac:dyDescent="0.3">
      <c r="A1190" s="1">
        <v>45856</v>
      </c>
      <c r="B1190" s="2" t="s">
        <v>9</v>
      </c>
      <c r="C1190">
        <v>0.81586000000000003</v>
      </c>
    </row>
    <row r="1191" spans="1:3" x14ac:dyDescent="0.3">
      <c r="A1191" s="1">
        <v>45856</v>
      </c>
      <c r="B1191" s="2" t="s">
        <v>11</v>
      </c>
      <c r="C1191">
        <v>118003.22659999999</v>
      </c>
    </row>
    <row r="1192" spans="1:3" x14ac:dyDescent="0.3">
      <c r="A1192" s="1">
        <v>45856</v>
      </c>
      <c r="B1192" s="2" t="s">
        <v>13</v>
      </c>
      <c r="C1192">
        <v>177.38197</v>
      </c>
    </row>
    <row r="1193" spans="1:3" x14ac:dyDescent="0.3">
      <c r="A1193" s="1">
        <v>45856</v>
      </c>
      <c r="B1193" s="2" t="s">
        <v>15</v>
      </c>
      <c r="C1193">
        <v>3.4182100000000002</v>
      </c>
    </row>
    <row r="1194" spans="1:3" x14ac:dyDescent="0.3">
      <c r="A1194" s="1">
        <v>45856</v>
      </c>
      <c r="B1194" s="2" t="s">
        <v>17</v>
      </c>
      <c r="C1194">
        <v>3549.0163600000001</v>
      </c>
    </row>
    <row r="1195" spans="1:3" x14ac:dyDescent="0.3">
      <c r="A1195" s="1">
        <v>45856</v>
      </c>
      <c r="B1195" s="2" t="s">
        <v>19</v>
      </c>
      <c r="C1195">
        <v>730.21636999999998</v>
      </c>
    </row>
    <row r="1196" spans="1:3" x14ac:dyDescent="0.3">
      <c r="A1196" s="1">
        <v>45857</v>
      </c>
      <c r="B1196" s="2" t="s">
        <v>9</v>
      </c>
      <c r="C1196">
        <v>0.83033999999999997</v>
      </c>
    </row>
    <row r="1197" spans="1:3" x14ac:dyDescent="0.3">
      <c r="A1197" s="1">
        <v>45857</v>
      </c>
      <c r="B1197" s="2" t="s">
        <v>11</v>
      </c>
      <c r="C1197">
        <v>117939.97659999999</v>
      </c>
    </row>
    <row r="1198" spans="1:3" x14ac:dyDescent="0.3">
      <c r="A1198" s="1">
        <v>45857</v>
      </c>
      <c r="B1198" s="2" t="s">
        <v>13</v>
      </c>
      <c r="C1198">
        <v>177.07013000000001</v>
      </c>
    </row>
    <row r="1199" spans="1:3" x14ac:dyDescent="0.3">
      <c r="A1199" s="1">
        <v>45857</v>
      </c>
      <c r="B1199" s="2" t="s">
        <v>15</v>
      </c>
      <c r="C1199">
        <v>3.4294099999999998</v>
      </c>
    </row>
    <row r="1200" spans="1:3" x14ac:dyDescent="0.3">
      <c r="A1200" s="1">
        <v>45857</v>
      </c>
      <c r="B1200" s="2" t="s">
        <v>17</v>
      </c>
      <c r="C1200">
        <v>3595.2736799999998</v>
      </c>
    </row>
    <row r="1201" spans="1:3" x14ac:dyDescent="0.3">
      <c r="A1201" s="1">
        <v>45857</v>
      </c>
      <c r="B1201" s="2" t="s">
        <v>19</v>
      </c>
      <c r="C1201">
        <v>733.52904999999998</v>
      </c>
    </row>
    <row r="1202" spans="1:3" x14ac:dyDescent="0.3">
      <c r="A1202" s="1">
        <v>45858</v>
      </c>
      <c r="B1202" s="2" t="s">
        <v>9</v>
      </c>
      <c r="C1202">
        <v>0.85873999999999995</v>
      </c>
    </row>
    <row r="1203" spans="1:3" x14ac:dyDescent="0.3">
      <c r="A1203" s="1">
        <v>45858</v>
      </c>
      <c r="B1203" s="2" t="s">
        <v>11</v>
      </c>
      <c r="C1203">
        <v>117300.78909999999</v>
      </c>
    </row>
    <row r="1204" spans="1:3" x14ac:dyDescent="0.3">
      <c r="A1204" s="1">
        <v>45858</v>
      </c>
      <c r="B1204" s="2" t="s">
        <v>13</v>
      </c>
      <c r="C1204">
        <v>181.54604</v>
      </c>
    </row>
    <row r="1205" spans="1:3" x14ac:dyDescent="0.3">
      <c r="A1205" s="1">
        <v>45858</v>
      </c>
      <c r="B1205" s="2" t="s">
        <v>15</v>
      </c>
      <c r="C1205">
        <v>3.45953</v>
      </c>
    </row>
    <row r="1206" spans="1:3" x14ac:dyDescent="0.3">
      <c r="A1206" s="1">
        <v>45858</v>
      </c>
      <c r="B1206" s="2" t="s">
        <v>17</v>
      </c>
      <c r="C1206">
        <v>3759.4714399999998</v>
      </c>
    </row>
    <row r="1207" spans="1:3" x14ac:dyDescent="0.3">
      <c r="A1207" s="1">
        <v>45858</v>
      </c>
      <c r="B1207" s="2" t="s">
        <v>19</v>
      </c>
      <c r="C1207">
        <v>757.73992999999996</v>
      </c>
    </row>
    <row r="1208" spans="1:3" x14ac:dyDescent="0.3">
      <c r="A1208" s="1">
        <v>45859</v>
      </c>
      <c r="B1208" s="2" t="s">
        <v>9</v>
      </c>
      <c r="C1208">
        <v>0.89043000000000005</v>
      </c>
    </row>
    <row r="1209" spans="1:3" x14ac:dyDescent="0.3">
      <c r="A1209" s="1">
        <v>45859</v>
      </c>
      <c r="B1209" s="2" t="s">
        <v>11</v>
      </c>
      <c r="C1209">
        <v>117439.53909999999</v>
      </c>
    </row>
    <row r="1210" spans="1:3" x14ac:dyDescent="0.3">
      <c r="A1210" s="1">
        <v>45859</v>
      </c>
      <c r="B1210" s="2" t="s">
        <v>13</v>
      </c>
      <c r="C1210">
        <v>195.99426</v>
      </c>
    </row>
    <row r="1211" spans="1:3" x14ac:dyDescent="0.3">
      <c r="A1211" s="1">
        <v>45859</v>
      </c>
      <c r="B1211" s="2" t="s">
        <v>15</v>
      </c>
      <c r="C1211">
        <v>3.5557599999999998</v>
      </c>
    </row>
    <row r="1212" spans="1:3" x14ac:dyDescent="0.3">
      <c r="A1212" s="1">
        <v>45859</v>
      </c>
      <c r="B1212" s="2" t="s">
        <v>17</v>
      </c>
      <c r="C1212">
        <v>3763.3713400000001</v>
      </c>
    </row>
    <row r="1213" spans="1:3" x14ac:dyDescent="0.3">
      <c r="A1213" s="1">
        <v>45859</v>
      </c>
      <c r="B1213" s="2" t="s">
        <v>19</v>
      </c>
      <c r="C1213">
        <v>766.78394000000003</v>
      </c>
    </row>
    <row r="1214" spans="1:3" x14ac:dyDescent="0.3">
      <c r="A1214" s="1">
        <v>45860</v>
      </c>
      <c r="B1214" s="2" t="s">
        <v>9</v>
      </c>
      <c r="C1214">
        <v>0.90293999999999996</v>
      </c>
    </row>
    <row r="1215" spans="1:3" x14ac:dyDescent="0.3">
      <c r="A1215" s="1">
        <v>45860</v>
      </c>
      <c r="B1215" s="2" t="s">
        <v>11</v>
      </c>
      <c r="C1215">
        <v>119995.41409999999</v>
      </c>
    </row>
    <row r="1216" spans="1:3" x14ac:dyDescent="0.3">
      <c r="A1216" s="1">
        <v>45860</v>
      </c>
      <c r="B1216" s="2" t="s">
        <v>13</v>
      </c>
      <c r="C1216">
        <v>205.70054999999999</v>
      </c>
    </row>
    <row r="1217" spans="1:3" x14ac:dyDescent="0.3">
      <c r="A1217" s="1">
        <v>45860</v>
      </c>
      <c r="B1217" s="2" t="s">
        <v>15</v>
      </c>
      <c r="C1217">
        <v>3.5516800000000002</v>
      </c>
    </row>
    <row r="1218" spans="1:3" x14ac:dyDescent="0.3">
      <c r="A1218" s="1">
        <v>45860</v>
      </c>
      <c r="B1218" s="2" t="s">
        <v>17</v>
      </c>
      <c r="C1218">
        <v>3749.1455099999998</v>
      </c>
    </row>
    <row r="1219" spans="1:3" x14ac:dyDescent="0.3">
      <c r="A1219" s="1">
        <v>45860</v>
      </c>
      <c r="B1219" s="2" t="s">
        <v>19</v>
      </c>
      <c r="C1219">
        <v>786.14116999999999</v>
      </c>
    </row>
    <row r="1220" spans="1:3" x14ac:dyDescent="0.3">
      <c r="A1220" s="1">
        <v>45861</v>
      </c>
      <c r="B1220" s="2" t="s">
        <v>9</v>
      </c>
      <c r="C1220">
        <v>0.81623000000000001</v>
      </c>
    </row>
    <row r="1221" spans="1:3" x14ac:dyDescent="0.3">
      <c r="A1221" s="1">
        <v>45861</v>
      </c>
      <c r="B1221" s="2" t="s">
        <v>11</v>
      </c>
      <c r="C1221">
        <v>118754.96090000001</v>
      </c>
    </row>
    <row r="1222" spans="1:3" x14ac:dyDescent="0.3">
      <c r="A1222" s="1">
        <v>45861</v>
      </c>
      <c r="B1222" s="2" t="s">
        <v>13</v>
      </c>
      <c r="C1222">
        <v>189.54293999999999</v>
      </c>
    </row>
    <row r="1223" spans="1:3" x14ac:dyDescent="0.3">
      <c r="A1223" s="1">
        <v>45861</v>
      </c>
      <c r="B1223" s="2" t="s">
        <v>15</v>
      </c>
      <c r="C1223">
        <v>3.18493</v>
      </c>
    </row>
    <row r="1224" spans="1:3" x14ac:dyDescent="0.3">
      <c r="A1224" s="1">
        <v>45861</v>
      </c>
      <c r="B1224" s="2" t="s">
        <v>17</v>
      </c>
      <c r="C1224">
        <v>3629.70361</v>
      </c>
    </row>
    <row r="1225" spans="1:3" x14ac:dyDescent="0.3">
      <c r="A1225" s="1">
        <v>45861</v>
      </c>
      <c r="B1225" s="2" t="s">
        <v>19</v>
      </c>
      <c r="C1225">
        <v>776.64044000000001</v>
      </c>
    </row>
    <row r="1226" spans="1:3" x14ac:dyDescent="0.3">
      <c r="A1226" s="1">
        <v>45862</v>
      </c>
      <c r="B1226" s="2" t="s">
        <v>9</v>
      </c>
      <c r="C1226">
        <v>0.80557999999999996</v>
      </c>
    </row>
    <row r="1227" spans="1:3" x14ac:dyDescent="0.3">
      <c r="A1227" s="1">
        <v>45862</v>
      </c>
      <c r="B1227" s="2" t="s">
        <v>11</v>
      </c>
      <c r="C1227">
        <v>118368</v>
      </c>
    </row>
    <row r="1228" spans="1:3" x14ac:dyDescent="0.3">
      <c r="A1228" s="1">
        <v>45862</v>
      </c>
      <c r="B1228" s="2" t="s">
        <v>13</v>
      </c>
      <c r="C1228">
        <v>182.60606000000001</v>
      </c>
    </row>
    <row r="1229" spans="1:3" x14ac:dyDescent="0.3">
      <c r="A1229" s="1">
        <v>45862</v>
      </c>
      <c r="B1229" s="2" t="s">
        <v>15</v>
      </c>
      <c r="C1229">
        <v>3.1438899999999999</v>
      </c>
    </row>
    <row r="1230" spans="1:3" x14ac:dyDescent="0.3">
      <c r="A1230" s="1">
        <v>45862</v>
      </c>
      <c r="B1230" s="2" t="s">
        <v>17</v>
      </c>
      <c r="C1230">
        <v>3708.0056199999999</v>
      </c>
    </row>
    <row r="1231" spans="1:3" x14ac:dyDescent="0.3">
      <c r="A1231" s="1">
        <v>45862</v>
      </c>
      <c r="B1231" s="2" t="s">
        <v>19</v>
      </c>
      <c r="C1231">
        <v>771.23999000000003</v>
      </c>
    </row>
    <row r="1232" spans="1:3" x14ac:dyDescent="0.3">
      <c r="A1232" s="1">
        <v>45863</v>
      </c>
      <c r="B1232" s="2" t="s">
        <v>9</v>
      </c>
      <c r="C1232">
        <v>0.81606999999999996</v>
      </c>
    </row>
    <row r="1233" spans="1:3" x14ac:dyDescent="0.3">
      <c r="A1233" s="1">
        <v>45863</v>
      </c>
      <c r="B1233" s="2" t="s">
        <v>11</v>
      </c>
      <c r="C1233">
        <v>117635.88280000001</v>
      </c>
    </row>
    <row r="1234" spans="1:3" x14ac:dyDescent="0.3">
      <c r="A1234" s="1">
        <v>45863</v>
      </c>
      <c r="B1234" s="2" t="s">
        <v>13</v>
      </c>
      <c r="C1234">
        <v>186.77966000000001</v>
      </c>
    </row>
    <row r="1235" spans="1:3" x14ac:dyDescent="0.3">
      <c r="A1235" s="1">
        <v>45863</v>
      </c>
      <c r="B1235" s="2" t="s">
        <v>15</v>
      </c>
      <c r="C1235">
        <v>3.1417199999999998</v>
      </c>
    </row>
    <row r="1236" spans="1:3" x14ac:dyDescent="0.3">
      <c r="A1236" s="1">
        <v>45863</v>
      </c>
      <c r="B1236" s="2" t="s">
        <v>17</v>
      </c>
      <c r="C1236">
        <v>3727.26685</v>
      </c>
    </row>
    <row r="1237" spans="1:3" x14ac:dyDescent="0.3">
      <c r="A1237" s="1">
        <v>45863</v>
      </c>
      <c r="B1237" s="2" t="s">
        <v>19</v>
      </c>
      <c r="C1237">
        <v>785.60645</v>
      </c>
    </row>
    <row r="1238" spans="1:3" x14ac:dyDescent="0.3">
      <c r="A1238" s="1">
        <v>45864</v>
      </c>
      <c r="B1238" s="2" t="s">
        <v>9</v>
      </c>
      <c r="C1238">
        <v>0.81979999999999997</v>
      </c>
    </row>
    <row r="1239" spans="1:3" x14ac:dyDescent="0.3">
      <c r="A1239" s="1">
        <v>45864</v>
      </c>
      <c r="B1239" s="2" t="s">
        <v>11</v>
      </c>
      <c r="C1239">
        <v>117947.36719999999</v>
      </c>
    </row>
    <row r="1240" spans="1:3" x14ac:dyDescent="0.3">
      <c r="A1240" s="1">
        <v>45864</v>
      </c>
      <c r="B1240" s="2" t="s">
        <v>13</v>
      </c>
      <c r="C1240">
        <v>184.91388000000001</v>
      </c>
    </row>
    <row r="1241" spans="1:3" x14ac:dyDescent="0.3">
      <c r="A1241" s="1">
        <v>45864</v>
      </c>
      <c r="B1241" s="2" t="s">
        <v>15</v>
      </c>
      <c r="C1241">
        <v>3.1675300000000002</v>
      </c>
    </row>
    <row r="1242" spans="1:3" x14ac:dyDescent="0.3">
      <c r="A1242" s="1">
        <v>45864</v>
      </c>
      <c r="B1242" s="2" t="s">
        <v>17</v>
      </c>
      <c r="C1242">
        <v>3741.3960000000002</v>
      </c>
    </row>
    <row r="1243" spans="1:3" x14ac:dyDescent="0.3">
      <c r="A1243" s="1">
        <v>45864</v>
      </c>
      <c r="B1243" s="2" t="s">
        <v>19</v>
      </c>
      <c r="C1243">
        <v>793.28259000000003</v>
      </c>
    </row>
    <row r="1244" spans="1:3" x14ac:dyDescent="0.3">
      <c r="A1244" s="1">
        <v>45865</v>
      </c>
      <c r="B1244" s="2" t="s">
        <v>9</v>
      </c>
      <c r="C1244">
        <v>0.83201000000000003</v>
      </c>
    </row>
    <row r="1245" spans="1:3" x14ac:dyDescent="0.3">
      <c r="A1245" s="1">
        <v>45865</v>
      </c>
      <c r="B1245" s="2" t="s">
        <v>11</v>
      </c>
      <c r="C1245">
        <v>119448.49219999999</v>
      </c>
    </row>
    <row r="1246" spans="1:3" x14ac:dyDescent="0.3">
      <c r="A1246" s="1">
        <v>45865</v>
      </c>
      <c r="B1246" s="2" t="s">
        <v>13</v>
      </c>
      <c r="C1246">
        <v>188.73348999999999</v>
      </c>
    </row>
    <row r="1247" spans="1:3" x14ac:dyDescent="0.3">
      <c r="A1247" s="1">
        <v>45865</v>
      </c>
      <c r="B1247" s="2" t="s">
        <v>15</v>
      </c>
      <c r="C1247">
        <v>3.2412800000000002</v>
      </c>
    </row>
    <row r="1248" spans="1:3" x14ac:dyDescent="0.3">
      <c r="A1248" s="1">
        <v>45865</v>
      </c>
      <c r="B1248" s="2" t="s">
        <v>17</v>
      </c>
      <c r="C1248">
        <v>3875.24658</v>
      </c>
    </row>
    <row r="1249" spans="1:3" x14ac:dyDescent="0.3">
      <c r="A1249" s="1">
        <v>45865</v>
      </c>
      <c r="B1249" s="2" t="s">
        <v>19</v>
      </c>
      <c r="C1249">
        <v>843.26196000000004</v>
      </c>
    </row>
    <row r="1250" spans="1:3" x14ac:dyDescent="0.3">
      <c r="A1250" s="1">
        <v>45866</v>
      </c>
      <c r="B1250" s="2" t="s">
        <v>9</v>
      </c>
      <c r="C1250">
        <v>0.79088999999999998</v>
      </c>
    </row>
    <row r="1251" spans="1:3" x14ac:dyDescent="0.3">
      <c r="A1251" s="1">
        <v>45866</v>
      </c>
      <c r="B1251" s="2" t="s">
        <v>11</v>
      </c>
      <c r="C1251">
        <v>117924.47659999999</v>
      </c>
    </row>
    <row r="1252" spans="1:3" x14ac:dyDescent="0.3">
      <c r="A1252" s="1">
        <v>45866</v>
      </c>
      <c r="B1252" s="2" t="s">
        <v>13</v>
      </c>
      <c r="C1252">
        <v>182.54156</v>
      </c>
    </row>
    <row r="1253" spans="1:3" x14ac:dyDescent="0.3">
      <c r="A1253" s="1">
        <v>45866</v>
      </c>
      <c r="B1253" s="2" t="s">
        <v>15</v>
      </c>
      <c r="C1253">
        <v>3.1158399999999999</v>
      </c>
    </row>
    <row r="1254" spans="1:3" x14ac:dyDescent="0.3">
      <c r="A1254" s="1">
        <v>45866</v>
      </c>
      <c r="B1254" s="2" t="s">
        <v>17</v>
      </c>
      <c r="C1254">
        <v>3787.42578</v>
      </c>
    </row>
    <row r="1255" spans="1:3" x14ac:dyDescent="0.3">
      <c r="A1255" s="1">
        <v>45866</v>
      </c>
      <c r="B1255" s="2" t="s">
        <v>19</v>
      </c>
      <c r="C1255">
        <v>822.01855</v>
      </c>
    </row>
    <row r="1256" spans="1:3" x14ac:dyDescent="0.3">
      <c r="A1256" s="1">
        <v>45867</v>
      </c>
      <c r="B1256" s="2" t="s">
        <v>9</v>
      </c>
      <c r="C1256">
        <v>0.78247</v>
      </c>
    </row>
    <row r="1257" spans="1:3" x14ac:dyDescent="0.3">
      <c r="A1257" s="1">
        <v>45867</v>
      </c>
      <c r="B1257" s="2" t="s">
        <v>11</v>
      </c>
      <c r="C1257">
        <v>117922.14840000001</v>
      </c>
    </row>
    <row r="1258" spans="1:3" x14ac:dyDescent="0.3">
      <c r="A1258" s="1">
        <v>45867</v>
      </c>
      <c r="B1258" s="2" t="s">
        <v>13</v>
      </c>
      <c r="C1258">
        <v>181.33530999999999</v>
      </c>
    </row>
    <row r="1259" spans="1:3" x14ac:dyDescent="0.3">
      <c r="A1259" s="1">
        <v>45867</v>
      </c>
      <c r="B1259" s="2" t="s">
        <v>15</v>
      </c>
      <c r="C1259">
        <v>3.1284299999999998</v>
      </c>
    </row>
    <row r="1260" spans="1:3" x14ac:dyDescent="0.3">
      <c r="A1260" s="1">
        <v>45867</v>
      </c>
      <c r="B1260" s="2" t="s">
        <v>17</v>
      </c>
      <c r="C1260">
        <v>3793.4548300000001</v>
      </c>
    </row>
    <row r="1261" spans="1:3" x14ac:dyDescent="0.3">
      <c r="A1261" s="1">
        <v>45867</v>
      </c>
      <c r="B1261" s="2" t="s">
        <v>19</v>
      </c>
      <c r="C1261">
        <v>804.89892999999995</v>
      </c>
    </row>
    <row r="1262" spans="1:3" x14ac:dyDescent="0.3">
      <c r="A1262" s="1">
        <v>45868</v>
      </c>
      <c r="B1262" s="2" t="s">
        <v>9</v>
      </c>
      <c r="C1262">
        <v>0.76344000000000001</v>
      </c>
    </row>
    <row r="1263" spans="1:3" x14ac:dyDescent="0.3">
      <c r="A1263" s="1">
        <v>45868</v>
      </c>
      <c r="B1263" s="2" t="s">
        <v>11</v>
      </c>
      <c r="C1263">
        <v>117831.1875</v>
      </c>
    </row>
    <row r="1264" spans="1:3" x14ac:dyDescent="0.3">
      <c r="A1264" s="1">
        <v>45868</v>
      </c>
      <c r="B1264" s="2" t="s">
        <v>13</v>
      </c>
      <c r="C1264">
        <v>177.69401999999999</v>
      </c>
    </row>
    <row r="1265" spans="1:3" x14ac:dyDescent="0.3">
      <c r="A1265" s="1">
        <v>45868</v>
      </c>
      <c r="B1265" s="2" t="s">
        <v>15</v>
      </c>
      <c r="C1265">
        <v>3.0983800000000001</v>
      </c>
    </row>
    <row r="1266" spans="1:3" x14ac:dyDescent="0.3">
      <c r="A1266" s="1">
        <v>45868</v>
      </c>
      <c r="B1266" s="2" t="s">
        <v>17</v>
      </c>
      <c r="C1266">
        <v>3808.2016600000002</v>
      </c>
    </row>
    <row r="1267" spans="1:3" x14ac:dyDescent="0.3">
      <c r="A1267" s="1">
        <v>45868</v>
      </c>
      <c r="B1267" s="2" t="s">
        <v>19</v>
      </c>
      <c r="C1267">
        <v>793.14484000000004</v>
      </c>
    </row>
    <row r="1268" spans="1:3" x14ac:dyDescent="0.3">
      <c r="A1268" s="1">
        <v>45869</v>
      </c>
      <c r="B1268" s="2" t="s">
        <v>9</v>
      </c>
      <c r="C1268">
        <v>0.74006000000000005</v>
      </c>
    </row>
    <row r="1269" spans="1:3" x14ac:dyDescent="0.3">
      <c r="A1269" s="1">
        <v>45869</v>
      </c>
      <c r="B1269" s="2" t="s">
        <v>11</v>
      </c>
      <c r="C1269">
        <v>115758.2031</v>
      </c>
    </row>
    <row r="1270" spans="1:3" x14ac:dyDescent="0.3">
      <c r="A1270" s="1">
        <v>45869</v>
      </c>
      <c r="B1270" s="2" t="s">
        <v>13</v>
      </c>
      <c r="C1270">
        <v>172.42435</v>
      </c>
    </row>
    <row r="1271" spans="1:3" x14ac:dyDescent="0.3">
      <c r="A1271" s="1">
        <v>45869</v>
      </c>
      <c r="B1271" s="2" t="s">
        <v>15</v>
      </c>
      <c r="C1271">
        <v>3.0251700000000001</v>
      </c>
    </row>
    <row r="1272" spans="1:3" x14ac:dyDescent="0.3">
      <c r="A1272" s="1">
        <v>45869</v>
      </c>
      <c r="B1272" s="2" t="s">
        <v>17</v>
      </c>
      <c r="C1272">
        <v>3696.7077599999998</v>
      </c>
    </row>
    <row r="1273" spans="1:3" x14ac:dyDescent="0.3">
      <c r="A1273" s="1">
        <v>45869</v>
      </c>
      <c r="B1273" s="2" t="s">
        <v>19</v>
      </c>
      <c r="C1273">
        <v>783.66681000000005</v>
      </c>
    </row>
    <row r="1274" spans="1:3" x14ac:dyDescent="0.3">
      <c r="A1274" s="1">
        <v>45870</v>
      </c>
      <c r="B1274" s="2" t="s">
        <v>9</v>
      </c>
      <c r="C1274">
        <v>0.71567000000000003</v>
      </c>
    </row>
    <row r="1275" spans="1:3" x14ac:dyDescent="0.3">
      <c r="A1275" s="1">
        <v>45870</v>
      </c>
      <c r="B1275" s="2" t="s">
        <v>11</v>
      </c>
      <c r="C1275">
        <v>113320.08590000001</v>
      </c>
    </row>
    <row r="1276" spans="1:3" x14ac:dyDescent="0.3">
      <c r="A1276" s="1">
        <v>45870</v>
      </c>
      <c r="B1276" s="2" t="s">
        <v>13</v>
      </c>
      <c r="C1276">
        <v>162.87709000000001</v>
      </c>
    </row>
    <row r="1277" spans="1:3" x14ac:dyDescent="0.3">
      <c r="A1277" s="1">
        <v>45870</v>
      </c>
      <c r="B1277" s="2" t="s">
        <v>15</v>
      </c>
      <c r="C1277">
        <v>2.9645999999999999</v>
      </c>
    </row>
    <row r="1278" spans="1:3" x14ac:dyDescent="0.3">
      <c r="A1278" s="1">
        <v>45870</v>
      </c>
      <c r="B1278" s="2" t="s">
        <v>17</v>
      </c>
      <c r="C1278">
        <v>3488.3659699999998</v>
      </c>
    </row>
    <row r="1279" spans="1:3" x14ac:dyDescent="0.3">
      <c r="A1279" s="1">
        <v>45870</v>
      </c>
      <c r="B1279" s="2" t="s">
        <v>19</v>
      </c>
      <c r="C1279">
        <v>757.18658000000005</v>
      </c>
    </row>
    <row r="1280" spans="1:3" x14ac:dyDescent="0.3">
      <c r="A1280" s="1">
        <v>45871</v>
      </c>
      <c r="B1280" s="2" t="s">
        <v>9</v>
      </c>
      <c r="C1280">
        <v>0.69767000000000001</v>
      </c>
    </row>
    <row r="1281" spans="1:3" x14ac:dyDescent="0.3">
      <c r="A1281" s="1">
        <v>45871</v>
      </c>
      <c r="B1281" s="2" t="s">
        <v>11</v>
      </c>
      <c r="C1281">
        <v>112526.91409999999</v>
      </c>
    </row>
    <row r="1282" spans="1:3" x14ac:dyDescent="0.3">
      <c r="A1282" s="1">
        <v>45871</v>
      </c>
      <c r="B1282" s="2" t="s">
        <v>13</v>
      </c>
      <c r="C1282">
        <v>158.48302000000001</v>
      </c>
    </row>
    <row r="1283" spans="1:3" x14ac:dyDescent="0.3">
      <c r="A1283" s="1">
        <v>45871</v>
      </c>
      <c r="B1283" s="2" t="s">
        <v>15</v>
      </c>
      <c r="C1283">
        <v>2.7663700000000002</v>
      </c>
    </row>
    <row r="1284" spans="1:3" x14ac:dyDescent="0.3">
      <c r="A1284" s="1">
        <v>45871</v>
      </c>
      <c r="B1284" s="2" t="s">
        <v>17</v>
      </c>
      <c r="C1284">
        <v>3392.7412100000001</v>
      </c>
    </row>
    <row r="1285" spans="1:3" x14ac:dyDescent="0.3">
      <c r="A1285" s="1">
        <v>45871</v>
      </c>
      <c r="B1285" s="2" t="s">
        <v>19</v>
      </c>
      <c r="C1285">
        <v>736.64642000000003</v>
      </c>
    </row>
    <row r="1286" spans="1:3" x14ac:dyDescent="0.3">
      <c r="A1286" s="1">
        <v>45872</v>
      </c>
      <c r="B1286" s="2" t="s">
        <v>9</v>
      </c>
      <c r="C1286">
        <v>0.72697999999999996</v>
      </c>
    </row>
    <row r="1287" spans="1:3" x14ac:dyDescent="0.3">
      <c r="A1287" s="1">
        <v>45872</v>
      </c>
      <c r="B1287" s="2" t="s">
        <v>11</v>
      </c>
      <c r="C1287">
        <v>114217.6719</v>
      </c>
    </row>
    <row r="1288" spans="1:3" x14ac:dyDescent="0.3">
      <c r="A1288" s="1">
        <v>45872</v>
      </c>
      <c r="B1288" s="2" t="s">
        <v>13</v>
      </c>
      <c r="C1288">
        <v>161.95497</v>
      </c>
    </row>
    <row r="1289" spans="1:3" x14ac:dyDescent="0.3">
      <c r="A1289" s="1">
        <v>45872</v>
      </c>
      <c r="B1289" s="2" t="s">
        <v>15</v>
      </c>
      <c r="C1289">
        <v>2.9495399999999998</v>
      </c>
    </row>
    <row r="1290" spans="1:3" x14ac:dyDescent="0.3">
      <c r="A1290" s="1">
        <v>45872</v>
      </c>
      <c r="B1290" s="2" t="s">
        <v>17</v>
      </c>
      <c r="C1290">
        <v>3497.3791500000002</v>
      </c>
    </row>
    <row r="1291" spans="1:3" x14ac:dyDescent="0.3">
      <c r="A1291" s="1">
        <v>45872</v>
      </c>
      <c r="B1291" s="2" t="s">
        <v>19</v>
      </c>
      <c r="C1291">
        <v>751.56097</v>
      </c>
    </row>
    <row r="1292" spans="1:3" x14ac:dyDescent="0.3">
      <c r="A1292" s="1">
        <v>45873</v>
      </c>
      <c r="B1292" s="2" t="s">
        <v>9</v>
      </c>
      <c r="C1292">
        <v>0.75480999999999998</v>
      </c>
    </row>
    <row r="1293" spans="1:3" x14ac:dyDescent="0.3">
      <c r="A1293" s="1">
        <v>45873</v>
      </c>
      <c r="B1293" s="2" t="s">
        <v>11</v>
      </c>
      <c r="C1293">
        <v>115071.88280000001</v>
      </c>
    </row>
    <row r="1294" spans="1:3" x14ac:dyDescent="0.3">
      <c r="A1294" s="1">
        <v>45873</v>
      </c>
      <c r="B1294" s="2" t="s">
        <v>13</v>
      </c>
      <c r="C1294">
        <v>169.42569</v>
      </c>
    </row>
    <row r="1295" spans="1:3" x14ac:dyDescent="0.3">
      <c r="A1295" s="1">
        <v>45873</v>
      </c>
      <c r="B1295" s="2" t="s">
        <v>15</v>
      </c>
      <c r="C1295">
        <v>3.07281</v>
      </c>
    </row>
    <row r="1296" spans="1:3" x14ac:dyDescent="0.3">
      <c r="A1296" s="1">
        <v>45873</v>
      </c>
      <c r="B1296" s="2" t="s">
        <v>17</v>
      </c>
      <c r="C1296">
        <v>3718.9860800000001</v>
      </c>
    </row>
    <row r="1297" spans="1:3" x14ac:dyDescent="0.3">
      <c r="A1297" s="1">
        <v>45873</v>
      </c>
      <c r="B1297" s="2" t="s">
        <v>19</v>
      </c>
      <c r="C1297">
        <v>769.05907999999999</v>
      </c>
    </row>
    <row r="1298" spans="1:3" x14ac:dyDescent="0.3">
      <c r="A1298" s="1">
        <v>45874</v>
      </c>
      <c r="B1298" s="2" t="s">
        <v>9</v>
      </c>
      <c r="C1298">
        <v>0.72604000000000002</v>
      </c>
    </row>
    <row r="1299" spans="1:3" x14ac:dyDescent="0.3">
      <c r="A1299" s="1">
        <v>45874</v>
      </c>
      <c r="B1299" s="2" t="s">
        <v>11</v>
      </c>
      <c r="C1299">
        <v>114141.44530000001</v>
      </c>
    </row>
    <row r="1300" spans="1:3" x14ac:dyDescent="0.3">
      <c r="A1300" s="1">
        <v>45874</v>
      </c>
      <c r="B1300" s="2" t="s">
        <v>13</v>
      </c>
      <c r="C1300">
        <v>164.09644</v>
      </c>
    </row>
    <row r="1301" spans="1:3" x14ac:dyDescent="0.3">
      <c r="A1301" s="1">
        <v>45874</v>
      </c>
      <c r="B1301" s="2" t="s">
        <v>15</v>
      </c>
      <c r="C1301">
        <v>2.9637500000000001</v>
      </c>
    </row>
    <row r="1302" spans="1:3" x14ac:dyDescent="0.3">
      <c r="A1302" s="1">
        <v>45874</v>
      </c>
      <c r="B1302" s="2" t="s">
        <v>17</v>
      </c>
      <c r="C1302">
        <v>3611.89941</v>
      </c>
    </row>
    <row r="1303" spans="1:3" x14ac:dyDescent="0.3">
      <c r="A1303" s="1">
        <v>45874</v>
      </c>
      <c r="B1303" s="2" t="s">
        <v>19</v>
      </c>
      <c r="C1303">
        <v>754.85100999999997</v>
      </c>
    </row>
    <row r="1304" spans="1:3" x14ac:dyDescent="0.3">
      <c r="A1304" s="1">
        <v>45875</v>
      </c>
      <c r="B1304" s="2" t="s">
        <v>9</v>
      </c>
      <c r="C1304">
        <v>0.74178999999999995</v>
      </c>
    </row>
    <row r="1305" spans="1:3" x14ac:dyDescent="0.3">
      <c r="A1305" s="1">
        <v>45875</v>
      </c>
      <c r="B1305" s="2" t="s">
        <v>11</v>
      </c>
      <c r="C1305">
        <v>115028</v>
      </c>
    </row>
    <row r="1306" spans="1:3" x14ac:dyDescent="0.3">
      <c r="A1306" s="1">
        <v>45875</v>
      </c>
      <c r="B1306" s="2" t="s">
        <v>13</v>
      </c>
      <c r="C1306">
        <v>168.17573999999999</v>
      </c>
    </row>
    <row r="1307" spans="1:3" x14ac:dyDescent="0.3">
      <c r="A1307" s="1">
        <v>45875</v>
      </c>
      <c r="B1307" s="2" t="s">
        <v>15</v>
      </c>
      <c r="C1307">
        <v>2.9918900000000002</v>
      </c>
    </row>
    <row r="1308" spans="1:3" x14ac:dyDescent="0.3">
      <c r="A1308" s="1">
        <v>45875</v>
      </c>
      <c r="B1308" s="2" t="s">
        <v>17</v>
      </c>
      <c r="C1308">
        <v>3683.92065</v>
      </c>
    </row>
    <row r="1309" spans="1:3" x14ac:dyDescent="0.3">
      <c r="A1309" s="1">
        <v>45875</v>
      </c>
      <c r="B1309" s="2" t="s">
        <v>19</v>
      </c>
      <c r="C1309">
        <v>769.84784000000002</v>
      </c>
    </row>
    <row r="1310" spans="1:3" x14ac:dyDescent="0.3">
      <c r="A1310" s="1">
        <v>45876</v>
      </c>
      <c r="B1310" s="2" t="s">
        <v>9</v>
      </c>
      <c r="C1310">
        <v>0.78639999999999999</v>
      </c>
    </row>
    <row r="1311" spans="1:3" x14ac:dyDescent="0.3">
      <c r="A1311" s="1">
        <v>45876</v>
      </c>
      <c r="B1311" s="2" t="s">
        <v>11</v>
      </c>
      <c r="C1311">
        <v>117496.89840000001</v>
      </c>
    </row>
    <row r="1312" spans="1:3" x14ac:dyDescent="0.3">
      <c r="A1312" s="1">
        <v>45876</v>
      </c>
      <c r="B1312" s="2" t="s">
        <v>13</v>
      </c>
      <c r="C1312">
        <v>175.48543000000001</v>
      </c>
    </row>
    <row r="1313" spans="1:3" x14ac:dyDescent="0.3">
      <c r="A1313" s="1">
        <v>45876</v>
      </c>
      <c r="B1313" s="2" t="s">
        <v>15</v>
      </c>
      <c r="C1313">
        <v>3.3182100000000001</v>
      </c>
    </row>
    <row r="1314" spans="1:3" x14ac:dyDescent="0.3">
      <c r="A1314" s="1">
        <v>45876</v>
      </c>
      <c r="B1314" s="2" t="s">
        <v>17</v>
      </c>
      <c r="C1314">
        <v>3914.32593</v>
      </c>
    </row>
    <row r="1315" spans="1:3" x14ac:dyDescent="0.3">
      <c r="A1315" s="1">
        <v>45876</v>
      </c>
      <c r="B1315" s="2" t="s">
        <v>19</v>
      </c>
      <c r="C1315">
        <v>788.19635000000005</v>
      </c>
    </row>
    <row r="1316" spans="1:3" x14ac:dyDescent="0.3">
      <c r="A1316" s="1">
        <v>45877</v>
      </c>
      <c r="B1316" s="2" t="s">
        <v>9</v>
      </c>
      <c r="C1316">
        <v>0.79117999999999999</v>
      </c>
    </row>
    <row r="1317" spans="1:3" x14ac:dyDescent="0.3">
      <c r="A1317" s="1">
        <v>45877</v>
      </c>
      <c r="B1317" s="2" t="s">
        <v>11</v>
      </c>
      <c r="C1317">
        <v>116688.72659999999</v>
      </c>
    </row>
    <row r="1318" spans="1:3" x14ac:dyDescent="0.3">
      <c r="A1318" s="1">
        <v>45877</v>
      </c>
      <c r="B1318" s="2" t="s">
        <v>13</v>
      </c>
      <c r="C1318">
        <v>176.76329000000001</v>
      </c>
    </row>
    <row r="1319" spans="1:3" x14ac:dyDescent="0.3">
      <c r="A1319" s="1">
        <v>45877</v>
      </c>
      <c r="B1319" s="2" t="s">
        <v>15</v>
      </c>
      <c r="C1319">
        <v>3.2871199999999998</v>
      </c>
    </row>
    <row r="1320" spans="1:3" x14ac:dyDescent="0.3">
      <c r="A1320" s="1">
        <v>45877</v>
      </c>
      <c r="B1320" s="2" t="s">
        <v>17</v>
      </c>
      <c r="C1320">
        <v>4009.84888</v>
      </c>
    </row>
    <row r="1321" spans="1:3" x14ac:dyDescent="0.3">
      <c r="A1321" s="1">
        <v>45877</v>
      </c>
      <c r="B1321" s="2" t="s">
        <v>19</v>
      </c>
      <c r="C1321">
        <v>793.43957999999998</v>
      </c>
    </row>
    <row r="1322" spans="1:3" x14ac:dyDescent="0.3">
      <c r="A1322" s="1">
        <v>45878</v>
      </c>
      <c r="B1322" s="2" t="s">
        <v>9</v>
      </c>
      <c r="C1322">
        <v>0.80403999999999998</v>
      </c>
    </row>
    <row r="1323" spans="1:3" x14ac:dyDescent="0.3">
      <c r="A1323" s="1">
        <v>45878</v>
      </c>
      <c r="B1323" s="2" t="s">
        <v>11</v>
      </c>
      <c r="C1323">
        <v>116500.3594</v>
      </c>
    </row>
    <row r="1324" spans="1:3" x14ac:dyDescent="0.3">
      <c r="A1324" s="1">
        <v>45878</v>
      </c>
      <c r="B1324" s="2" t="s">
        <v>13</v>
      </c>
      <c r="C1324">
        <v>180.18234000000001</v>
      </c>
    </row>
    <row r="1325" spans="1:3" x14ac:dyDescent="0.3">
      <c r="A1325" s="1">
        <v>45878</v>
      </c>
      <c r="B1325" s="2" t="s">
        <v>15</v>
      </c>
      <c r="C1325">
        <v>3.2278799999999999</v>
      </c>
    </row>
    <row r="1326" spans="1:3" x14ac:dyDescent="0.3">
      <c r="A1326" s="1">
        <v>45878</v>
      </c>
      <c r="B1326" s="2" t="s">
        <v>17</v>
      </c>
      <c r="C1326">
        <v>4263.5991199999999</v>
      </c>
    </row>
    <row r="1327" spans="1:3" x14ac:dyDescent="0.3">
      <c r="A1327" s="1">
        <v>45878</v>
      </c>
      <c r="B1327" s="2" t="s">
        <v>19</v>
      </c>
      <c r="C1327">
        <v>799.08672999999999</v>
      </c>
    </row>
    <row r="1328" spans="1:3" x14ac:dyDescent="0.3">
      <c r="A1328" s="1">
        <v>45879</v>
      </c>
      <c r="B1328" s="2" t="s">
        <v>9</v>
      </c>
      <c r="C1328">
        <v>0.80228999999999995</v>
      </c>
    </row>
    <row r="1329" spans="1:3" x14ac:dyDescent="0.3">
      <c r="A1329" s="1">
        <v>45879</v>
      </c>
      <c r="B1329" s="2" t="s">
        <v>11</v>
      </c>
      <c r="C1329">
        <v>119306.75780000001</v>
      </c>
    </row>
    <row r="1330" spans="1:3" x14ac:dyDescent="0.3">
      <c r="A1330" s="1">
        <v>45879</v>
      </c>
      <c r="B1330" s="2" t="s">
        <v>13</v>
      </c>
      <c r="C1330">
        <v>182.90302</v>
      </c>
    </row>
    <row r="1331" spans="1:3" x14ac:dyDescent="0.3">
      <c r="A1331" s="1">
        <v>45879</v>
      </c>
      <c r="B1331" s="2" t="s">
        <v>15</v>
      </c>
      <c r="C1331">
        <v>3.1878600000000001</v>
      </c>
    </row>
    <row r="1332" spans="1:3" x14ac:dyDescent="0.3">
      <c r="A1332" s="1">
        <v>45879</v>
      </c>
      <c r="B1332" s="2" t="s">
        <v>17</v>
      </c>
      <c r="C1332">
        <v>4254.2177700000002</v>
      </c>
    </row>
    <row r="1333" spans="1:3" x14ac:dyDescent="0.3">
      <c r="A1333" s="1">
        <v>45879</v>
      </c>
      <c r="B1333" s="2" t="s">
        <v>19</v>
      </c>
      <c r="C1333">
        <v>805.87347</v>
      </c>
    </row>
    <row r="1334" spans="1:3" x14ac:dyDescent="0.3">
      <c r="A1334" s="1">
        <v>45880</v>
      </c>
      <c r="B1334" s="2" t="s">
        <v>9</v>
      </c>
      <c r="C1334">
        <v>0.77398</v>
      </c>
    </row>
    <row r="1335" spans="1:3" x14ac:dyDescent="0.3">
      <c r="A1335" s="1">
        <v>45880</v>
      </c>
      <c r="B1335" s="2" t="s">
        <v>11</v>
      </c>
      <c r="C1335">
        <v>118731.44530000001</v>
      </c>
    </row>
    <row r="1336" spans="1:3" x14ac:dyDescent="0.3">
      <c r="A1336" s="1">
        <v>45880</v>
      </c>
      <c r="B1336" s="2" t="s">
        <v>13</v>
      </c>
      <c r="C1336">
        <v>174.97781000000001</v>
      </c>
    </row>
    <row r="1337" spans="1:3" x14ac:dyDescent="0.3">
      <c r="A1337" s="1">
        <v>45880</v>
      </c>
      <c r="B1337" s="2" t="s">
        <v>15</v>
      </c>
      <c r="C1337">
        <v>3.1345100000000001</v>
      </c>
    </row>
    <row r="1338" spans="1:3" x14ac:dyDescent="0.3">
      <c r="A1338" s="1">
        <v>45880</v>
      </c>
      <c r="B1338" s="2" t="s">
        <v>17</v>
      </c>
      <c r="C1338">
        <v>4226.9668000000001</v>
      </c>
    </row>
    <row r="1339" spans="1:3" x14ac:dyDescent="0.3">
      <c r="A1339" s="1">
        <v>45880</v>
      </c>
      <c r="B1339" s="2" t="s">
        <v>19</v>
      </c>
      <c r="C1339">
        <v>806.73022000000003</v>
      </c>
    </row>
    <row r="1340" spans="1:3" x14ac:dyDescent="0.3">
      <c r="A1340" s="1">
        <v>45881</v>
      </c>
      <c r="B1340" s="2" t="s">
        <v>9</v>
      </c>
      <c r="C1340">
        <v>0.84119999999999995</v>
      </c>
    </row>
    <row r="1341" spans="1:3" x14ac:dyDescent="0.3">
      <c r="A1341" s="1">
        <v>45881</v>
      </c>
      <c r="B1341" s="2" t="s">
        <v>11</v>
      </c>
      <c r="C1341">
        <v>120172.9063</v>
      </c>
    </row>
    <row r="1342" spans="1:3" x14ac:dyDescent="0.3">
      <c r="A1342" s="1">
        <v>45881</v>
      </c>
      <c r="B1342" s="2" t="s">
        <v>13</v>
      </c>
      <c r="C1342">
        <v>191.85683</v>
      </c>
    </row>
    <row r="1343" spans="1:3" x14ac:dyDescent="0.3">
      <c r="A1343" s="1">
        <v>45881</v>
      </c>
      <c r="B1343" s="2" t="s">
        <v>15</v>
      </c>
      <c r="C1343">
        <v>3.2665099999999998</v>
      </c>
    </row>
    <row r="1344" spans="1:3" x14ac:dyDescent="0.3">
      <c r="A1344" s="1">
        <v>45881</v>
      </c>
      <c r="B1344" s="2" t="s">
        <v>17</v>
      </c>
      <c r="C1344">
        <v>4590.9248100000004</v>
      </c>
    </row>
    <row r="1345" spans="1:3" x14ac:dyDescent="0.3">
      <c r="A1345" s="1">
        <v>45881</v>
      </c>
      <c r="B1345" s="2" t="s">
        <v>19</v>
      </c>
      <c r="C1345">
        <v>832.92656999999997</v>
      </c>
    </row>
    <row r="1346" spans="1:3" x14ac:dyDescent="0.3">
      <c r="A1346" s="1">
        <v>45882</v>
      </c>
      <c r="B1346" s="2" t="s">
        <v>9</v>
      </c>
      <c r="C1346">
        <v>0.90591999999999995</v>
      </c>
    </row>
    <row r="1347" spans="1:3" x14ac:dyDescent="0.3">
      <c r="A1347" s="1">
        <v>45882</v>
      </c>
      <c r="B1347" s="2" t="s">
        <v>11</v>
      </c>
      <c r="C1347">
        <v>123344.0625</v>
      </c>
    </row>
    <row r="1348" spans="1:3" x14ac:dyDescent="0.3">
      <c r="A1348" s="1">
        <v>45882</v>
      </c>
      <c r="B1348" s="2" t="s">
        <v>13</v>
      </c>
      <c r="C1348">
        <v>201.59041999999999</v>
      </c>
    </row>
    <row r="1349" spans="1:3" x14ac:dyDescent="0.3">
      <c r="A1349" s="1">
        <v>45882</v>
      </c>
      <c r="B1349" s="2" t="s">
        <v>15</v>
      </c>
      <c r="C1349">
        <v>3.2805900000000001</v>
      </c>
    </row>
    <row r="1350" spans="1:3" x14ac:dyDescent="0.3">
      <c r="A1350" s="1">
        <v>45882</v>
      </c>
      <c r="B1350" s="2" t="s">
        <v>17</v>
      </c>
      <c r="C1350">
        <v>4756.2758800000001</v>
      </c>
    </row>
    <row r="1351" spans="1:3" x14ac:dyDescent="0.3">
      <c r="A1351" s="1">
        <v>45882</v>
      </c>
      <c r="B1351" s="2" t="s">
        <v>19</v>
      </c>
      <c r="C1351">
        <v>849.00549000000001</v>
      </c>
    </row>
    <row r="1352" spans="1:3" x14ac:dyDescent="0.3">
      <c r="A1352" s="1">
        <v>45883</v>
      </c>
      <c r="B1352" s="2" t="s">
        <v>9</v>
      </c>
      <c r="C1352">
        <v>0.92537999999999998</v>
      </c>
    </row>
    <row r="1353" spans="1:3" x14ac:dyDescent="0.3">
      <c r="A1353" s="1">
        <v>45883</v>
      </c>
      <c r="B1353" s="2" t="s">
        <v>11</v>
      </c>
      <c r="C1353">
        <v>118359.5781</v>
      </c>
    </row>
    <row r="1354" spans="1:3" x14ac:dyDescent="0.3">
      <c r="A1354" s="1">
        <v>45883</v>
      </c>
      <c r="B1354" s="2" t="s">
        <v>13</v>
      </c>
      <c r="C1354">
        <v>192.58595</v>
      </c>
    </row>
    <row r="1355" spans="1:3" x14ac:dyDescent="0.3">
      <c r="A1355" s="1">
        <v>45883</v>
      </c>
      <c r="B1355" s="2" t="s">
        <v>15</v>
      </c>
      <c r="C1355">
        <v>3.08352</v>
      </c>
    </row>
    <row r="1356" spans="1:3" x14ac:dyDescent="0.3">
      <c r="A1356" s="1">
        <v>45883</v>
      </c>
      <c r="B1356" s="2" t="s">
        <v>17</v>
      </c>
      <c r="C1356">
        <v>4548.1665000000003</v>
      </c>
    </row>
    <row r="1357" spans="1:3" x14ac:dyDescent="0.3">
      <c r="A1357" s="1">
        <v>45883</v>
      </c>
      <c r="B1357" s="2" t="s">
        <v>19</v>
      </c>
      <c r="C1357">
        <v>840.93097</v>
      </c>
    </row>
    <row r="1358" spans="1:3" x14ac:dyDescent="0.3">
      <c r="A1358" s="1">
        <v>45884</v>
      </c>
      <c r="B1358" s="2" t="s">
        <v>9</v>
      </c>
      <c r="C1358">
        <v>0.94384000000000001</v>
      </c>
    </row>
    <row r="1359" spans="1:3" x14ac:dyDescent="0.3">
      <c r="A1359" s="1">
        <v>45884</v>
      </c>
      <c r="B1359" s="2" t="s">
        <v>11</v>
      </c>
      <c r="C1359">
        <v>117398.35159999999</v>
      </c>
    </row>
    <row r="1360" spans="1:3" x14ac:dyDescent="0.3">
      <c r="A1360" s="1">
        <v>45884</v>
      </c>
      <c r="B1360" s="2" t="s">
        <v>13</v>
      </c>
      <c r="C1360">
        <v>185.74126000000001</v>
      </c>
    </row>
    <row r="1361" spans="1:3" x14ac:dyDescent="0.3">
      <c r="A1361" s="1">
        <v>45884</v>
      </c>
      <c r="B1361" s="2" t="s">
        <v>15</v>
      </c>
      <c r="C1361">
        <v>3.0786699999999998</v>
      </c>
    </row>
    <row r="1362" spans="1:3" x14ac:dyDescent="0.3">
      <c r="A1362" s="1">
        <v>45884</v>
      </c>
      <c r="B1362" s="2" t="s">
        <v>17</v>
      </c>
      <c r="C1362">
        <v>4439.9887699999999</v>
      </c>
    </row>
    <row r="1363" spans="1:3" x14ac:dyDescent="0.3">
      <c r="A1363" s="1">
        <v>45884</v>
      </c>
      <c r="B1363" s="2" t="s">
        <v>19</v>
      </c>
      <c r="C1363">
        <v>827.28917999999999</v>
      </c>
    </row>
    <row r="1364" spans="1:3" x14ac:dyDescent="0.3">
      <c r="A1364" s="1">
        <v>45885</v>
      </c>
      <c r="B1364" s="2" t="s">
        <v>9</v>
      </c>
      <c r="C1364">
        <v>0.92127999999999999</v>
      </c>
    </row>
    <row r="1365" spans="1:3" x14ac:dyDescent="0.3">
      <c r="A1365" s="1">
        <v>45885</v>
      </c>
      <c r="B1365" s="2" t="s">
        <v>11</v>
      </c>
      <c r="C1365">
        <v>117491.35159999999</v>
      </c>
    </row>
    <row r="1366" spans="1:3" x14ac:dyDescent="0.3">
      <c r="A1366" s="1">
        <v>45885</v>
      </c>
      <c r="B1366" s="2" t="s">
        <v>13</v>
      </c>
      <c r="C1366">
        <v>189.767</v>
      </c>
    </row>
    <row r="1367" spans="1:3" x14ac:dyDescent="0.3">
      <c r="A1367" s="1">
        <v>45885</v>
      </c>
      <c r="B1367" s="2" t="s">
        <v>15</v>
      </c>
      <c r="C1367">
        <v>3.1081400000000001</v>
      </c>
    </row>
    <row r="1368" spans="1:3" x14ac:dyDescent="0.3">
      <c r="A1368" s="1">
        <v>45885</v>
      </c>
      <c r="B1368" s="2" t="s">
        <v>17</v>
      </c>
      <c r="C1368">
        <v>4426.1801800000003</v>
      </c>
    </row>
    <row r="1369" spans="1:3" x14ac:dyDescent="0.3">
      <c r="A1369" s="1">
        <v>45885</v>
      </c>
      <c r="B1369" s="2" t="s">
        <v>19</v>
      </c>
      <c r="C1369">
        <v>839.39806999999996</v>
      </c>
    </row>
    <row r="1370" spans="1:3" x14ac:dyDescent="0.3">
      <c r="A1370" s="1">
        <v>45886</v>
      </c>
      <c r="B1370" s="2" t="s">
        <v>9</v>
      </c>
      <c r="C1370">
        <v>0.96189000000000002</v>
      </c>
    </row>
    <row r="1371" spans="1:3" x14ac:dyDescent="0.3">
      <c r="A1371" s="1">
        <v>45886</v>
      </c>
      <c r="B1371" s="2" t="s">
        <v>11</v>
      </c>
      <c r="C1371">
        <v>117453.0625</v>
      </c>
    </row>
    <row r="1372" spans="1:3" x14ac:dyDescent="0.3">
      <c r="A1372" s="1">
        <v>45886</v>
      </c>
      <c r="B1372" s="2" t="s">
        <v>13</v>
      </c>
      <c r="C1372">
        <v>191.16482999999999</v>
      </c>
    </row>
    <row r="1373" spans="1:3" x14ac:dyDescent="0.3">
      <c r="A1373" s="1">
        <v>45886</v>
      </c>
      <c r="B1373" s="2" t="s">
        <v>15</v>
      </c>
      <c r="C1373">
        <v>3.0890399999999998</v>
      </c>
    </row>
    <row r="1374" spans="1:3" x14ac:dyDescent="0.3">
      <c r="A1374" s="1">
        <v>45886</v>
      </c>
      <c r="B1374" s="2" t="s">
        <v>17</v>
      </c>
      <c r="C1374">
        <v>4473.2714800000003</v>
      </c>
    </row>
    <row r="1375" spans="1:3" x14ac:dyDescent="0.3">
      <c r="A1375" s="1">
        <v>45886</v>
      </c>
      <c r="B1375" s="2" t="s">
        <v>19</v>
      </c>
      <c r="C1375">
        <v>856.40295000000003</v>
      </c>
    </row>
    <row r="1376" spans="1:3" x14ac:dyDescent="0.3">
      <c r="A1376" s="1">
        <v>45887</v>
      </c>
      <c r="B1376" s="2" t="s">
        <v>9</v>
      </c>
      <c r="C1376">
        <v>0.92325999999999997</v>
      </c>
    </row>
    <row r="1377" spans="1:3" x14ac:dyDescent="0.3">
      <c r="A1377" s="1">
        <v>45887</v>
      </c>
      <c r="B1377" s="2" t="s">
        <v>11</v>
      </c>
      <c r="C1377">
        <v>116252.3125</v>
      </c>
    </row>
    <row r="1378" spans="1:3" x14ac:dyDescent="0.3">
      <c r="A1378" s="1">
        <v>45887</v>
      </c>
      <c r="B1378" s="2" t="s">
        <v>13</v>
      </c>
      <c r="C1378">
        <v>183.06987000000001</v>
      </c>
    </row>
    <row r="1379" spans="1:3" x14ac:dyDescent="0.3">
      <c r="A1379" s="1">
        <v>45887</v>
      </c>
      <c r="B1379" s="2" t="s">
        <v>15</v>
      </c>
      <c r="C1379">
        <v>3.06148</v>
      </c>
    </row>
    <row r="1380" spans="1:3" x14ac:dyDescent="0.3">
      <c r="A1380" s="1">
        <v>45887</v>
      </c>
      <c r="B1380" s="2" t="s">
        <v>17</v>
      </c>
      <c r="C1380">
        <v>4312.5048800000004</v>
      </c>
    </row>
    <row r="1381" spans="1:3" x14ac:dyDescent="0.3">
      <c r="A1381" s="1">
        <v>45887</v>
      </c>
      <c r="B1381" s="2" t="s">
        <v>19</v>
      </c>
      <c r="C1381">
        <v>847.41791000000001</v>
      </c>
    </row>
    <row r="1382" spans="1:3" x14ac:dyDescent="0.3">
      <c r="A1382" s="1">
        <v>45888</v>
      </c>
      <c r="B1382" s="2" t="s">
        <v>9</v>
      </c>
      <c r="C1382">
        <v>0.84504000000000001</v>
      </c>
    </row>
    <row r="1383" spans="1:3" x14ac:dyDescent="0.3">
      <c r="A1383" s="1">
        <v>45888</v>
      </c>
      <c r="B1383" s="2" t="s">
        <v>11</v>
      </c>
      <c r="C1383">
        <v>112831.17969999999</v>
      </c>
    </row>
    <row r="1384" spans="1:3" x14ac:dyDescent="0.3">
      <c r="A1384" s="1">
        <v>45888</v>
      </c>
      <c r="B1384" s="2" t="s">
        <v>13</v>
      </c>
      <c r="C1384">
        <v>176.11227</v>
      </c>
    </row>
    <row r="1385" spans="1:3" x14ac:dyDescent="0.3">
      <c r="A1385" s="1">
        <v>45888</v>
      </c>
      <c r="B1385" s="2" t="s">
        <v>15</v>
      </c>
      <c r="C1385">
        <v>2.8529200000000001</v>
      </c>
    </row>
    <row r="1386" spans="1:3" x14ac:dyDescent="0.3">
      <c r="A1386" s="1">
        <v>45888</v>
      </c>
      <c r="B1386" s="2" t="s">
        <v>17</v>
      </c>
      <c r="C1386">
        <v>4073.4641099999999</v>
      </c>
    </row>
    <row r="1387" spans="1:3" x14ac:dyDescent="0.3">
      <c r="A1387" s="1">
        <v>45888</v>
      </c>
      <c r="B1387" s="2" t="s">
        <v>19</v>
      </c>
      <c r="C1387">
        <v>823.56592000000001</v>
      </c>
    </row>
    <row r="1388" spans="1:3" x14ac:dyDescent="0.3">
      <c r="A1388" s="1">
        <v>45889</v>
      </c>
      <c r="B1388" s="2" t="s">
        <v>9</v>
      </c>
      <c r="C1388">
        <v>0.88082000000000005</v>
      </c>
    </row>
    <row r="1389" spans="1:3" x14ac:dyDescent="0.3">
      <c r="A1389" s="1">
        <v>45889</v>
      </c>
      <c r="B1389" s="2" t="s">
        <v>11</v>
      </c>
      <c r="C1389">
        <v>114274.74219999999</v>
      </c>
    </row>
    <row r="1390" spans="1:3" x14ac:dyDescent="0.3">
      <c r="A1390" s="1">
        <v>45889</v>
      </c>
      <c r="B1390" s="2" t="s">
        <v>13</v>
      </c>
      <c r="C1390">
        <v>187.58629999999999</v>
      </c>
    </row>
    <row r="1391" spans="1:3" x14ac:dyDescent="0.3">
      <c r="A1391" s="1">
        <v>45889</v>
      </c>
      <c r="B1391" s="2" t="s">
        <v>15</v>
      </c>
      <c r="C1391">
        <v>2.9507500000000002</v>
      </c>
    </row>
    <row r="1392" spans="1:3" x14ac:dyDescent="0.3">
      <c r="A1392" s="1">
        <v>45889</v>
      </c>
      <c r="B1392" s="2" t="s">
        <v>17</v>
      </c>
      <c r="C1392">
        <v>4334.5004900000004</v>
      </c>
    </row>
    <row r="1393" spans="1:3" x14ac:dyDescent="0.3">
      <c r="A1393" s="1">
        <v>45889</v>
      </c>
      <c r="B1393" s="2" t="s">
        <v>19</v>
      </c>
      <c r="C1393">
        <v>869.10388</v>
      </c>
    </row>
    <row r="1394" spans="1:3" x14ac:dyDescent="0.3">
      <c r="A1394" s="1">
        <v>45890</v>
      </c>
      <c r="B1394" s="2" t="s">
        <v>9</v>
      </c>
      <c r="C1394">
        <v>0.85102</v>
      </c>
    </row>
    <row r="1395" spans="1:3" x14ac:dyDescent="0.3">
      <c r="A1395" s="1">
        <v>45890</v>
      </c>
      <c r="B1395" s="2" t="s">
        <v>11</v>
      </c>
      <c r="C1395">
        <v>112419.0313</v>
      </c>
    </row>
    <row r="1396" spans="1:3" x14ac:dyDescent="0.3">
      <c r="A1396" s="1">
        <v>45890</v>
      </c>
      <c r="B1396" s="2" t="s">
        <v>13</v>
      </c>
      <c r="C1396">
        <v>180.28062</v>
      </c>
    </row>
    <row r="1397" spans="1:3" x14ac:dyDescent="0.3">
      <c r="A1397" s="1">
        <v>45890</v>
      </c>
      <c r="B1397" s="2" t="s">
        <v>15</v>
      </c>
      <c r="C1397">
        <v>2.8504700000000001</v>
      </c>
    </row>
    <row r="1398" spans="1:3" x14ac:dyDescent="0.3">
      <c r="A1398" s="1">
        <v>45890</v>
      </c>
      <c r="B1398" s="2" t="s">
        <v>17</v>
      </c>
      <c r="C1398">
        <v>4223.2099600000001</v>
      </c>
    </row>
    <row r="1399" spans="1:3" x14ac:dyDescent="0.3">
      <c r="A1399" s="1">
        <v>45890</v>
      </c>
      <c r="B1399" s="2" t="s">
        <v>19</v>
      </c>
      <c r="C1399">
        <v>839.04083000000003</v>
      </c>
    </row>
    <row r="1400" spans="1:3" x14ac:dyDescent="0.3">
      <c r="A1400" s="1">
        <v>45891</v>
      </c>
      <c r="B1400" s="2" t="s">
        <v>9</v>
      </c>
      <c r="C1400">
        <v>0.92991999999999997</v>
      </c>
    </row>
    <row r="1401" spans="1:3" x14ac:dyDescent="0.3">
      <c r="A1401" s="1">
        <v>45891</v>
      </c>
      <c r="B1401" s="2" t="s">
        <v>11</v>
      </c>
      <c r="C1401">
        <v>116874.08590000001</v>
      </c>
    </row>
    <row r="1402" spans="1:3" x14ac:dyDescent="0.3">
      <c r="A1402" s="1">
        <v>45891</v>
      </c>
      <c r="B1402" s="2" t="s">
        <v>13</v>
      </c>
      <c r="C1402">
        <v>200.64744999999999</v>
      </c>
    </row>
    <row r="1403" spans="1:3" x14ac:dyDescent="0.3">
      <c r="A1403" s="1">
        <v>45891</v>
      </c>
      <c r="B1403" s="2" t="s">
        <v>15</v>
      </c>
      <c r="C1403">
        <v>3.0757699999999999</v>
      </c>
    </row>
    <row r="1404" spans="1:3" x14ac:dyDescent="0.3">
      <c r="A1404" s="1">
        <v>45891</v>
      </c>
      <c r="B1404" s="2" t="s">
        <v>17</v>
      </c>
      <c r="C1404">
        <v>4831.3486300000004</v>
      </c>
    </row>
    <row r="1405" spans="1:3" x14ac:dyDescent="0.3">
      <c r="A1405" s="1">
        <v>45891</v>
      </c>
      <c r="B1405" s="2" t="s">
        <v>19</v>
      </c>
      <c r="C1405">
        <v>898.77454</v>
      </c>
    </row>
    <row r="1406" spans="1:3" x14ac:dyDescent="0.3">
      <c r="A1406" s="1">
        <v>45892</v>
      </c>
      <c r="B1406" s="2" t="s">
        <v>9</v>
      </c>
      <c r="C1406">
        <v>0.91313</v>
      </c>
    </row>
    <row r="1407" spans="1:3" x14ac:dyDescent="0.3">
      <c r="A1407" s="1">
        <v>45892</v>
      </c>
      <c r="B1407" s="2" t="s">
        <v>11</v>
      </c>
      <c r="C1407">
        <v>115374.3281</v>
      </c>
    </row>
    <row r="1408" spans="1:3" x14ac:dyDescent="0.3">
      <c r="A1408" s="1">
        <v>45892</v>
      </c>
      <c r="B1408" s="2" t="s">
        <v>13</v>
      </c>
      <c r="C1408">
        <v>203.93673999999999</v>
      </c>
    </row>
    <row r="1409" spans="1:3" x14ac:dyDescent="0.3">
      <c r="A1409" s="1">
        <v>45892</v>
      </c>
      <c r="B1409" s="2" t="s">
        <v>15</v>
      </c>
      <c r="C1409">
        <v>3.0462099999999999</v>
      </c>
    </row>
    <row r="1410" spans="1:3" x14ac:dyDescent="0.3">
      <c r="A1410" s="1">
        <v>45892</v>
      </c>
      <c r="B1410" s="2" t="s">
        <v>17</v>
      </c>
      <c r="C1410">
        <v>4776.09033</v>
      </c>
    </row>
    <row r="1411" spans="1:3" x14ac:dyDescent="0.3">
      <c r="A1411" s="1">
        <v>45892</v>
      </c>
      <c r="B1411" s="2" t="s">
        <v>19</v>
      </c>
      <c r="C1411">
        <v>880.04614000000004</v>
      </c>
    </row>
    <row r="1412" spans="1:3" x14ac:dyDescent="0.3">
      <c r="A1412" s="1">
        <v>45893</v>
      </c>
      <c r="B1412" s="2" t="s">
        <v>9</v>
      </c>
      <c r="C1412">
        <v>0.90961000000000003</v>
      </c>
    </row>
    <row r="1413" spans="1:3" x14ac:dyDescent="0.3">
      <c r="A1413" s="1">
        <v>45893</v>
      </c>
      <c r="B1413" s="2" t="s">
        <v>11</v>
      </c>
      <c r="C1413">
        <v>113458.42969999999</v>
      </c>
    </row>
    <row r="1414" spans="1:3" x14ac:dyDescent="0.3">
      <c r="A1414" s="1">
        <v>45893</v>
      </c>
      <c r="B1414" s="2" t="s">
        <v>13</v>
      </c>
      <c r="C1414">
        <v>205.85237000000001</v>
      </c>
    </row>
    <row r="1415" spans="1:3" x14ac:dyDescent="0.3">
      <c r="A1415" s="1">
        <v>45893</v>
      </c>
      <c r="B1415" s="2" t="s">
        <v>15</v>
      </c>
      <c r="C1415">
        <v>3.0258699999999998</v>
      </c>
    </row>
    <row r="1416" spans="1:3" x14ac:dyDescent="0.3">
      <c r="A1416" s="1">
        <v>45893</v>
      </c>
      <c r="B1416" s="2" t="s">
        <v>17</v>
      </c>
      <c r="C1416">
        <v>4779.6474600000001</v>
      </c>
    </row>
    <row r="1417" spans="1:3" x14ac:dyDescent="0.3">
      <c r="A1417" s="1">
        <v>45893</v>
      </c>
      <c r="B1417" s="2" t="s">
        <v>19</v>
      </c>
      <c r="C1417">
        <v>876.08019999999999</v>
      </c>
    </row>
    <row r="1418" spans="1:3" x14ac:dyDescent="0.3">
      <c r="A1418" s="1">
        <v>45894</v>
      </c>
      <c r="B1418" s="2" t="s">
        <v>9</v>
      </c>
      <c r="C1418">
        <v>0.83762999999999999</v>
      </c>
    </row>
    <row r="1419" spans="1:3" x14ac:dyDescent="0.3">
      <c r="A1419" s="1">
        <v>45894</v>
      </c>
      <c r="B1419" s="2" t="s">
        <v>11</v>
      </c>
      <c r="C1419">
        <v>110124.35159999999</v>
      </c>
    </row>
    <row r="1420" spans="1:3" x14ac:dyDescent="0.3">
      <c r="A1420" s="1">
        <v>45894</v>
      </c>
      <c r="B1420" s="2" t="s">
        <v>13</v>
      </c>
      <c r="C1420">
        <v>187.27843999999999</v>
      </c>
    </row>
    <row r="1421" spans="1:3" x14ac:dyDescent="0.3">
      <c r="A1421" s="1">
        <v>45894</v>
      </c>
      <c r="B1421" s="2" t="s">
        <v>15</v>
      </c>
      <c r="C1421">
        <v>2.8612700000000002</v>
      </c>
    </row>
    <row r="1422" spans="1:3" x14ac:dyDescent="0.3">
      <c r="A1422" s="1">
        <v>45894</v>
      </c>
      <c r="B1422" s="2" t="s">
        <v>17</v>
      </c>
      <c r="C1422">
        <v>4372.9877900000001</v>
      </c>
    </row>
    <row r="1423" spans="1:3" x14ac:dyDescent="0.3">
      <c r="A1423" s="1">
        <v>45894</v>
      </c>
      <c r="B1423" s="2" t="s">
        <v>19</v>
      </c>
      <c r="C1423">
        <v>840.17193999999995</v>
      </c>
    </row>
    <row r="1424" spans="1:3" x14ac:dyDescent="0.3">
      <c r="A1424" s="1">
        <v>45895</v>
      </c>
      <c r="B1424" s="2" t="s">
        <v>9</v>
      </c>
      <c r="C1424">
        <v>0.86668000000000001</v>
      </c>
    </row>
    <row r="1425" spans="1:3" x14ac:dyDescent="0.3">
      <c r="A1425" s="1">
        <v>45895</v>
      </c>
      <c r="B1425" s="2" t="s">
        <v>11</v>
      </c>
      <c r="C1425">
        <v>111802.6563</v>
      </c>
    </row>
    <row r="1426" spans="1:3" x14ac:dyDescent="0.3">
      <c r="A1426" s="1">
        <v>45895</v>
      </c>
      <c r="B1426" s="2" t="s">
        <v>13</v>
      </c>
      <c r="C1426">
        <v>195.90509</v>
      </c>
    </row>
    <row r="1427" spans="1:3" x14ac:dyDescent="0.3">
      <c r="A1427" s="1">
        <v>45895</v>
      </c>
      <c r="B1427" s="2" t="s">
        <v>15</v>
      </c>
      <c r="C1427">
        <v>3.0122200000000001</v>
      </c>
    </row>
    <row r="1428" spans="1:3" x14ac:dyDescent="0.3">
      <c r="A1428" s="1">
        <v>45895</v>
      </c>
      <c r="B1428" s="2" t="s">
        <v>17</v>
      </c>
      <c r="C1428">
        <v>4600.4267600000003</v>
      </c>
    </row>
    <row r="1429" spans="1:3" x14ac:dyDescent="0.3">
      <c r="A1429" s="1">
        <v>45895</v>
      </c>
      <c r="B1429" s="2" t="s">
        <v>19</v>
      </c>
      <c r="C1429">
        <v>863.63049000000001</v>
      </c>
    </row>
    <row r="1430" spans="1:3" x14ac:dyDescent="0.3">
      <c r="A1430" s="1">
        <v>45896</v>
      </c>
      <c r="B1430" s="2" t="s">
        <v>9</v>
      </c>
      <c r="C1430">
        <v>0.85016000000000003</v>
      </c>
    </row>
    <row r="1431" spans="1:3" x14ac:dyDescent="0.3">
      <c r="A1431" s="1">
        <v>45896</v>
      </c>
      <c r="B1431" s="2" t="s">
        <v>11</v>
      </c>
      <c r="C1431">
        <v>111222.0625</v>
      </c>
    </row>
    <row r="1432" spans="1:3" x14ac:dyDescent="0.3">
      <c r="A1432" s="1">
        <v>45896</v>
      </c>
      <c r="B1432" s="2" t="s">
        <v>13</v>
      </c>
      <c r="C1432">
        <v>202.92337000000001</v>
      </c>
    </row>
    <row r="1433" spans="1:3" x14ac:dyDescent="0.3">
      <c r="A1433" s="1">
        <v>45896</v>
      </c>
      <c r="B1433" s="2" t="s">
        <v>15</v>
      </c>
      <c r="C1433">
        <v>2.9666199999999998</v>
      </c>
    </row>
    <row r="1434" spans="1:3" x14ac:dyDescent="0.3">
      <c r="A1434" s="1">
        <v>45896</v>
      </c>
      <c r="B1434" s="2" t="s">
        <v>17</v>
      </c>
      <c r="C1434">
        <v>4503.3930700000001</v>
      </c>
    </row>
    <row r="1435" spans="1:3" x14ac:dyDescent="0.3">
      <c r="A1435" s="1">
        <v>45896</v>
      </c>
      <c r="B1435" s="2" t="s">
        <v>19</v>
      </c>
      <c r="C1435">
        <v>855.6463</v>
      </c>
    </row>
    <row r="1436" spans="1:3" x14ac:dyDescent="0.3">
      <c r="A1436" s="1">
        <v>45897</v>
      </c>
      <c r="B1436" s="2" t="s">
        <v>9</v>
      </c>
      <c r="C1436">
        <v>0.85775000000000001</v>
      </c>
    </row>
    <row r="1437" spans="1:3" x14ac:dyDescent="0.3">
      <c r="A1437" s="1">
        <v>45897</v>
      </c>
      <c r="B1437" s="2" t="s">
        <v>11</v>
      </c>
      <c r="C1437">
        <v>112544.80469999999</v>
      </c>
    </row>
    <row r="1438" spans="1:3" x14ac:dyDescent="0.3">
      <c r="A1438" s="1">
        <v>45897</v>
      </c>
      <c r="B1438" s="2" t="s">
        <v>13</v>
      </c>
      <c r="C1438">
        <v>214.40564000000001</v>
      </c>
    </row>
    <row r="1439" spans="1:3" x14ac:dyDescent="0.3">
      <c r="A1439" s="1">
        <v>45897</v>
      </c>
      <c r="B1439" s="2" t="s">
        <v>15</v>
      </c>
      <c r="C1439">
        <v>2.9670899999999998</v>
      </c>
    </row>
    <row r="1440" spans="1:3" x14ac:dyDescent="0.3">
      <c r="A1440" s="1">
        <v>45897</v>
      </c>
      <c r="B1440" s="2" t="s">
        <v>17</v>
      </c>
      <c r="C1440">
        <v>4507.1777300000003</v>
      </c>
    </row>
    <row r="1441" spans="1:3" x14ac:dyDescent="0.3">
      <c r="A1441" s="1">
        <v>45897</v>
      </c>
      <c r="B1441" s="2" t="s">
        <v>19</v>
      </c>
      <c r="C1441">
        <v>874.36603000000002</v>
      </c>
    </row>
    <row r="1442" spans="1:3" x14ac:dyDescent="0.3">
      <c r="A1442" s="1">
        <v>45898</v>
      </c>
      <c r="B1442" s="2" t="s">
        <v>9</v>
      </c>
      <c r="C1442">
        <v>0.82713999999999999</v>
      </c>
    </row>
    <row r="1443" spans="1:3" x14ac:dyDescent="0.3">
      <c r="A1443" s="1">
        <v>45898</v>
      </c>
      <c r="B1443" s="2" t="s">
        <v>11</v>
      </c>
      <c r="C1443">
        <v>108410.83590000001</v>
      </c>
    </row>
    <row r="1444" spans="1:3" x14ac:dyDescent="0.3">
      <c r="A1444" s="1">
        <v>45898</v>
      </c>
      <c r="B1444" s="2" t="s">
        <v>13</v>
      </c>
      <c r="C1444">
        <v>205.22</v>
      </c>
    </row>
    <row r="1445" spans="1:3" x14ac:dyDescent="0.3">
      <c r="A1445" s="1">
        <v>45898</v>
      </c>
      <c r="B1445" s="2" t="s">
        <v>15</v>
      </c>
      <c r="C1445">
        <v>2.8219599999999998</v>
      </c>
    </row>
    <row r="1446" spans="1:3" x14ac:dyDescent="0.3">
      <c r="A1446" s="1">
        <v>45898</v>
      </c>
      <c r="B1446" s="2" t="s">
        <v>17</v>
      </c>
      <c r="C1446">
        <v>4360.15283</v>
      </c>
    </row>
    <row r="1447" spans="1:3" x14ac:dyDescent="0.3">
      <c r="A1447" s="1">
        <v>45898</v>
      </c>
      <c r="B1447" s="2" t="s">
        <v>19</v>
      </c>
      <c r="C1447">
        <v>863.27655000000004</v>
      </c>
    </row>
    <row r="1448" spans="1:3" x14ac:dyDescent="0.3">
      <c r="A1448" s="1">
        <v>45899</v>
      </c>
      <c r="B1448" s="2" t="s">
        <v>9</v>
      </c>
      <c r="C1448">
        <v>0.82240000000000002</v>
      </c>
    </row>
    <row r="1449" spans="1:3" x14ac:dyDescent="0.3">
      <c r="A1449" s="1">
        <v>45899</v>
      </c>
      <c r="B1449" s="2" t="s">
        <v>11</v>
      </c>
      <c r="C1449">
        <v>108808.07030000001</v>
      </c>
    </row>
    <row r="1450" spans="1:3" x14ac:dyDescent="0.3">
      <c r="A1450" s="1">
        <v>45899</v>
      </c>
      <c r="B1450" s="2" t="s">
        <v>13</v>
      </c>
      <c r="C1450">
        <v>202.86014</v>
      </c>
    </row>
    <row r="1451" spans="1:3" x14ac:dyDescent="0.3">
      <c r="A1451" s="1">
        <v>45899</v>
      </c>
      <c r="B1451" s="2" t="s">
        <v>15</v>
      </c>
      <c r="C1451">
        <v>2.81819</v>
      </c>
    </row>
    <row r="1452" spans="1:3" x14ac:dyDescent="0.3">
      <c r="A1452" s="1">
        <v>45899</v>
      </c>
      <c r="B1452" s="2" t="s">
        <v>17</v>
      </c>
      <c r="C1452">
        <v>4374.1533200000003</v>
      </c>
    </row>
    <row r="1453" spans="1:3" x14ac:dyDescent="0.3">
      <c r="A1453" s="1">
        <v>45899</v>
      </c>
      <c r="B1453" s="2" t="s">
        <v>19</v>
      </c>
      <c r="C1453">
        <v>862.40399000000002</v>
      </c>
    </row>
    <row r="1454" spans="1:3" x14ac:dyDescent="0.3">
      <c r="A1454" s="1">
        <v>45900</v>
      </c>
      <c r="B1454" s="2" t="s">
        <v>9</v>
      </c>
      <c r="C1454">
        <v>0.81135999999999997</v>
      </c>
    </row>
    <row r="1455" spans="1:3" x14ac:dyDescent="0.3">
      <c r="A1455" s="1">
        <v>45900</v>
      </c>
      <c r="B1455" s="2" t="s">
        <v>11</v>
      </c>
      <c r="C1455">
        <v>108236.71090000001</v>
      </c>
    </row>
    <row r="1456" spans="1:3" x14ac:dyDescent="0.3">
      <c r="A1456" s="1">
        <v>45900</v>
      </c>
      <c r="B1456" s="2" t="s">
        <v>13</v>
      </c>
      <c r="C1456">
        <v>200.86354</v>
      </c>
    </row>
    <row r="1457" spans="1:3" x14ac:dyDescent="0.3">
      <c r="A1457" s="1">
        <v>45900</v>
      </c>
      <c r="B1457" s="2" t="s">
        <v>15</v>
      </c>
      <c r="C1457">
        <v>2.77664</v>
      </c>
    </row>
    <row r="1458" spans="1:3" x14ac:dyDescent="0.3">
      <c r="A1458" s="1">
        <v>45900</v>
      </c>
      <c r="B1458" s="2" t="s">
        <v>17</v>
      </c>
      <c r="C1458">
        <v>4390.0190400000001</v>
      </c>
    </row>
    <row r="1459" spans="1:3" x14ac:dyDescent="0.3">
      <c r="A1459" s="1">
        <v>45900</v>
      </c>
      <c r="B1459" s="2" t="s">
        <v>19</v>
      </c>
      <c r="C1459">
        <v>857.81677000000002</v>
      </c>
    </row>
    <row r="1460" spans="1:3" x14ac:dyDescent="0.3">
      <c r="A1460" s="1">
        <v>45901</v>
      </c>
      <c r="B1460" s="2" t="s">
        <v>9</v>
      </c>
      <c r="C1460">
        <v>0.80018999999999996</v>
      </c>
    </row>
    <row r="1461" spans="1:3" x14ac:dyDescent="0.3">
      <c r="A1461" s="1">
        <v>45901</v>
      </c>
      <c r="B1461" s="2" t="s">
        <v>11</v>
      </c>
      <c r="C1461">
        <v>109250.5938</v>
      </c>
    </row>
    <row r="1462" spans="1:3" x14ac:dyDescent="0.3">
      <c r="A1462" s="1">
        <v>45901</v>
      </c>
      <c r="B1462" s="2" t="s">
        <v>13</v>
      </c>
      <c r="C1462">
        <v>197.10834</v>
      </c>
    </row>
    <row r="1463" spans="1:3" x14ac:dyDescent="0.3">
      <c r="A1463" s="1">
        <v>45901</v>
      </c>
      <c r="B1463" s="2" t="s">
        <v>15</v>
      </c>
      <c r="C1463">
        <v>2.7536999999999998</v>
      </c>
    </row>
    <row r="1464" spans="1:3" x14ac:dyDescent="0.3">
      <c r="A1464" s="1">
        <v>45901</v>
      </c>
      <c r="B1464" s="2" t="s">
        <v>17</v>
      </c>
      <c r="C1464">
        <v>4314.4702200000002</v>
      </c>
    </row>
    <row r="1465" spans="1:3" x14ac:dyDescent="0.3">
      <c r="A1465" s="1">
        <v>45901</v>
      </c>
      <c r="B1465" s="2" t="s">
        <v>19</v>
      </c>
      <c r="C1465">
        <v>845.82628999999997</v>
      </c>
    </row>
    <row r="1466" spans="1:3" x14ac:dyDescent="0.3">
      <c r="A1466" s="1">
        <v>45902</v>
      </c>
      <c r="B1466" s="2" t="s">
        <v>9</v>
      </c>
      <c r="C1466">
        <v>0.83457999999999999</v>
      </c>
    </row>
    <row r="1467" spans="1:3" x14ac:dyDescent="0.3">
      <c r="A1467" s="1">
        <v>45902</v>
      </c>
      <c r="B1467" s="2" t="s">
        <v>11</v>
      </c>
      <c r="C1467">
        <v>111200.58590000001</v>
      </c>
    </row>
    <row r="1468" spans="1:3" x14ac:dyDescent="0.3">
      <c r="A1468" s="1">
        <v>45902</v>
      </c>
      <c r="B1468" s="2" t="s">
        <v>13</v>
      </c>
      <c r="C1468">
        <v>209.48154</v>
      </c>
    </row>
    <row r="1469" spans="1:3" x14ac:dyDescent="0.3">
      <c r="A1469" s="1">
        <v>45902</v>
      </c>
      <c r="B1469" s="2" t="s">
        <v>15</v>
      </c>
      <c r="C1469">
        <v>2.8618600000000001</v>
      </c>
    </row>
    <row r="1470" spans="1:3" x14ac:dyDescent="0.3">
      <c r="A1470" s="1">
        <v>45902</v>
      </c>
      <c r="B1470" s="2" t="s">
        <v>17</v>
      </c>
      <c r="C1470">
        <v>4325.3657199999998</v>
      </c>
    </row>
    <row r="1471" spans="1:3" x14ac:dyDescent="0.3">
      <c r="A1471" s="1">
        <v>45902</v>
      </c>
      <c r="B1471" s="2" t="s">
        <v>19</v>
      </c>
      <c r="C1471">
        <v>851.77722000000006</v>
      </c>
    </row>
    <row r="1472" spans="1:3" x14ac:dyDescent="0.3">
      <c r="A1472" s="1">
        <v>45903</v>
      </c>
      <c r="B1472" s="2" t="s">
        <v>9</v>
      </c>
      <c r="C1472">
        <v>0.83653</v>
      </c>
    </row>
    <row r="1473" spans="1:3" x14ac:dyDescent="0.3">
      <c r="A1473" s="1">
        <v>45903</v>
      </c>
      <c r="B1473" s="2" t="s">
        <v>11</v>
      </c>
      <c r="C1473">
        <v>111723.21090000001</v>
      </c>
    </row>
    <row r="1474" spans="1:3" x14ac:dyDescent="0.3">
      <c r="A1474" s="1">
        <v>45903</v>
      </c>
      <c r="B1474" s="2" t="s">
        <v>13</v>
      </c>
      <c r="C1474">
        <v>210.74630999999999</v>
      </c>
    </row>
    <row r="1475" spans="1:3" x14ac:dyDescent="0.3">
      <c r="A1475" s="1">
        <v>45903</v>
      </c>
      <c r="B1475" s="2" t="s">
        <v>15</v>
      </c>
      <c r="C1475">
        <v>2.8448899999999999</v>
      </c>
    </row>
    <row r="1476" spans="1:3" x14ac:dyDescent="0.3">
      <c r="A1476" s="1">
        <v>45903</v>
      </c>
      <c r="B1476" s="2" t="s">
        <v>17</v>
      </c>
      <c r="C1476">
        <v>4450.3891599999997</v>
      </c>
    </row>
    <row r="1477" spans="1:3" x14ac:dyDescent="0.3">
      <c r="A1477" s="1">
        <v>45903</v>
      </c>
      <c r="B1477" s="2" t="s">
        <v>19</v>
      </c>
      <c r="C1477">
        <v>855.25878999999998</v>
      </c>
    </row>
    <row r="1478" spans="1:3" x14ac:dyDescent="0.3">
      <c r="A1478" s="1">
        <v>45904</v>
      </c>
      <c r="B1478" s="2" t="s">
        <v>9</v>
      </c>
      <c r="C1478">
        <v>0.80989</v>
      </c>
    </row>
    <row r="1479" spans="1:3" x14ac:dyDescent="0.3">
      <c r="A1479" s="1">
        <v>45904</v>
      </c>
      <c r="B1479" s="2" t="s">
        <v>11</v>
      </c>
      <c r="C1479">
        <v>110723.60159999999</v>
      </c>
    </row>
    <row r="1480" spans="1:3" x14ac:dyDescent="0.3">
      <c r="A1480" s="1">
        <v>45904</v>
      </c>
      <c r="B1480" s="2" t="s">
        <v>13</v>
      </c>
      <c r="C1480">
        <v>202.56018</v>
      </c>
    </row>
    <row r="1481" spans="1:3" x14ac:dyDescent="0.3">
      <c r="A1481" s="1">
        <v>45904</v>
      </c>
      <c r="B1481" s="2" t="s">
        <v>15</v>
      </c>
      <c r="C1481">
        <v>2.79583</v>
      </c>
    </row>
    <row r="1482" spans="1:3" x14ac:dyDescent="0.3">
      <c r="A1482" s="1">
        <v>45904</v>
      </c>
      <c r="B1482" s="2" t="s">
        <v>17</v>
      </c>
      <c r="C1482">
        <v>4298.7441399999998</v>
      </c>
    </row>
    <row r="1483" spans="1:3" x14ac:dyDescent="0.3">
      <c r="A1483" s="1">
        <v>45904</v>
      </c>
      <c r="B1483" s="2" t="s">
        <v>19</v>
      </c>
      <c r="C1483">
        <v>843.80298000000005</v>
      </c>
    </row>
    <row r="1484" spans="1:3" x14ac:dyDescent="0.3">
      <c r="A1484" s="1">
        <v>45905</v>
      </c>
      <c r="B1484" s="2" t="s">
        <v>9</v>
      </c>
      <c r="C1484">
        <v>0.83106999999999998</v>
      </c>
    </row>
    <row r="1485" spans="1:3" x14ac:dyDescent="0.3">
      <c r="A1485" s="1">
        <v>45905</v>
      </c>
      <c r="B1485" s="2" t="s">
        <v>11</v>
      </c>
      <c r="C1485">
        <v>110650.9844</v>
      </c>
    </row>
    <row r="1486" spans="1:3" x14ac:dyDescent="0.3">
      <c r="A1486" s="1">
        <v>45905</v>
      </c>
      <c r="B1486" s="2" t="s">
        <v>13</v>
      </c>
      <c r="C1486">
        <v>203.49852000000001</v>
      </c>
    </row>
    <row r="1487" spans="1:3" x14ac:dyDescent="0.3">
      <c r="A1487" s="1">
        <v>45905</v>
      </c>
      <c r="B1487" s="2" t="s">
        <v>15</v>
      </c>
      <c r="C1487">
        <v>2.8162500000000001</v>
      </c>
    </row>
    <row r="1488" spans="1:3" x14ac:dyDescent="0.3">
      <c r="A1488" s="1">
        <v>45905</v>
      </c>
      <c r="B1488" s="2" t="s">
        <v>17</v>
      </c>
      <c r="C1488">
        <v>4306.9887699999999</v>
      </c>
    </row>
    <row r="1489" spans="1:3" x14ac:dyDescent="0.3">
      <c r="A1489" s="1">
        <v>45905</v>
      </c>
      <c r="B1489" s="2" t="s">
        <v>19</v>
      </c>
      <c r="C1489">
        <v>849.97924999999998</v>
      </c>
    </row>
    <row r="1490" spans="1:3" x14ac:dyDescent="0.3">
      <c r="A1490" s="1">
        <v>45906</v>
      </c>
      <c r="B1490" s="2" t="s">
        <v>9</v>
      </c>
      <c r="C1490">
        <v>0.81845000000000001</v>
      </c>
    </row>
    <row r="1491" spans="1:3" x14ac:dyDescent="0.3">
      <c r="A1491" s="1">
        <v>45906</v>
      </c>
      <c r="B1491" s="2" t="s">
        <v>11</v>
      </c>
      <c r="C1491">
        <v>110224.69530000001</v>
      </c>
    </row>
    <row r="1492" spans="1:3" x14ac:dyDescent="0.3">
      <c r="A1492" s="1">
        <v>45906</v>
      </c>
      <c r="B1492" s="2" t="s">
        <v>13</v>
      </c>
      <c r="C1492">
        <v>200.24630999999999</v>
      </c>
    </row>
    <row r="1493" spans="1:3" x14ac:dyDescent="0.3">
      <c r="A1493" s="1">
        <v>45906</v>
      </c>
      <c r="B1493" s="2" t="s">
        <v>15</v>
      </c>
      <c r="C1493">
        <v>2.8108499999999998</v>
      </c>
    </row>
    <row r="1494" spans="1:3" x14ac:dyDescent="0.3">
      <c r="A1494" s="1">
        <v>45906</v>
      </c>
      <c r="B1494" s="2" t="s">
        <v>17</v>
      </c>
      <c r="C1494">
        <v>4274.2421899999999</v>
      </c>
    </row>
    <row r="1495" spans="1:3" x14ac:dyDescent="0.3">
      <c r="A1495" s="1">
        <v>45906</v>
      </c>
      <c r="B1495" s="2" t="s">
        <v>19</v>
      </c>
      <c r="C1495">
        <v>861.77209000000005</v>
      </c>
    </row>
    <row r="1496" spans="1:3" x14ac:dyDescent="0.3">
      <c r="A1496" s="1">
        <v>45907</v>
      </c>
      <c r="B1496" s="2" t="s">
        <v>9</v>
      </c>
      <c r="C1496">
        <v>0.83506000000000002</v>
      </c>
    </row>
    <row r="1497" spans="1:3" x14ac:dyDescent="0.3">
      <c r="A1497" s="1">
        <v>45907</v>
      </c>
      <c r="B1497" s="2" t="s">
        <v>11</v>
      </c>
      <c r="C1497">
        <v>111167.61719999999</v>
      </c>
    </row>
    <row r="1498" spans="1:3" x14ac:dyDescent="0.3">
      <c r="A1498" s="1">
        <v>45907</v>
      </c>
      <c r="B1498" s="2" t="s">
        <v>13</v>
      </c>
      <c r="C1498">
        <v>206.46818999999999</v>
      </c>
    </row>
    <row r="1499" spans="1:3" x14ac:dyDescent="0.3">
      <c r="A1499" s="1">
        <v>45907</v>
      </c>
      <c r="B1499" s="2" t="s">
        <v>15</v>
      </c>
      <c r="C1499">
        <v>2.8785599999999998</v>
      </c>
    </row>
    <row r="1500" spans="1:3" x14ac:dyDescent="0.3">
      <c r="A1500" s="1">
        <v>45907</v>
      </c>
      <c r="B1500" s="2" t="s">
        <v>17</v>
      </c>
      <c r="C1500">
        <v>4305.3476600000004</v>
      </c>
    </row>
    <row r="1501" spans="1:3" x14ac:dyDescent="0.3">
      <c r="A1501" s="1">
        <v>45907</v>
      </c>
      <c r="B1501" s="2" t="s">
        <v>19</v>
      </c>
      <c r="C1501">
        <v>880.61303999999996</v>
      </c>
    </row>
    <row r="1502" spans="1:3" x14ac:dyDescent="0.3">
      <c r="A1502" s="1">
        <v>45908</v>
      </c>
      <c r="B1502" s="2" t="s">
        <v>9</v>
      </c>
      <c r="C1502">
        <v>0.86504999999999999</v>
      </c>
    </row>
    <row r="1503" spans="1:3" x14ac:dyDescent="0.3">
      <c r="A1503" s="1">
        <v>45908</v>
      </c>
      <c r="B1503" s="2" t="s">
        <v>11</v>
      </c>
      <c r="C1503">
        <v>112071.42969999999</v>
      </c>
    </row>
    <row r="1504" spans="1:3" x14ac:dyDescent="0.3">
      <c r="A1504" s="1">
        <v>45908</v>
      </c>
      <c r="B1504" s="2" t="s">
        <v>13</v>
      </c>
      <c r="C1504">
        <v>214.18639999999999</v>
      </c>
    </row>
    <row r="1505" spans="1:3" x14ac:dyDescent="0.3">
      <c r="A1505" s="1">
        <v>45908</v>
      </c>
      <c r="B1505" s="2" t="s">
        <v>15</v>
      </c>
      <c r="C1505">
        <v>2.9704000000000002</v>
      </c>
    </row>
    <row r="1506" spans="1:3" x14ac:dyDescent="0.3">
      <c r="A1506" s="1">
        <v>45908</v>
      </c>
      <c r="B1506" s="2" t="s">
        <v>17</v>
      </c>
      <c r="C1506">
        <v>4308.0722699999997</v>
      </c>
    </row>
    <row r="1507" spans="1:3" x14ac:dyDescent="0.3">
      <c r="A1507" s="1">
        <v>45908</v>
      </c>
      <c r="B1507" s="2" t="s">
        <v>19</v>
      </c>
      <c r="C1507">
        <v>878.27593999999999</v>
      </c>
    </row>
    <row r="1508" spans="1:3" x14ac:dyDescent="0.3">
      <c r="A1508" s="1">
        <v>45909</v>
      </c>
      <c r="B1508" s="2" t="s">
        <v>9</v>
      </c>
      <c r="C1508">
        <v>0.86502999999999997</v>
      </c>
    </row>
    <row r="1509" spans="1:3" x14ac:dyDescent="0.3">
      <c r="A1509" s="1">
        <v>45909</v>
      </c>
      <c r="B1509" s="2" t="s">
        <v>11</v>
      </c>
      <c r="C1509">
        <v>111530.5469</v>
      </c>
    </row>
    <row r="1510" spans="1:3" x14ac:dyDescent="0.3">
      <c r="A1510" s="1">
        <v>45909</v>
      </c>
      <c r="B1510" s="2" t="s">
        <v>13</v>
      </c>
      <c r="C1510">
        <v>217.25068999999999</v>
      </c>
    </row>
    <row r="1511" spans="1:3" x14ac:dyDescent="0.3">
      <c r="A1511" s="1">
        <v>45909</v>
      </c>
      <c r="B1511" s="2" t="s">
        <v>15</v>
      </c>
      <c r="C1511">
        <v>2.9466100000000002</v>
      </c>
    </row>
    <row r="1512" spans="1:3" x14ac:dyDescent="0.3">
      <c r="A1512" s="1">
        <v>45909</v>
      </c>
      <c r="B1512" s="2" t="s">
        <v>17</v>
      </c>
      <c r="C1512">
        <v>4309.0415000000003</v>
      </c>
    </row>
    <row r="1513" spans="1:3" x14ac:dyDescent="0.3">
      <c r="A1513" s="1">
        <v>45909</v>
      </c>
      <c r="B1513" s="2" t="s">
        <v>19</v>
      </c>
      <c r="C1513">
        <v>880.01500999999996</v>
      </c>
    </row>
    <row r="1514" spans="1:3" x14ac:dyDescent="0.3">
      <c r="A1514" s="1">
        <v>45910</v>
      </c>
      <c r="B1514" s="2" t="s">
        <v>9</v>
      </c>
      <c r="C1514">
        <v>0.88468999999999998</v>
      </c>
    </row>
    <row r="1515" spans="1:3" x14ac:dyDescent="0.3">
      <c r="A1515" s="1">
        <v>45910</v>
      </c>
      <c r="B1515" s="2" t="s">
        <v>11</v>
      </c>
      <c r="C1515">
        <v>113955.3594</v>
      </c>
    </row>
    <row r="1516" spans="1:3" x14ac:dyDescent="0.3">
      <c r="A1516" s="1">
        <v>45910</v>
      </c>
      <c r="B1516" s="2" t="s">
        <v>13</v>
      </c>
      <c r="C1516">
        <v>223.98690999999999</v>
      </c>
    </row>
    <row r="1517" spans="1:3" x14ac:dyDescent="0.3">
      <c r="A1517" s="1">
        <v>45910</v>
      </c>
      <c r="B1517" s="2" t="s">
        <v>15</v>
      </c>
      <c r="C1517">
        <v>2.9817100000000001</v>
      </c>
    </row>
    <row r="1518" spans="1:3" x14ac:dyDescent="0.3">
      <c r="A1518" s="1">
        <v>45910</v>
      </c>
      <c r="B1518" s="2" t="s">
        <v>17</v>
      </c>
      <c r="C1518">
        <v>4349.1459999999997</v>
      </c>
    </row>
    <row r="1519" spans="1:3" x14ac:dyDescent="0.3">
      <c r="A1519" s="1">
        <v>45910</v>
      </c>
      <c r="B1519" s="2" t="s">
        <v>19</v>
      </c>
      <c r="C1519">
        <v>893.56659000000002</v>
      </c>
    </row>
    <row r="1520" spans="1:3" x14ac:dyDescent="0.3">
      <c r="A1520" s="1">
        <v>45911</v>
      </c>
      <c r="B1520" s="2" t="s">
        <v>9</v>
      </c>
      <c r="C1520">
        <v>0.89420999999999995</v>
      </c>
    </row>
    <row r="1521" spans="1:3" x14ac:dyDescent="0.3">
      <c r="A1521" s="1">
        <v>45911</v>
      </c>
      <c r="B1521" s="2" t="s">
        <v>11</v>
      </c>
      <c r="C1521">
        <v>115507.53909999999</v>
      </c>
    </row>
    <row r="1522" spans="1:3" x14ac:dyDescent="0.3">
      <c r="A1522" s="1">
        <v>45911</v>
      </c>
      <c r="B1522" s="2" t="s">
        <v>13</v>
      </c>
      <c r="C1522">
        <v>228.75618</v>
      </c>
    </row>
    <row r="1523" spans="1:3" x14ac:dyDescent="0.3">
      <c r="A1523" s="1">
        <v>45911</v>
      </c>
      <c r="B1523" s="2" t="s">
        <v>15</v>
      </c>
      <c r="C1523">
        <v>3.0409299999999999</v>
      </c>
    </row>
    <row r="1524" spans="1:3" x14ac:dyDescent="0.3">
      <c r="A1524" s="1">
        <v>45911</v>
      </c>
      <c r="B1524" s="2" t="s">
        <v>17</v>
      </c>
      <c r="C1524">
        <v>4461.2334000000001</v>
      </c>
    </row>
    <row r="1525" spans="1:3" x14ac:dyDescent="0.3">
      <c r="A1525" s="1">
        <v>45911</v>
      </c>
      <c r="B1525" s="2" t="s">
        <v>19</v>
      </c>
      <c r="C1525">
        <v>902.98334</v>
      </c>
    </row>
    <row r="1526" spans="1:3" x14ac:dyDescent="0.3">
      <c r="A1526" s="1">
        <v>45912</v>
      </c>
      <c r="B1526" s="2" t="s">
        <v>9</v>
      </c>
      <c r="C1526">
        <v>0.91708999999999996</v>
      </c>
    </row>
    <row r="1527" spans="1:3" x14ac:dyDescent="0.3">
      <c r="A1527" s="1">
        <v>45912</v>
      </c>
      <c r="B1527" s="2" t="s">
        <v>11</v>
      </c>
      <c r="C1527">
        <v>116101.5781</v>
      </c>
    </row>
    <row r="1528" spans="1:3" x14ac:dyDescent="0.3">
      <c r="A1528" s="1">
        <v>45912</v>
      </c>
      <c r="B1528" s="2" t="s">
        <v>13</v>
      </c>
      <c r="C1528">
        <v>242.30328</v>
      </c>
    </row>
    <row r="1529" spans="1:3" x14ac:dyDescent="0.3">
      <c r="A1529" s="1">
        <v>45912</v>
      </c>
      <c r="B1529" s="2" t="s">
        <v>15</v>
      </c>
      <c r="C1529">
        <v>3.10764</v>
      </c>
    </row>
    <row r="1530" spans="1:3" x14ac:dyDescent="0.3">
      <c r="A1530" s="1">
        <v>45912</v>
      </c>
      <c r="B1530" s="2" t="s">
        <v>17</v>
      </c>
      <c r="C1530">
        <v>4715.2460899999996</v>
      </c>
    </row>
    <row r="1531" spans="1:3" x14ac:dyDescent="0.3">
      <c r="A1531" s="1">
        <v>45912</v>
      </c>
      <c r="B1531" s="2" t="s">
        <v>19</v>
      </c>
      <c r="C1531">
        <v>925.03070000000002</v>
      </c>
    </row>
    <row r="1532" spans="1:3" x14ac:dyDescent="0.3">
      <c r="A1532" s="1">
        <v>45913</v>
      </c>
      <c r="B1532" s="2" t="s">
        <v>9</v>
      </c>
      <c r="C1532">
        <v>0.92984</v>
      </c>
    </row>
    <row r="1533" spans="1:3" x14ac:dyDescent="0.3">
      <c r="A1533" s="1">
        <v>45913</v>
      </c>
      <c r="B1533" s="2" t="s">
        <v>11</v>
      </c>
      <c r="C1533">
        <v>115950.50780000001</v>
      </c>
    </row>
    <row r="1534" spans="1:3" x14ac:dyDescent="0.3">
      <c r="A1534" s="1">
        <v>45913</v>
      </c>
      <c r="B1534" s="2" t="s">
        <v>13</v>
      </c>
      <c r="C1534">
        <v>242.5959</v>
      </c>
    </row>
    <row r="1535" spans="1:3" x14ac:dyDescent="0.3">
      <c r="A1535" s="1">
        <v>45913</v>
      </c>
      <c r="B1535" s="2" t="s">
        <v>15</v>
      </c>
      <c r="C1535">
        <v>3.12147</v>
      </c>
    </row>
    <row r="1536" spans="1:3" x14ac:dyDescent="0.3">
      <c r="A1536" s="1">
        <v>45913</v>
      </c>
      <c r="B1536" s="2" t="s">
        <v>17</v>
      </c>
      <c r="C1536">
        <v>4668.1796899999999</v>
      </c>
    </row>
    <row r="1537" spans="1:3" x14ac:dyDescent="0.3">
      <c r="A1537" s="1">
        <v>45913</v>
      </c>
      <c r="B1537" s="2" t="s">
        <v>19</v>
      </c>
      <c r="C1537">
        <v>933.89966000000004</v>
      </c>
    </row>
    <row r="1538" spans="1:3" x14ac:dyDescent="0.3">
      <c r="A1538" s="1">
        <v>45914</v>
      </c>
      <c r="B1538" s="2" t="s">
        <v>9</v>
      </c>
      <c r="C1538">
        <v>0.88898999999999995</v>
      </c>
    </row>
    <row r="1539" spans="1:3" x14ac:dyDescent="0.3">
      <c r="A1539" s="1">
        <v>45914</v>
      </c>
      <c r="B1539" s="2" t="s">
        <v>11</v>
      </c>
      <c r="C1539">
        <v>115407.6563</v>
      </c>
    </row>
    <row r="1540" spans="1:3" x14ac:dyDescent="0.3">
      <c r="A1540" s="1">
        <v>45914</v>
      </c>
      <c r="B1540" s="2" t="s">
        <v>13</v>
      </c>
      <c r="C1540">
        <v>240.55769000000001</v>
      </c>
    </row>
    <row r="1541" spans="1:3" x14ac:dyDescent="0.3">
      <c r="A1541" s="1">
        <v>45914</v>
      </c>
      <c r="B1541" s="2" t="s">
        <v>15</v>
      </c>
      <c r="C1541">
        <v>3.0325299999999999</v>
      </c>
    </row>
    <row r="1542" spans="1:3" x14ac:dyDescent="0.3">
      <c r="A1542" s="1">
        <v>45914</v>
      </c>
      <c r="B1542" s="2" t="s">
        <v>17</v>
      </c>
      <c r="C1542">
        <v>4609.5976600000004</v>
      </c>
    </row>
    <row r="1543" spans="1:3" x14ac:dyDescent="0.3">
      <c r="A1543" s="1">
        <v>45914</v>
      </c>
      <c r="B1543" s="2" t="s">
        <v>19</v>
      </c>
      <c r="C1543">
        <v>927.24170000000004</v>
      </c>
    </row>
    <row r="1544" spans="1:3" x14ac:dyDescent="0.3">
      <c r="A1544" s="1">
        <v>45915</v>
      </c>
      <c r="B1544" s="2" t="s">
        <v>9</v>
      </c>
      <c r="C1544">
        <v>0.86351</v>
      </c>
    </row>
    <row r="1545" spans="1:3" x14ac:dyDescent="0.3">
      <c r="A1545" s="1">
        <v>45915</v>
      </c>
      <c r="B1545" s="2" t="s">
        <v>11</v>
      </c>
      <c r="C1545">
        <v>115444.875</v>
      </c>
    </row>
    <row r="1546" spans="1:3" x14ac:dyDescent="0.3">
      <c r="A1546" s="1">
        <v>45915</v>
      </c>
      <c r="B1546" s="2" t="s">
        <v>13</v>
      </c>
      <c r="C1546">
        <v>234.35756000000001</v>
      </c>
    </row>
    <row r="1547" spans="1:3" x14ac:dyDescent="0.3">
      <c r="A1547" s="1">
        <v>45915</v>
      </c>
      <c r="B1547" s="2" t="s">
        <v>15</v>
      </c>
      <c r="C1547">
        <v>2.9971100000000002</v>
      </c>
    </row>
    <row r="1548" spans="1:3" x14ac:dyDescent="0.3">
      <c r="A1548" s="1">
        <v>45915</v>
      </c>
      <c r="B1548" s="2" t="s">
        <v>17</v>
      </c>
      <c r="C1548">
        <v>4526.8203100000001</v>
      </c>
    </row>
    <row r="1549" spans="1:3" x14ac:dyDescent="0.3">
      <c r="A1549" s="1">
        <v>45915</v>
      </c>
      <c r="B1549" s="2" t="s">
        <v>19</v>
      </c>
      <c r="C1549">
        <v>919.97020999999995</v>
      </c>
    </row>
    <row r="1550" spans="1:3" x14ac:dyDescent="0.3">
      <c r="A1550" s="1">
        <v>45916</v>
      </c>
      <c r="B1550" s="2" t="s">
        <v>9</v>
      </c>
      <c r="C1550">
        <v>0.88068999999999997</v>
      </c>
    </row>
    <row r="1551" spans="1:3" x14ac:dyDescent="0.3">
      <c r="A1551" s="1">
        <v>45916</v>
      </c>
      <c r="B1551" s="2" t="s">
        <v>11</v>
      </c>
      <c r="C1551">
        <v>116843.1875</v>
      </c>
    </row>
    <row r="1552" spans="1:3" x14ac:dyDescent="0.3">
      <c r="A1552" s="1">
        <v>45916</v>
      </c>
      <c r="B1552" s="2" t="s">
        <v>13</v>
      </c>
      <c r="C1552">
        <v>236.98957999999999</v>
      </c>
    </row>
    <row r="1553" spans="1:3" x14ac:dyDescent="0.3">
      <c r="A1553" s="1">
        <v>45916</v>
      </c>
      <c r="B1553" s="2" t="s">
        <v>15</v>
      </c>
      <c r="C1553">
        <v>3.0384899999999999</v>
      </c>
    </row>
    <row r="1554" spans="1:3" x14ac:dyDescent="0.3">
      <c r="A1554" s="1">
        <v>45916</v>
      </c>
      <c r="B1554" s="2" t="s">
        <v>17</v>
      </c>
      <c r="C1554">
        <v>4503.5644499999999</v>
      </c>
    </row>
    <row r="1555" spans="1:3" x14ac:dyDescent="0.3">
      <c r="A1555" s="1">
        <v>45916</v>
      </c>
      <c r="B1555" s="2" t="s">
        <v>19</v>
      </c>
      <c r="C1555">
        <v>955.71258999999998</v>
      </c>
    </row>
    <row r="1556" spans="1:3" x14ac:dyDescent="0.3">
      <c r="A1556" s="1">
        <v>45917</v>
      </c>
      <c r="B1556" s="2" t="s">
        <v>9</v>
      </c>
      <c r="C1556">
        <v>0.91308999999999996</v>
      </c>
    </row>
    <row r="1557" spans="1:3" x14ac:dyDescent="0.3">
      <c r="A1557" s="1">
        <v>45917</v>
      </c>
      <c r="B1557" s="2" t="s">
        <v>11</v>
      </c>
      <c r="C1557">
        <v>116468.50780000001</v>
      </c>
    </row>
    <row r="1558" spans="1:3" x14ac:dyDescent="0.3">
      <c r="A1558" s="1">
        <v>45917</v>
      </c>
      <c r="B1558" s="2" t="s">
        <v>13</v>
      </c>
      <c r="C1558">
        <v>244.85745</v>
      </c>
    </row>
    <row r="1559" spans="1:3" x14ac:dyDescent="0.3">
      <c r="A1559" s="1">
        <v>45917</v>
      </c>
      <c r="B1559" s="2" t="s">
        <v>15</v>
      </c>
      <c r="C1559">
        <v>3.0849899999999999</v>
      </c>
    </row>
    <row r="1560" spans="1:3" x14ac:dyDescent="0.3">
      <c r="A1560" s="1">
        <v>45917</v>
      </c>
      <c r="B1560" s="2" t="s">
        <v>17</v>
      </c>
      <c r="C1560">
        <v>4592.7334000000001</v>
      </c>
    </row>
    <row r="1561" spans="1:3" x14ac:dyDescent="0.3">
      <c r="A1561" s="1">
        <v>45917</v>
      </c>
      <c r="B1561" s="2" t="s">
        <v>19</v>
      </c>
      <c r="C1561">
        <v>990.30975000000001</v>
      </c>
    </row>
    <row r="1562" spans="1:3" x14ac:dyDescent="0.3">
      <c r="A1562" s="1">
        <v>45918</v>
      </c>
      <c r="B1562" s="2" t="s">
        <v>9</v>
      </c>
      <c r="C1562">
        <v>0.92535999999999996</v>
      </c>
    </row>
    <row r="1563" spans="1:3" x14ac:dyDescent="0.3">
      <c r="A1563" s="1">
        <v>45918</v>
      </c>
      <c r="B1563" s="2" t="s">
        <v>11</v>
      </c>
      <c r="C1563">
        <v>117137.2031</v>
      </c>
    </row>
    <row r="1564" spans="1:3" x14ac:dyDescent="0.3">
      <c r="A1564" s="1">
        <v>45918</v>
      </c>
      <c r="B1564" s="2" t="s">
        <v>13</v>
      </c>
      <c r="C1564">
        <v>247.63713000000001</v>
      </c>
    </row>
    <row r="1565" spans="1:3" x14ac:dyDescent="0.3">
      <c r="A1565" s="1">
        <v>45918</v>
      </c>
      <c r="B1565" s="2" t="s">
        <v>15</v>
      </c>
      <c r="C1565">
        <v>3.0762700000000001</v>
      </c>
    </row>
    <row r="1566" spans="1:3" x14ac:dyDescent="0.3">
      <c r="A1566" s="1">
        <v>45918</v>
      </c>
      <c r="B1566" s="2" t="s">
        <v>17</v>
      </c>
      <c r="C1566">
        <v>4589.9189500000002</v>
      </c>
    </row>
    <row r="1567" spans="1:3" x14ac:dyDescent="0.3">
      <c r="A1567" s="1">
        <v>45918</v>
      </c>
      <c r="B1567" s="2" t="s">
        <v>19</v>
      </c>
      <c r="C1567">
        <v>981.83520999999996</v>
      </c>
    </row>
    <row r="1568" spans="1:3" x14ac:dyDescent="0.3">
      <c r="A1568" s="1">
        <v>45919</v>
      </c>
      <c r="B1568" s="2" t="s">
        <v>9</v>
      </c>
      <c r="C1568">
        <v>0.89093999999999995</v>
      </c>
    </row>
    <row r="1569" spans="1:3" x14ac:dyDescent="0.3">
      <c r="A1569" s="1">
        <v>45919</v>
      </c>
      <c r="B1569" s="2" t="s">
        <v>11</v>
      </c>
      <c r="C1569">
        <v>115688.8594</v>
      </c>
    </row>
    <row r="1570" spans="1:3" x14ac:dyDescent="0.3">
      <c r="A1570" s="1">
        <v>45919</v>
      </c>
      <c r="B1570" s="2" t="s">
        <v>13</v>
      </c>
      <c r="C1570">
        <v>238.55269999999999</v>
      </c>
    </row>
    <row r="1571" spans="1:3" x14ac:dyDescent="0.3">
      <c r="A1571" s="1">
        <v>45919</v>
      </c>
      <c r="B1571" s="2" t="s">
        <v>15</v>
      </c>
      <c r="C1571">
        <v>2.9918499999999999</v>
      </c>
    </row>
    <row r="1572" spans="1:3" x14ac:dyDescent="0.3">
      <c r="A1572" s="1">
        <v>45919</v>
      </c>
      <c r="B1572" s="2" t="s">
        <v>17</v>
      </c>
      <c r="C1572">
        <v>4470.9169899999997</v>
      </c>
    </row>
    <row r="1573" spans="1:3" x14ac:dyDescent="0.3">
      <c r="A1573" s="1">
        <v>45919</v>
      </c>
      <c r="B1573" s="2" t="s">
        <v>19</v>
      </c>
      <c r="C1573">
        <v>984.12408000000005</v>
      </c>
    </row>
    <row r="1574" spans="1:3" x14ac:dyDescent="0.3">
      <c r="A1574" s="1">
        <v>45920</v>
      </c>
      <c r="B1574" s="2" t="s">
        <v>9</v>
      </c>
      <c r="C1574">
        <v>0.89393</v>
      </c>
    </row>
    <row r="1575" spans="1:3" x14ac:dyDescent="0.3">
      <c r="A1575" s="1">
        <v>45920</v>
      </c>
      <c r="B1575" s="2" t="s">
        <v>11</v>
      </c>
      <c r="C1575">
        <v>115721.96090000001</v>
      </c>
    </row>
    <row r="1576" spans="1:3" x14ac:dyDescent="0.3">
      <c r="A1576" s="1">
        <v>45920</v>
      </c>
      <c r="B1576" s="2" t="s">
        <v>13</v>
      </c>
      <c r="C1576">
        <v>239.59247999999999</v>
      </c>
    </row>
    <row r="1577" spans="1:3" x14ac:dyDescent="0.3">
      <c r="A1577" s="1">
        <v>45920</v>
      </c>
      <c r="B1577" s="2" t="s">
        <v>15</v>
      </c>
      <c r="C1577">
        <v>2.97892</v>
      </c>
    </row>
    <row r="1578" spans="1:3" x14ac:dyDescent="0.3">
      <c r="A1578" s="1">
        <v>45920</v>
      </c>
      <c r="B1578" s="2" t="s">
        <v>17</v>
      </c>
      <c r="C1578">
        <v>4482.2656299999999</v>
      </c>
    </row>
    <row r="1579" spans="1:3" x14ac:dyDescent="0.3">
      <c r="A1579" s="1">
        <v>45920</v>
      </c>
      <c r="B1579" s="2" t="s">
        <v>19</v>
      </c>
      <c r="C1579">
        <v>1042.6501499999999</v>
      </c>
    </row>
    <row r="1580" spans="1:3" x14ac:dyDescent="0.3">
      <c r="A1580" s="1">
        <v>45921</v>
      </c>
      <c r="B1580" s="2" t="s">
        <v>9</v>
      </c>
      <c r="C1580">
        <v>0.88527999999999996</v>
      </c>
    </row>
    <row r="1581" spans="1:3" x14ac:dyDescent="0.3">
      <c r="A1581" s="1">
        <v>45921</v>
      </c>
      <c r="B1581" s="2" t="s">
        <v>11</v>
      </c>
      <c r="C1581">
        <v>115306.0938</v>
      </c>
    </row>
    <row r="1582" spans="1:3" x14ac:dyDescent="0.3">
      <c r="A1582" s="1">
        <v>45921</v>
      </c>
      <c r="B1582" s="2" t="s">
        <v>13</v>
      </c>
      <c r="C1582">
        <v>236.57544999999999</v>
      </c>
    </row>
    <row r="1583" spans="1:3" x14ac:dyDescent="0.3">
      <c r="A1583" s="1">
        <v>45921</v>
      </c>
      <c r="B1583" s="2" t="s">
        <v>15</v>
      </c>
      <c r="C1583">
        <v>2.9734099999999999</v>
      </c>
    </row>
    <row r="1584" spans="1:3" x14ac:dyDescent="0.3">
      <c r="A1584" s="1">
        <v>45921</v>
      </c>
      <c r="B1584" s="2" t="s">
        <v>17</v>
      </c>
      <c r="C1584">
        <v>4451.3290999999999</v>
      </c>
    </row>
    <row r="1585" spans="1:3" x14ac:dyDescent="0.3">
      <c r="A1585" s="1">
        <v>45921</v>
      </c>
      <c r="B1585" s="2" t="s">
        <v>19</v>
      </c>
      <c r="C1585">
        <v>1048.67236</v>
      </c>
    </row>
    <row r="1586" spans="1:3" x14ac:dyDescent="0.3">
      <c r="A1586" s="1">
        <v>45922</v>
      </c>
      <c r="B1586" s="2" t="s">
        <v>9</v>
      </c>
      <c r="C1586">
        <v>0.82574999999999998</v>
      </c>
    </row>
    <row r="1587" spans="1:3" x14ac:dyDescent="0.3">
      <c r="A1587" s="1">
        <v>45922</v>
      </c>
      <c r="B1587" s="2" t="s">
        <v>11</v>
      </c>
      <c r="C1587">
        <v>112748.50780000001</v>
      </c>
    </row>
    <row r="1588" spans="1:3" x14ac:dyDescent="0.3">
      <c r="A1588" s="1">
        <v>45922</v>
      </c>
      <c r="B1588" s="2" t="s">
        <v>13</v>
      </c>
      <c r="C1588">
        <v>220.49644000000001</v>
      </c>
    </row>
    <row r="1589" spans="1:3" x14ac:dyDescent="0.3">
      <c r="A1589" s="1">
        <v>45922</v>
      </c>
      <c r="B1589" s="2" t="s">
        <v>15</v>
      </c>
      <c r="C1589">
        <v>2.8530099999999998</v>
      </c>
    </row>
    <row r="1590" spans="1:3" x14ac:dyDescent="0.3">
      <c r="A1590" s="1">
        <v>45922</v>
      </c>
      <c r="B1590" s="2" t="s">
        <v>17</v>
      </c>
      <c r="C1590">
        <v>4202.8774400000002</v>
      </c>
    </row>
    <row r="1591" spans="1:3" x14ac:dyDescent="0.3">
      <c r="A1591" s="1">
        <v>45922</v>
      </c>
      <c r="B1591" s="2" t="s">
        <v>19</v>
      </c>
      <c r="C1591">
        <v>993.01404000000002</v>
      </c>
    </row>
    <row r="1592" spans="1:3" x14ac:dyDescent="0.3">
      <c r="A1592" s="1">
        <v>45923</v>
      </c>
      <c r="B1592" s="2" t="s">
        <v>9</v>
      </c>
      <c r="C1592">
        <v>0.80762</v>
      </c>
    </row>
    <row r="1593" spans="1:3" x14ac:dyDescent="0.3">
      <c r="A1593" s="1">
        <v>45923</v>
      </c>
      <c r="B1593" s="2" t="s">
        <v>11</v>
      </c>
      <c r="C1593">
        <v>112014.5</v>
      </c>
    </row>
    <row r="1594" spans="1:3" x14ac:dyDescent="0.3">
      <c r="A1594" s="1">
        <v>45923</v>
      </c>
      <c r="B1594" s="2" t="s">
        <v>13</v>
      </c>
      <c r="C1594">
        <v>213.71729999999999</v>
      </c>
    </row>
    <row r="1595" spans="1:3" x14ac:dyDescent="0.3">
      <c r="A1595" s="1">
        <v>45923</v>
      </c>
      <c r="B1595" s="2" t="s">
        <v>15</v>
      </c>
      <c r="C1595">
        <v>2.82816</v>
      </c>
    </row>
    <row r="1596" spans="1:3" x14ac:dyDescent="0.3">
      <c r="A1596" s="1">
        <v>45923</v>
      </c>
      <c r="B1596" s="2" t="s">
        <v>17</v>
      </c>
      <c r="C1596">
        <v>4165.5039100000004</v>
      </c>
    </row>
    <row r="1597" spans="1:3" x14ac:dyDescent="0.3">
      <c r="A1597" s="1">
        <v>45923</v>
      </c>
      <c r="B1597" s="2" t="s">
        <v>19</v>
      </c>
      <c r="C1597">
        <v>1017.0199</v>
      </c>
    </row>
    <row r="1598" spans="1:3" x14ac:dyDescent="0.3">
      <c r="A1598" s="1">
        <v>45924</v>
      </c>
      <c r="B1598" s="2" t="s">
        <v>9</v>
      </c>
      <c r="C1598">
        <v>0.81318999999999997</v>
      </c>
    </row>
    <row r="1599" spans="1:3" x14ac:dyDescent="0.3">
      <c r="A1599" s="1">
        <v>45924</v>
      </c>
      <c r="B1599" s="2" t="s">
        <v>11</v>
      </c>
      <c r="C1599">
        <v>113328.63280000001</v>
      </c>
    </row>
    <row r="1600" spans="1:3" x14ac:dyDescent="0.3">
      <c r="A1600" s="1">
        <v>45924</v>
      </c>
      <c r="B1600" s="2" t="s">
        <v>13</v>
      </c>
      <c r="C1600">
        <v>211.75626</v>
      </c>
    </row>
    <row r="1601" spans="1:3" x14ac:dyDescent="0.3">
      <c r="A1601" s="1">
        <v>45924</v>
      </c>
      <c r="B1601" s="2" t="s">
        <v>15</v>
      </c>
      <c r="C1601">
        <v>2.9280400000000002</v>
      </c>
    </row>
    <row r="1602" spans="1:3" x14ac:dyDescent="0.3">
      <c r="A1602" s="1">
        <v>45924</v>
      </c>
      <c r="B1602" s="2" t="s">
        <v>17</v>
      </c>
      <c r="C1602">
        <v>4153.4692400000004</v>
      </c>
    </row>
    <row r="1603" spans="1:3" x14ac:dyDescent="0.3">
      <c r="A1603" s="1">
        <v>45924</v>
      </c>
      <c r="B1603" s="2" t="s">
        <v>19</v>
      </c>
      <c r="C1603">
        <v>1018.84784</v>
      </c>
    </row>
    <row r="1604" spans="1:3" x14ac:dyDescent="0.3">
      <c r="A1604" s="1">
        <v>45925</v>
      </c>
      <c r="B1604" s="2" t="s">
        <v>9</v>
      </c>
      <c r="C1604">
        <v>0.76278999999999997</v>
      </c>
    </row>
    <row r="1605" spans="1:3" x14ac:dyDescent="0.3">
      <c r="A1605" s="1">
        <v>45925</v>
      </c>
      <c r="B1605" s="2" t="s">
        <v>11</v>
      </c>
      <c r="C1605">
        <v>109049.28909999999</v>
      </c>
    </row>
    <row r="1606" spans="1:3" x14ac:dyDescent="0.3">
      <c r="A1606" s="1">
        <v>45925</v>
      </c>
      <c r="B1606" s="2" t="s">
        <v>13</v>
      </c>
      <c r="C1606">
        <v>192.38077000000001</v>
      </c>
    </row>
    <row r="1607" spans="1:3" x14ac:dyDescent="0.3">
      <c r="A1607" s="1">
        <v>45925</v>
      </c>
      <c r="B1607" s="2" t="s">
        <v>15</v>
      </c>
      <c r="C1607">
        <v>2.7423199999999999</v>
      </c>
    </row>
    <row r="1608" spans="1:3" x14ac:dyDescent="0.3">
      <c r="A1608" s="1">
        <v>45925</v>
      </c>
      <c r="B1608" s="2" t="s">
        <v>17</v>
      </c>
      <c r="C1608">
        <v>3868.3339799999999</v>
      </c>
    </row>
    <row r="1609" spans="1:3" x14ac:dyDescent="0.3">
      <c r="A1609" s="1">
        <v>45925</v>
      </c>
      <c r="B1609" s="2" t="s">
        <v>19</v>
      </c>
      <c r="C1609">
        <v>945.71361999999999</v>
      </c>
    </row>
    <row r="1610" spans="1:3" x14ac:dyDescent="0.3">
      <c r="A1610" s="1">
        <v>45926</v>
      </c>
      <c r="B1610" s="2" t="s">
        <v>9</v>
      </c>
      <c r="C1610">
        <v>0.79218999999999995</v>
      </c>
    </row>
    <row r="1611" spans="1:3" x14ac:dyDescent="0.3">
      <c r="A1611" s="1">
        <v>45926</v>
      </c>
      <c r="B1611" s="2" t="s">
        <v>11</v>
      </c>
      <c r="C1611">
        <v>109712.8281</v>
      </c>
    </row>
    <row r="1612" spans="1:3" x14ac:dyDescent="0.3">
      <c r="A1612" s="1">
        <v>45926</v>
      </c>
      <c r="B1612" s="2" t="s">
        <v>13</v>
      </c>
      <c r="C1612">
        <v>205.35255000000001</v>
      </c>
    </row>
    <row r="1613" spans="1:3" x14ac:dyDescent="0.3">
      <c r="A1613" s="1">
        <v>45926</v>
      </c>
      <c r="B1613" s="2" t="s">
        <v>15</v>
      </c>
      <c r="C1613">
        <v>2.7858100000000001</v>
      </c>
    </row>
    <row r="1614" spans="1:3" x14ac:dyDescent="0.3">
      <c r="A1614" s="1">
        <v>45926</v>
      </c>
      <c r="B1614" s="2" t="s">
        <v>17</v>
      </c>
      <c r="C1614">
        <v>4035.8879400000001</v>
      </c>
    </row>
    <row r="1615" spans="1:3" x14ac:dyDescent="0.3">
      <c r="A1615" s="1">
        <v>45926</v>
      </c>
      <c r="B1615" s="2" t="s">
        <v>19</v>
      </c>
      <c r="C1615">
        <v>960.92394999999999</v>
      </c>
    </row>
    <row r="1616" spans="1:3" x14ac:dyDescent="0.3">
      <c r="A1616" s="1">
        <v>45927</v>
      </c>
      <c r="B1616" s="2" t="s">
        <v>9</v>
      </c>
      <c r="C1616">
        <v>0.78169999999999995</v>
      </c>
    </row>
    <row r="1617" spans="1:3" x14ac:dyDescent="0.3">
      <c r="A1617" s="1">
        <v>45927</v>
      </c>
      <c r="B1617" s="2" t="s">
        <v>11</v>
      </c>
      <c r="C1617">
        <v>109681.94530000001</v>
      </c>
    </row>
    <row r="1618" spans="1:3" x14ac:dyDescent="0.3">
      <c r="A1618" s="1">
        <v>45927</v>
      </c>
      <c r="B1618" s="2" t="s">
        <v>13</v>
      </c>
      <c r="C1618">
        <v>203.58332999999999</v>
      </c>
    </row>
    <row r="1619" spans="1:3" x14ac:dyDescent="0.3">
      <c r="A1619" s="1">
        <v>45927</v>
      </c>
      <c r="B1619" s="2" t="s">
        <v>15</v>
      </c>
      <c r="C1619">
        <v>2.8077299999999998</v>
      </c>
    </row>
    <row r="1620" spans="1:3" x14ac:dyDescent="0.3">
      <c r="A1620" s="1">
        <v>45927</v>
      </c>
      <c r="B1620" s="2" t="s">
        <v>17</v>
      </c>
      <c r="C1620">
        <v>4018.6581999999999</v>
      </c>
    </row>
    <row r="1621" spans="1:3" x14ac:dyDescent="0.3">
      <c r="A1621" s="1">
        <v>45927</v>
      </c>
      <c r="B1621" s="2" t="s">
        <v>19</v>
      </c>
      <c r="C1621">
        <v>968.78954999999996</v>
      </c>
    </row>
    <row r="1622" spans="1:3" x14ac:dyDescent="0.3">
      <c r="A1622" s="1">
        <v>45928</v>
      </c>
      <c r="B1622" s="2" t="s">
        <v>9</v>
      </c>
      <c r="C1622">
        <v>0.80817000000000005</v>
      </c>
    </row>
    <row r="1623" spans="1:3" x14ac:dyDescent="0.3">
      <c r="A1623" s="1">
        <v>45928</v>
      </c>
      <c r="B1623" s="2" t="s">
        <v>11</v>
      </c>
      <c r="C1623">
        <v>112122.6406</v>
      </c>
    </row>
    <row r="1624" spans="1:3" x14ac:dyDescent="0.3">
      <c r="A1624" s="1">
        <v>45928</v>
      </c>
      <c r="B1624" s="2" t="s">
        <v>13</v>
      </c>
      <c r="C1624">
        <v>210.73775000000001</v>
      </c>
    </row>
    <row r="1625" spans="1:3" x14ac:dyDescent="0.3">
      <c r="A1625" s="1">
        <v>45928</v>
      </c>
      <c r="B1625" s="2" t="s">
        <v>15</v>
      </c>
      <c r="C1625">
        <v>2.86659</v>
      </c>
    </row>
    <row r="1626" spans="1:3" x14ac:dyDescent="0.3">
      <c r="A1626" s="1">
        <v>45928</v>
      </c>
      <c r="B1626" s="2" t="s">
        <v>17</v>
      </c>
      <c r="C1626">
        <v>4141.4765600000001</v>
      </c>
    </row>
    <row r="1627" spans="1:3" x14ac:dyDescent="0.3">
      <c r="A1627" s="1">
        <v>45928</v>
      </c>
      <c r="B1627" s="2" t="s">
        <v>19</v>
      </c>
      <c r="C1627">
        <v>993.31555000000003</v>
      </c>
    </row>
    <row r="1628" spans="1:3" x14ac:dyDescent="0.3">
      <c r="A1628" s="1">
        <v>45929</v>
      </c>
      <c r="B1628" s="2" t="s">
        <v>9</v>
      </c>
      <c r="C1628">
        <v>0.80679999999999996</v>
      </c>
    </row>
    <row r="1629" spans="1:3" x14ac:dyDescent="0.3">
      <c r="A1629" s="1">
        <v>45929</v>
      </c>
      <c r="B1629" s="2" t="s">
        <v>11</v>
      </c>
      <c r="C1629">
        <v>114400.38280000001</v>
      </c>
    </row>
    <row r="1630" spans="1:3" x14ac:dyDescent="0.3">
      <c r="A1630" s="1">
        <v>45929</v>
      </c>
      <c r="B1630" s="2" t="s">
        <v>13</v>
      </c>
      <c r="C1630">
        <v>213.05341000000001</v>
      </c>
    </row>
    <row r="1631" spans="1:3" x14ac:dyDescent="0.3">
      <c r="A1631" s="1">
        <v>45929</v>
      </c>
      <c r="B1631" s="2" t="s">
        <v>15</v>
      </c>
      <c r="C1631">
        <v>2.8826900000000002</v>
      </c>
    </row>
    <row r="1632" spans="1:3" x14ac:dyDescent="0.3">
      <c r="A1632" s="1">
        <v>45929</v>
      </c>
      <c r="B1632" s="2" t="s">
        <v>17</v>
      </c>
      <c r="C1632">
        <v>4217.3418000000001</v>
      </c>
    </row>
    <row r="1633" spans="1:3" x14ac:dyDescent="0.3">
      <c r="A1633" s="1">
        <v>45929</v>
      </c>
      <c r="B1633" s="2" t="s">
        <v>19</v>
      </c>
      <c r="C1633">
        <v>1030.7412099999999</v>
      </c>
    </row>
    <row r="1634" spans="1:3" x14ac:dyDescent="0.3">
      <c r="A1634" s="1">
        <v>45930</v>
      </c>
      <c r="B1634" s="2" t="s">
        <v>9</v>
      </c>
      <c r="C1634">
        <v>0.80720000000000003</v>
      </c>
    </row>
    <row r="1635" spans="1:3" x14ac:dyDescent="0.3">
      <c r="A1635" s="1">
        <v>45930</v>
      </c>
      <c r="B1635" s="2" t="s">
        <v>11</v>
      </c>
      <c r="C1635">
        <v>114056.08590000001</v>
      </c>
    </row>
    <row r="1636" spans="1:3" x14ac:dyDescent="0.3">
      <c r="A1636" s="1">
        <v>45930</v>
      </c>
      <c r="B1636" s="2" t="s">
        <v>13</v>
      </c>
      <c r="C1636">
        <v>208.74312</v>
      </c>
    </row>
    <row r="1637" spans="1:3" x14ac:dyDescent="0.3">
      <c r="A1637" s="1">
        <v>45930</v>
      </c>
      <c r="B1637" s="2" t="s">
        <v>15</v>
      </c>
      <c r="C1637">
        <v>2.84693</v>
      </c>
    </row>
    <row r="1638" spans="1:3" x14ac:dyDescent="0.3">
      <c r="A1638" s="1">
        <v>45930</v>
      </c>
      <c r="B1638" s="2" t="s">
        <v>17</v>
      </c>
      <c r="C1638">
        <v>4145.9575199999999</v>
      </c>
    </row>
    <row r="1639" spans="1:3" x14ac:dyDescent="0.3">
      <c r="A1639" s="1">
        <v>45930</v>
      </c>
      <c r="B1639" s="2" t="s">
        <v>19</v>
      </c>
      <c r="C1639">
        <v>1008.48346</v>
      </c>
    </row>
    <row r="1640" spans="1:3" x14ac:dyDescent="0.3">
      <c r="A1640" s="1">
        <v>45931</v>
      </c>
      <c r="B1640" s="2" t="s">
        <v>9</v>
      </c>
      <c r="C1640">
        <v>0.85004000000000002</v>
      </c>
    </row>
    <row r="1641" spans="1:3" x14ac:dyDescent="0.3">
      <c r="A1641" s="1">
        <v>45931</v>
      </c>
      <c r="B1641" s="2" t="s">
        <v>11</v>
      </c>
      <c r="C1641">
        <v>118648.92969999999</v>
      </c>
    </row>
    <row r="1642" spans="1:3" x14ac:dyDescent="0.3">
      <c r="A1642" s="1">
        <v>45931</v>
      </c>
      <c r="B1642" s="2" t="s">
        <v>13</v>
      </c>
      <c r="C1642">
        <v>221.67587</v>
      </c>
    </row>
    <row r="1643" spans="1:3" x14ac:dyDescent="0.3">
      <c r="A1643" s="1">
        <v>45931</v>
      </c>
      <c r="B1643" s="2" t="s">
        <v>15</v>
      </c>
      <c r="C1643">
        <v>2.9472800000000001</v>
      </c>
    </row>
    <row r="1644" spans="1:3" x14ac:dyDescent="0.3">
      <c r="A1644" s="1">
        <v>45931</v>
      </c>
      <c r="B1644" s="2" t="s">
        <v>17</v>
      </c>
      <c r="C1644">
        <v>4351.1123100000004</v>
      </c>
    </row>
    <row r="1645" spans="1:3" x14ac:dyDescent="0.3">
      <c r="A1645" s="1">
        <v>45931</v>
      </c>
      <c r="B1645" s="2" t="s">
        <v>19</v>
      </c>
      <c r="C1645">
        <v>1026.1667500000001</v>
      </c>
    </row>
    <row r="1646" spans="1:3" x14ac:dyDescent="0.3">
      <c r="A1646" s="1">
        <v>45932</v>
      </c>
      <c r="B1646" s="2" t="s">
        <v>9</v>
      </c>
      <c r="C1646">
        <v>0.87031999999999998</v>
      </c>
    </row>
    <row r="1647" spans="1:3" x14ac:dyDescent="0.3">
      <c r="A1647" s="1">
        <v>45932</v>
      </c>
      <c r="B1647" s="2" t="s">
        <v>11</v>
      </c>
      <c r="C1647">
        <v>120681.25780000001</v>
      </c>
    </row>
    <row r="1648" spans="1:3" x14ac:dyDescent="0.3">
      <c r="A1648" s="1">
        <v>45932</v>
      </c>
      <c r="B1648" s="2" t="s">
        <v>13</v>
      </c>
      <c r="C1648">
        <v>234.85686999999999</v>
      </c>
    </row>
    <row r="1649" spans="1:3" x14ac:dyDescent="0.3">
      <c r="A1649" s="1">
        <v>45932</v>
      </c>
      <c r="B1649" s="2" t="s">
        <v>15</v>
      </c>
      <c r="C1649">
        <v>3.03932</v>
      </c>
    </row>
    <row r="1650" spans="1:3" x14ac:dyDescent="0.3">
      <c r="A1650" s="1">
        <v>45932</v>
      </c>
      <c r="B1650" s="2" t="s">
        <v>17</v>
      </c>
      <c r="C1650">
        <v>4487.9238299999997</v>
      </c>
    </row>
    <row r="1651" spans="1:3" x14ac:dyDescent="0.3">
      <c r="A1651" s="1">
        <v>45932</v>
      </c>
      <c r="B1651" s="2" t="s">
        <v>19</v>
      </c>
      <c r="C1651">
        <v>1090.6556399999999</v>
      </c>
    </row>
    <row r="1652" spans="1:3" x14ac:dyDescent="0.3">
      <c r="A1652" s="1">
        <v>45933</v>
      </c>
      <c r="B1652" s="2" t="s">
        <v>9</v>
      </c>
      <c r="C1652">
        <v>0.86631999999999998</v>
      </c>
    </row>
    <row r="1653" spans="1:3" x14ac:dyDescent="0.3">
      <c r="A1653" s="1">
        <v>45933</v>
      </c>
      <c r="B1653" s="2" t="s">
        <v>11</v>
      </c>
      <c r="C1653">
        <v>122266.5313</v>
      </c>
    </row>
    <row r="1654" spans="1:3" x14ac:dyDescent="0.3">
      <c r="A1654" s="1">
        <v>45933</v>
      </c>
      <c r="B1654" s="2" t="s">
        <v>13</v>
      </c>
      <c r="C1654">
        <v>233.00197</v>
      </c>
    </row>
    <row r="1655" spans="1:3" x14ac:dyDescent="0.3">
      <c r="A1655" s="1">
        <v>45933</v>
      </c>
      <c r="B1655" s="2" t="s">
        <v>15</v>
      </c>
      <c r="C1655">
        <v>3.04088</v>
      </c>
    </row>
    <row r="1656" spans="1:3" x14ac:dyDescent="0.3">
      <c r="A1656" s="1">
        <v>45933</v>
      </c>
      <c r="B1656" s="2" t="s">
        <v>17</v>
      </c>
      <c r="C1656">
        <v>4514.8706099999999</v>
      </c>
    </row>
    <row r="1657" spans="1:3" x14ac:dyDescent="0.3">
      <c r="A1657" s="1">
        <v>45933</v>
      </c>
      <c r="B1657" s="2" t="s">
        <v>19</v>
      </c>
      <c r="C1657">
        <v>1189.9190699999999</v>
      </c>
    </row>
    <row r="1658" spans="1:3" x14ac:dyDescent="0.3">
      <c r="A1658" s="1">
        <v>45934</v>
      </c>
      <c r="B1658" s="2" t="s">
        <v>9</v>
      </c>
      <c r="C1658">
        <v>0.83992</v>
      </c>
    </row>
    <row r="1659" spans="1:3" x14ac:dyDescent="0.3">
      <c r="A1659" s="1">
        <v>45934</v>
      </c>
      <c r="B1659" s="2" t="s">
        <v>11</v>
      </c>
      <c r="C1659">
        <v>122425.42969999999</v>
      </c>
    </row>
    <row r="1660" spans="1:3" x14ac:dyDescent="0.3">
      <c r="A1660" s="1">
        <v>45934</v>
      </c>
      <c r="B1660" s="2" t="s">
        <v>13</v>
      </c>
      <c r="C1660">
        <v>228.00319999999999</v>
      </c>
    </row>
    <row r="1661" spans="1:3" x14ac:dyDescent="0.3">
      <c r="A1661" s="1">
        <v>45934</v>
      </c>
      <c r="B1661" s="2" t="s">
        <v>15</v>
      </c>
      <c r="C1661">
        <v>2.9693499999999999</v>
      </c>
    </row>
    <row r="1662" spans="1:3" x14ac:dyDescent="0.3">
      <c r="A1662" s="1">
        <v>45934</v>
      </c>
      <c r="B1662" s="2" t="s">
        <v>17</v>
      </c>
      <c r="C1662">
        <v>4489.1972699999997</v>
      </c>
    </row>
    <row r="1663" spans="1:3" x14ac:dyDescent="0.3">
      <c r="A1663" s="1">
        <v>45934</v>
      </c>
      <c r="B1663" s="2" t="s">
        <v>19</v>
      </c>
      <c r="C1663">
        <v>1150.5476100000001</v>
      </c>
    </row>
    <row r="1664" spans="1:3" x14ac:dyDescent="0.3">
      <c r="A1664" s="1">
        <v>45935</v>
      </c>
      <c r="B1664" s="2" t="s">
        <v>9</v>
      </c>
      <c r="C1664">
        <v>0.83735000000000004</v>
      </c>
    </row>
    <row r="1665" spans="1:3" x14ac:dyDescent="0.3">
      <c r="A1665" s="1">
        <v>45935</v>
      </c>
      <c r="B1665" s="2" t="s">
        <v>11</v>
      </c>
      <c r="C1665">
        <v>123513.47659999999</v>
      </c>
    </row>
    <row r="1666" spans="1:3" x14ac:dyDescent="0.3">
      <c r="A1666" s="1">
        <v>45935</v>
      </c>
      <c r="B1666" s="2" t="s">
        <v>13</v>
      </c>
      <c r="C1666">
        <v>228.60120000000001</v>
      </c>
    </row>
    <row r="1667" spans="1:3" x14ac:dyDescent="0.3">
      <c r="A1667" s="1">
        <v>45935</v>
      </c>
      <c r="B1667" s="2" t="s">
        <v>15</v>
      </c>
      <c r="C1667">
        <v>2.9706399999999999</v>
      </c>
    </row>
    <row r="1668" spans="1:3" x14ac:dyDescent="0.3">
      <c r="A1668" s="1">
        <v>45935</v>
      </c>
      <c r="B1668" s="2" t="s">
        <v>17</v>
      </c>
      <c r="C1668">
        <v>4515.4228499999999</v>
      </c>
    </row>
    <row r="1669" spans="1:3" x14ac:dyDescent="0.3">
      <c r="A1669" s="1">
        <v>45935</v>
      </c>
      <c r="B1669" s="2" t="s">
        <v>19</v>
      </c>
      <c r="C1669">
        <v>1165.5275899999999</v>
      </c>
    </row>
    <row r="1670" spans="1:3" x14ac:dyDescent="0.3">
      <c r="A1670" s="1">
        <v>45936</v>
      </c>
      <c r="B1670" s="2" t="s">
        <v>9</v>
      </c>
      <c r="C1670">
        <v>0.87182000000000004</v>
      </c>
    </row>
    <row r="1671" spans="1:3" x14ac:dyDescent="0.3">
      <c r="A1671" s="1">
        <v>45936</v>
      </c>
      <c r="B1671" s="2" t="s">
        <v>11</v>
      </c>
      <c r="C1671">
        <v>124752.5313</v>
      </c>
    </row>
    <row r="1672" spans="1:3" x14ac:dyDescent="0.3">
      <c r="A1672" s="1">
        <v>45936</v>
      </c>
      <c r="B1672" s="2" t="s">
        <v>13</v>
      </c>
      <c r="C1672">
        <v>232.51604</v>
      </c>
    </row>
    <row r="1673" spans="1:3" x14ac:dyDescent="0.3">
      <c r="A1673" s="1">
        <v>45936</v>
      </c>
      <c r="B1673" s="2" t="s">
        <v>15</v>
      </c>
      <c r="C1673">
        <v>2.99072</v>
      </c>
    </row>
    <row r="1674" spans="1:3" x14ac:dyDescent="0.3">
      <c r="A1674" s="1">
        <v>45936</v>
      </c>
      <c r="B1674" s="2" t="s">
        <v>17</v>
      </c>
      <c r="C1674">
        <v>4687.7714800000003</v>
      </c>
    </row>
    <row r="1675" spans="1:3" x14ac:dyDescent="0.3">
      <c r="A1675" s="1">
        <v>45936</v>
      </c>
      <c r="B1675" s="2" t="s">
        <v>19</v>
      </c>
      <c r="C1675">
        <v>1223.58106</v>
      </c>
    </row>
    <row r="1676" spans="1:3" x14ac:dyDescent="0.3">
      <c r="A1676" s="1">
        <v>45937</v>
      </c>
      <c r="B1676" s="2" t="s">
        <v>9</v>
      </c>
      <c r="C1676">
        <v>0.82089999999999996</v>
      </c>
    </row>
    <row r="1677" spans="1:3" x14ac:dyDescent="0.3">
      <c r="A1677" s="1">
        <v>45937</v>
      </c>
      <c r="B1677" s="2" t="s">
        <v>11</v>
      </c>
      <c r="C1677">
        <v>121451.38280000001</v>
      </c>
    </row>
    <row r="1678" spans="1:3" x14ac:dyDescent="0.3">
      <c r="A1678" s="1">
        <v>45937</v>
      </c>
      <c r="B1678" s="2" t="s">
        <v>13</v>
      </c>
      <c r="C1678">
        <v>220.48271</v>
      </c>
    </row>
    <row r="1679" spans="1:3" x14ac:dyDescent="0.3">
      <c r="A1679" s="1">
        <v>45937</v>
      </c>
      <c r="B1679" s="2" t="s">
        <v>15</v>
      </c>
      <c r="C1679">
        <v>2.8559700000000001</v>
      </c>
    </row>
    <row r="1680" spans="1:3" x14ac:dyDescent="0.3">
      <c r="A1680" s="1">
        <v>45937</v>
      </c>
      <c r="B1680" s="2" t="s">
        <v>17</v>
      </c>
      <c r="C1680">
        <v>4451.1518599999999</v>
      </c>
    </row>
    <row r="1681" spans="1:3" x14ac:dyDescent="0.3">
      <c r="A1681" s="1">
        <v>45937</v>
      </c>
      <c r="B1681" s="2" t="s">
        <v>19</v>
      </c>
      <c r="C1681">
        <v>1310.2143599999999</v>
      </c>
    </row>
    <row r="1682" spans="1:3" x14ac:dyDescent="0.3">
      <c r="A1682" s="1">
        <v>45938</v>
      </c>
      <c r="B1682" s="2" t="s">
        <v>9</v>
      </c>
      <c r="C1682">
        <v>0.83892</v>
      </c>
    </row>
    <row r="1683" spans="1:3" x14ac:dyDescent="0.3">
      <c r="A1683" s="1">
        <v>45938</v>
      </c>
      <c r="B1683" s="2" t="s">
        <v>11</v>
      </c>
      <c r="C1683">
        <v>123354.86719999999</v>
      </c>
    </row>
    <row r="1684" spans="1:3" x14ac:dyDescent="0.3">
      <c r="A1684" s="1">
        <v>45938</v>
      </c>
      <c r="B1684" s="2" t="s">
        <v>13</v>
      </c>
      <c r="C1684">
        <v>229.10121000000001</v>
      </c>
    </row>
    <row r="1685" spans="1:3" x14ac:dyDescent="0.3">
      <c r="A1685" s="1">
        <v>45938</v>
      </c>
      <c r="B1685" s="2" t="s">
        <v>15</v>
      </c>
      <c r="C1685">
        <v>2.8807999999999998</v>
      </c>
    </row>
    <row r="1686" spans="1:3" x14ac:dyDescent="0.3">
      <c r="A1686" s="1">
        <v>45938</v>
      </c>
      <c r="B1686" s="2" t="s">
        <v>17</v>
      </c>
      <c r="C1686">
        <v>4527.6479499999996</v>
      </c>
    </row>
    <row r="1687" spans="1:3" x14ac:dyDescent="0.3">
      <c r="A1687" s="1">
        <v>45938</v>
      </c>
      <c r="B1687" s="2" t="s">
        <v>19</v>
      </c>
      <c r="C1687">
        <v>1306.5993699999999</v>
      </c>
    </row>
    <row r="1688" spans="1:3" x14ac:dyDescent="0.3">
      <c r="A1688" s="1">
        <v>45939</v>
      </c>
      <c r="B1688" s="2" t="s">
        <v>9</v>
      </c>
      <c r="C1688">
        <v>0.81564999999999999</v>
      </c>
    </row>
    <row r="1689" spans="1:3" x14ac:dyDescent="0.3">
      <c r="A1689" s="1">
        <v>45939</v>
      </c>
      <c r="B1689" s="2" t="s">
        <v>11</v>
      </c>
      <c r="C1689">
        <v>121705.58590000001</v>
      </c>
    </row>
    <row r="1690" spans="1:3" x14ac:dyDescent="0.3">
      <c r="A1690" s="1">
        <v>45939</v>
      </c>
      <c r="B1690" s="2" t="s">
        <v>13</v>
      </c>
      <c r="C1690">
        <v>220.99107000000001</v>
      </c>
    </row>
    <row r="1691" spans="1:3" x14ac:dyDescent="0.3">
      <c r="A1691" s="1">
        <v>45939</v>
      </c>
      <c r="B1691" s="2" t="s">
        <v>15</v>
      </c>
      <c r="C1691">
        <v>2.80491</v>
      </c>
    </row>
    <row r="1692" spans="1:3" x14ac:dyDescent="0.3">
      <c r="A1692" s="1">
        <v>45939</v>
      </c>
      <c r="B1692" s="2" t="s">
        <v>17</v>
      </c>
      <c r="C1692">
        <v>4369.1435600000004</v>
      </c>
    </row>
    <row r="1693" spans="1:3" x14ac:dyDescent="0.3">
      <c r="A1693" s="1">
        <v>45939</v>
      </c>
      <c r="B1693" s="2" t="s">
        <v>19</v>
      </c>
      <c r="C1693">
        <v>1255.8906300000001</v>
      </c>
    </row>
    <row r="1694" spans="1:3" x14ac:dyDescent="0.3">
      <c r="A1694" s="1">
        <v>45940</v>
      </c>
      <c r="B1694" s="2" t="s">
        <v>9</v>
      </c>
      <c r="C1694">
        <v>0.63483999999999996</v>
      </c>
    </row>
    <row r="1695" spans="1:3" x14ac:dyDescent="0.3">
      <c r="A1695" s="1">
        <v>45940</v>
      </c>
      <c r="B1695" s="2" t="s">
        <v>11</v>
      </c>
      <c r="C1695">
        <v>113214.36719999999</v>
      </c>
    </row>
    <row r="1696" spans="1:3" x14ac:dyDescent="0.3">
      <c r="A1696" s="1">
        <v>45940</v>
      </c>
      <c r="B1696" s="2" t="s">
        <v>13</v>
      </c>
      <c r="C1696">
        <v>188.66386</v>
      </c>
    </row>
    <row r="1697" spans="1:3" x14ac:dyDescent="0.3">
      <c r="A1697" s="1">
        <v>45940</v>
      </c>
      <c r="B1697" s="2" t="s">
        <v>15</v>
      </c>
      <c r="C1697">
        <v>2.3586</v>
      </c>
    </row>
    <row r="1698" spans="1:3" x14ac:dyDescent="0.3">
      <c r="A1698" s="1">
        <v>45940</v>
      </c>
      <c r="B1698" s="2" t="s">
        <v>17</v>
      </c>
      <c r="C1698">
        <v>3843.0087899999999</v>
      </c>
    </row>
    <row r="1699" spans="1:3" x14ac:dyDescent="0.3">
      <c r="A1699" s="1">
        <v>45940</v>
      </c>
      <c r="B1699" s="2" t="s">
        <v>19</v>
      </c>
      <c r="C1699">
        <v>1106.8985600000001</v>
      </c>
    </row>
    <row r="1700" spans="1:3" x14ac:dyDescent="0.3">
      <c r="A1700" s="1">
        <v>45941</v>
      </c>
      <c r="B1700" s="2" t="s">
        <v>9</v>
      </c>
      <c r="C1700">
        <v>0.63217999999999996</v>
      </c>
    </row>
    <row r="1701" spans="1:3" x14ac:dyDescent="0.3">
      <c r="A1701" s="1">
        <v>45941</v>
      </c>
      <c r="B1701" s="2" t="s">
        <v>11</v>
      </c>
      <c r="C1701">
        <v>110807.88280000001</v>
      </c>
    </row>
    <row r="1702" spans="1:3" x14ac:dyDescent="0.3">
      <c r="A1702" s="1">
        <v>45941</v>
      </c>
      <c r="B1702" s="2" t="s">
        <v>13</v>
      </c>
      <c r="C1702">
        <v>178.05417</v>
      </c>
    </row>
    <row r="1703" spans="1:3" x14ac:dyDescent="0.3">
      <c r="A1703" s="1">
        <v>45941</v>
      </c>
      <c r="B1703" s="2" t="s">
        <v>15</v>
      </c>
      <c r="C1703">
        <v>2.38598</v>
      </c>
    </row>
    <row r="1704" spans="1:3" x14ac:dyDescent="0.3">
      <c r="A1704" s="1">
        <v>45941</v>
      </c>
      <c r="B1704" s="2" t="s">
        <v>17</v>
      </c>
      <c r="C1704">
        <v>3750.61157</v>
      </c>
    </row>
    <row r="1705" spans="1:3" x14ac:dyDescent="0.3">
      <c r="A1705" s="1">
        <v>45941</v>
      </c>
      <c r="B1705" s="2" t="s">
        <v>19</v>
      </c>
      <c r="C1705">
        <v>1137.1993399999999</v>
      </c>
    </row>
    <row r="1706" spans="1:3" x14ac:dyDescent="0.3">
      <c r="A1706" s="1">
        <v>45942</v>
      </c>
      <c r="B1706" s="2" t="s">
        <v>9</v>
      </c>
      <c r="C1706">
        <v>0.70150999999999997</v>
      </c>
    </row>
    <row r="1707" spans="1:3" x14ac:dyDescent="0.3">
      <c r="A1707" s="1">
        <v>45942</v>
      </c>
      <c r="B1707" s="2" t="s">
        <v>11</v>
      </c>
      <c r="C1707">
        <v>115169.7656</v>
      </c>
    </row>
    <row r="1708" spans="1:3" x14ac:dyDescent="0.3">
      <c r="A1708" s="1">
        <v>45942</v>
      </c>
      <c r="B1708" s="2" t="s">
        <v>13</v>
      </c>
      <c r="C1708">
        <v>197.50854000000001</v>
      </c>
    </row>
    <row r="1709" spans="1:3" x14ac:dyDescent="0.3">
      <c r="A1709" s="1">
        <v>45942</v>
      </c>
      <c r="B1709" s="2" t="s">
        <v>15</v>
      </c>
      <c r="C1709">
        <v>2.5349599999999999</v>
      </c>
    </row>
    <row r="1710" spans="1:3" x14ac:dyDescent="0.3">
      <c r="A1710" s="1">
        <v>45942</v>
      </c>
      <c r="B1710" s="2" t="s">
        <v>17</v>
      </c>
      <c r="C1710">
        <v>4164.4277300000003</v>
      </c>
    </row>
    <row r="1711" spans="1:3" x14ac:dyDescent="0.3">
      <c r="A1711" s="1">
        <v>45942</v>
      </c>
      <c r="B1711" s="2" t="s">
        <v>19</v>
      </c>
      <c r="C1711">
        <v>1303.1173100000001</v>
      </c>
    </row>
    <row r="1712" spans="1:3" x14ac:dyDescent="0.3">
      <c r="A1712" s="1">
        <v>45943</v>
      </c>
      <c r="B1712" s="2" t="s">
        <v>9</v>
      </c>
      <c r="C1712">
        <v>0.72926000000000002</v>
      </c>
    </row>
    <row r="1713" spans="1:3" x14ac:dyDescent="0.3">
      <c r="A1713" s="1">
        <v>45943</v>
      </c>
      <c r="B1713" s="2" t="s">
        <v>11</v>
      </c>
      <c r="C1713">
        <v>115271.0781</v>
      </c>
    </row>
    <row r="1714" spans="1:3" x14ac:dyDescent="0.3">
      <c r="A1714" s="1">
        <v>45943</v>
      </c>
      <c r="B1714" s="2" t="s">
        <v>13</v>
      </c>
      <c r="C1714">
        <v>208.36729</v>
      </c>
    </row>
    <row r="1715" spans="1:3" x14ac:dyDescent="0.3">
      <c r="A1715" s="1">
        <v>45943</v>
      </c>
      <c r="B1715" s="2" t="s">
        <v>15</v>
      </c>
      <c r="C1715">
        <v>2.6065</v>
      </c>
    </row>
    <row r="1716" spans="1:3" x14ac:dyDescent="0.3">
      <c r="A1716" s="1">
        <v>45943</v>
      </c>
      <c r="B1716" s="2" t="s">
        <v>17</v>
      </c>
      <c r="C1716">
        <v>4245.4677700000002</v>
      </c>
    </row>
    <row r="1717" spans="1:3" x14ac:dyDescent="0.3">
      <c r="A1717" s="1">
        <v>45943</v>
      </c>
      <c r="B1717" s="2" t="s">
        <v>19</v>
      </c>
      <c r="C1717">
        <v>1293.47327</v>
      </c>
    </row>
    <row r="1718" spans="1:3" x14ac:dyDescent="0.3">
      <c r="A1718" s="1">
        <v>45944</v>
      </c>
      <c r="B1718" s="2" t="s">
        <v>9</v>
      </c>
      <c r="C1718">
        <v>0.69969000000000003</v>
      </c>
    </row>
    <row r="1719" spans="1:3" x14ac:dyDescent="0.3">
      <c r="A1719" s="1">
        <v>45944</v>
      </c>
      <c r="B1719" s="2" t="s">
        <v>11</v>
      </c>
      <c r="C1719">
        <v>113118.66409999999</v>
      </c>
    </row>
    <row r="1720" spans="1:3" x14ac:dyDescent="0.3">
      <c r="A1720" s="1">
        <v>45944</v>
      </c>
      <c r="B1720" s="2" t="s">
        <v>13</v>
      </c>
      <c r="C1720">
        <v>202.46034</v>
      </c>
    </row>
    <row r="1721" spans="1:3" x14ac:dyDescent="0.3">
      <c r="A1721" s="1">
        <v>45944</v>
      </c>
      <c r="B1721" s="2" t="s">
        <v>15</v>
      </c>
      <c r="C1721">
        <v>2.5056600000000002</v>
      </c>
    </row>
    <row r="1722" spans="1:3" x14ac:dyDescent="0.3">
      <c r="A1722" s="1">
        <v>45944</v>
      </c>
      <c r="B1722" s="2" t="s">
        <v>17</v>
      </c>
      <c r="C1722">
        <v>4125.4121100000002</v>
      </c>
    </row>
    <row r="1723" spans="1:3" x14ac:dyDescent="0.3">
      <c r="A1723" s="1">
        <v>45944</v>
      </c>
      <c r="B1723" s="2" t="s">
        <v>19</v>
      </c>
      <c r="C1723">
        <v>1211.05115</v>
      </c>
    </row>
    <row r="1724" spans="1:3" x14ac:dyDescent="0.3">
      <c r="A1724" s="1">
        <v>45945</v>
      </c>
      <c r="B1724" s="2" t="s">
        <v>9</v>
      </c>
      <c r="C1724">
        <v>0.66879999999999995</v>
      </c>
    </row>
    <row r="1725" spans="1:3" x14ac:dyDescent="0.3">
      <c r="A1725" s="1">
        <v>45945</v>
      </c>
      <c r="B1725" s="2" t="s">
        <v>11</v>
      </c>
      <c r="C1725">
        <v>110783.16409999999</v>
      </c>
    </row>
    <row r="1726" spans="1:3" x14ac:dyDescent="0.3">
      <c r="A1726" s="1">
        <v>45945</v>
      </c>
      <c r="B1726" s="2" t="s">
        <v>13</v>
      </c>
      <c r="C1726">
        <v>194.02187000000001</v>
      </c>
    </row>
    <row r="1727" spans="1:3" x14ac:dyDescent="0.3">
      <c r="A1727" s="1">
        <v>45945</v>
      </c>
      <c r="B1727" s="2" t="s">
        <v>15</v>
      </c>
      <c r="C1727">
        <v>2.4126699999999999</v>
      </c>
    </row>
    <row r="1728" spans="1:3" x14ac:dyDescent="0.3">
      <c r="A1728" s="1">
        <v>45945</v>
      </c>
      <c r="B1728" s="2" t="s">
        <v>17</v>
      </c>
      <c r="C1728">
        <v>3987.4594699999998</v>
      </c>
    </row>
    <row r="1729" spans="1:3" x14ac:dyDescent="0.3">
      <c r="A1729" s="1">
        <v>45945</v>
      </c>
      <c r="B1729" s="2" t="s">
        <v>19</v>
      </c>
      <c r="C1729">
        <v>1162.6917699999999</v>
      </c>
    </row>
    <row r="1730" spans="1:3" x14ac:dyDescent="0.3">
      <c r="A1730" s="1">
        <v>45946</v>
      </c>
      <c r="B1730" s="2" t="s">
        <v>9</v>
      </c>
      <c r="C1730">
        <v>0.64493999999999996</v>
      </c>
    </row>
    <row r="1731" spans="1:3" x14ac:dyDescent="0.3">
      <c r="A1731" s="1">
        <v>45946</v>
      </c>
      <c r="B1731" s="2" t="s">
        <v>11</v>
      </c>
      <c r="C1731">
        <v>108186.03909999999</v>
      </c>
    </row>
    <row r="1732" spans="1:3" x14ac:dyDescent="0.3">
      <c r="A1732" s="1">
        <v>45946</v>
      </c>
      <c r="B1732" s="2" t="s">
        <v>13</v>
      </c>
      <c r="C1732">
        <v>184.68895000000001</v>
      </c>
    </row>
    <row r="1733" spans="1:3" x14ac:dyDescent="0.3">
      <c r="A1733" s="1">
        <v>45946</v>
      </c>
      <c r="B1733" s="2" t="s">
        <v>15</v>
      </c>
      <c r="C1733">
        <v>2.3290700000000002</v>
      </c>
    </row>
    <row r="1734" spans="1:3" x14ac:dyDescent="0.3">
      <c r="A1734" s="1">
        <v>45946</v>
      </c>
      <c r="B1734" s="2" t="s">
        <v>17</v>
      </c>
      <c r="C1734">
        <v>3894.7543999999998</v>
      </c>
    </row>
    <row r="1735" spans="1:3" x14ac:dyDescent="0.3">
      <c r="A1735" s="1">
        <v>45946</v>
      </c>
      <c r="B1735" s="2" t="s">
        <v>19</v>
      </c>
      <c r="C1735">
        <v>1145.8253199999999</v>
      </c>
    </row>
    <row r="1736" spans="1:3" x14ac:dyDescent="0.3">
      <c r="A1736" s="1">
        <v>45947</v>
      </c>
      <c r="B1736" s="2" t="s">
        <v>9</v>
      </c>
      <c r="C1736">
        <v>0.62483999999999995</v>
      </c>
    </row>
    <row r="1737" spans="1:3" x14ac:dyDescent="0.3">
      <c r="A1737" s="1">
        <v>45947</v>
      </c>
      <c r="B1737" s="2" t="s">
        <v>11</v>
      </c>
      <c r="C1737">
        <v>106467.78909999999</v>
      </c>
    </row>
    <row r="1738" spans="1:3" x14ac:dyDescent="0.3">
      <c r="A1738" s="1">
        <v>45947</v>
      </c>
      <c r="B1738" s="2" t="s">
        <v>13</v>
      </c>
      <c r="C1738">
        <v>182.03478999999999</v>
      </c>
    </row>
    <row r="1739" spans="1:3" x14ac:dyDescent="0.3">
      <c r="A1739" s="1">
        <v>45947</v>
      </c>
      <c r="B1739" s="2" t="s">
        <v>15</v>
      </c>
      <c r="C1739">
        <v>2.2942399999999998</v>
      </c>
    </row>
    <row r="1740" spans="1:3" x14ac:dyDescent="0.3">
      <c r="A1740" s="1">
        <v>45947</v>
      </c>
      <c r="B1740" s="2" t="s">
        <v>17</v>
      </c>
      <c r="C1740">
        <v>3832.5588400000001</v>
      </c>
    </row>
    <row r="1741" spans="1:3" x14ac:dyDescent="0.3">
      <c r="A1741" s="1">
        <v>45947</v>
      </c>
      <c r="B1741" s="2" t="s">
        <v>19</v>
      </c>
      <c r="C1741">
        <v>1071.9630099999999</v>
      </c>
    </row>
    <row r="1742" spans="1:3" x14ac:dyDescent="0.3">
      <c r="A1742" s="1">
        <v>45948</v>
      </c>
      <c r="B1742" s="2" t="s">
        <v>9</v>
      </c>
      <c r="C1742">
        <v>0.63446000000000002</v>
      </c>
    </row>
    <row r="1743" spans="1:3" x14ac:dyDescent="0.3">
      <c r="A1743" s="1">
        <v>45948</v>
      </c>
      <c r="B1743" s="2" t="s">
        <v>11</v>
      </c>
      <c r="C1743">
        <v>107198.2656</v>
      </c>
    </row>
    <row r="1744" spans="1:3" x14ac:dyDescent="0.3">
      <c r="A1744" s="1">
        <v>45948</v>
      </c>
      <c r="B1744" s="2" t="s">
        <v>13</v>
      </c>
      <c r="C1744">
        <v>187.66029</v>
      </c>
    </row>
    <row r="1745" spans="1:3" x14ac:dyDescent="0.3">
      <c r="A1745" s="1">
        <v>45948</v>
      </c>
      <c r="B1745" s="2" t="s">
        <v>15</v>
      </c>
      <c r="C1745">
        <v>2.3605100000000001</v>
      </c>
    </row>
    <row r="1746" spans="1:3" x14ac:dyDescent="0.3">
      <c r="A1746" s="1">
        <v>45948</v>
      </c>
      <c r="B1746" s="2" t="s">
        <v>17</v>
      </c>
      <c r="C1746">
        <v>3890.3461900000002</v>
      </c>
    </row>
    <row r="1747" spans="1:3" x14ac:dyDescent="0.3">
      <c r="A1747" s="1">
        <v>45948</v>
      </c>
      <c r="B1747" s="2" t="s">
        <v>19</v>
      </c>
      <c r="C1747">
        <v>1093.15247</v>
      </c>
    </row>
    <row r="1748" spans="1:3" x14ac:dyDescent="0.3">
      <c r="A1748" s="1">
        <v>45949</v>
      </c>
      <c r="B1748" s="2" t="s">
        <v>9</v>
      </c>
      <c r="C1748">
        <v>0.65254999999999996</v>
      </c>
    </row>
    <row r="1749" spans="1:3" x14ac:dyDescent="0.3">
      <c r="A1749" s="1">
        <v>45949</v>
      </c>
      <c r="B1749" s="2" t="s">
        <v>11</v>
      </c>
      <c r="C1749">
        <v>108666.71090000001</v>
      </c>
    </row>
    <row r="1750" spans="1:3" x14ac:dyDescent="0.3">
      <c r="A1750" s="1">
        <v>45949</v>
      </c>
      <c r="B1750" s="2" t="s">
        <v>13</v>
      </c>
      <c r="C1750">
        <v>187.79820000000001</v>
      </c>
    </row>
    <row r="1751" spans="1:3" x14ac:dyDescent="0.3">
      <c r="A1751" s="1">
        <v>45949</v>
      </c>
      <c r="B1751" s="2" t="s">
        <v>15</v>
      </c>
      <c r="C1751">
        <v>2.3906299999999998</v>
      </c>
    </row>
    <row r="1752" spans="1:3" x14ac:dyDescent="0.3">
      <c r="A1752" s="1">
        <v>45949</v>
      </c>
      <c r="B1752" s="2" t="s">
        <v>17</v>
      </c>
      <c r="C1752">
        <v>3984.64966</v>
      </c>
    </row>
    <row r="1753" spans="1:3" x14ac:dyDescent="0.3">
      <c r="A1753" s="1">
        <v>45949</v>
      </c>
      <c r="B1753" s="2" t="s">
        <v>19</v>
      </c>
      <c r="C1753">
        <v>1109.6800499999999</v>
      </c>
    </row>
    <row r="1754" spans="1:3" x14ac:dyDescent="0.3">
      <c r="A1754" s="1">
        <v>45950</v>
      </c>
      <c r="B1754" s="2" t="s">
        <v>9</v>
      </c>
      <c r="C1754">
        <v>0.66325000000000001</v>
      </c>
    </row>
    <row r="1755" spans="1:3" x14ac:dyDescent="0.3">
      <c r="A1755" s="1">
        <v>45950</v>
      </c>
      <c r="B1755" s="2" t="s">
        <v>11</v>
      </c>
      <c r="C1755">
        <v>110588.92969999999</v>
      </c>
    </row>
    <row r="1756" spans="1:3" x14ac:dyDescent="0.3">
      <c r="A1756" s="1">
        <v>45950</v>
      </c>
      <c r="B1756" s="2" t="s">
        <v>13</v>
      </c>
      <c r="C1756">
        <v>189.75067000000001</v>
      </c>
    </row>
    <row r="1757" spans="1:3" x14ac:dyDescent="0.3">
      <c r="A1757" s="1">
        <v>45950</v>
      </c>
      <c r="B1757" s="2" t="s">
        <v>15</v>
      </c>
      <c r="C1757">
        <v>2.49342</v>
      </c>
    </row>
    <row r="1758" spans="1:3" x14ac:dyDescent="0.3">
      <c r="A1758" s="1">
        <v>45950</v>
      </c>
      <c r="B1758" s="2" t="s">
        <v>17</v>
      </c>
      <c r="C1758">
        <v>3980.7602499999998</v>
      </c>
    </row>
    <row r="1759" spans="1:3" x14ac:dyDescent="0.3">
      <c r="A1759" s="1">
        <v>45950</v>
      </c>
      <c r="B1759" s="2" t="s">
        <v>19</v>
      </c>
      <c r="C1759">
        <v>1101.0616500000001</v>
      </c>
    </row>
    <row r="1760" spans="1:3" x14ac:dyDescent="0.3">
      <c r="A1760" s="1">
        <v>45951</v>
      </c>
      <c r="B1760" s="2" t="s">
        <v>9</v>
      </c>
      <c r="C1760">
        <v>0.64290999999999998</v>
      </c>
    </row>
    <row r="1761" spans="1:3" x14ac:dyDescent="0.3">
      <c r="A1761" s="1">
        <v>45951</v>
      </c>
      <c r="B1761" s="2" t="s">
        <v>11</v>
      </c>
      <c r="C1761">
        <v>108476.8906</v>
      </c>
    </row>
    <row r="1762" spans="1:3" x14ac:dyDescent="0.3">
      <c r="A1762" s="1">
        <v>45951</v>
      </c>
      <c r="B1762" s="2" t="s">
        <v>13</v>
      </c>
      <c r="C1762">
        <v>185.66628</v>
      </c>
    </row>
    <row r="1763" spans="1:3" x14ac:dyDescent="0.3">
      <c r="A1763" s="1">
        <v>45951</v>
      </c>
      <c r="B1763" s="2" t="s">
        <v>15</v>
      </c>
      <c r="C1763">
        <v>2.4242699999999999</v>
      </c>
    </row>
    <row r="1764" spans="1:3" x14ac:dyDescent="0.3">
      <c r="A1764" s="1">
        <v>45951</v>
      </c>
      <c r="B1764" s="2" t="s">
        <v>17</v>
      </c>
      <c r="C1764">
        <v>3876.7641600000002</v>
      </c>
    </row>
    <row r="1765" spans="1:3" x14ac:dyDescent="0.3">
      <c r="A1765" s="1">
        <v>45951</v>
      </c>
      <c r="B1765" s="2" t="s">
        <v>19</v>
      </c>
      <c r="C1765">
        <v>1057.4404300000001</v>
      </c>
    </row>
    <row r="1766" spans="1:3" x14ac:dyDescent="0.3">
      <c r="A1766" s="1">
        <v>45952</v>
      </c>
      <c r="B1766" s="2" t="s">
        <v>9</v>
      </c>
      <c r="C1766">
        <v>0.62397000000000002</v>
      </c>
    </row>
    <row r="1767" spans="1:3" x14ac:dyDescent="0.3">
      <c r="A1767" s="1">
        <v>45952</v>
      </c>
      <c r="B1767" s="2" t="s">
        <v>11</v>
      </c>
      <c r="C1767">
        <v>107688.58590000001</v>
      </c>
    </row>
    <row r="1768" spans="1:3" x14ac:dyDescent="0.3">
      <c r="A1768" s="1">
        <v>45952</v>
      </c>
      <c r="B1768" s="2" t="s">
        <v>13</v>
      </c>
      <c r="C1768">
        <v>180.14813000000001</v>
      </c>
    </row>
    <row r="1769" spans="1:3" x14ac:dyDescent="0.3">
      <c r="A1769" s="1">
        <v>45952</v>
      </c>
      <c r="B1769" s="2" t="s">
        <v>15</v>
      </c>
      <c r="C1769">
        <v>2.3638599999999999</v>
      </c>
    </row>
    <row r="1770" spans="1:3" x14ac:dyDescent="0.3">
      <c r="A1770" s="1">
        <v>45952</v>
      </c>
      <c r="B1770" s="2" t="s">
        <v>17</v>
      </c>
      <c r="C1770">
        <v>3808.1223100000002</v>
      </c>
    </row>
    <row r="1771" spans="1:3" x14ac:dyDescent="0.3">
      <c r="A1771" s="1">
        <v>45952</v>
      </c>
      <c r="B1771" s="2" t="s">
        <v>19</v>
      </c>
      <c r="C1771">
        <v>1072.0479700000001</v>
      </c>
    </row>
    <row r="1772" spans="1:3" x14ac:dyDescent="0.3">
      <c r="A1772" s="1">
        <v>45953</v>
      </c>
      <c r="B1772" s="2" t="s">
        <v>9</v>
      </c>
      <c r="C1772">
        <v>0.64283999999999997</v>
      </c>
    </row>
    <row r="1773" spans="1:3" x14ac:dyDescent="0.3">
      <c r="A1773" s="1">
        <v>45953</v>
      </c>
      <c r="B1773" s="2" t="s">
        <v>11</v>
      </c>
      <c r="C1773">
        <v>110069.72659999999</v>
      </c>
    </row>
    <row r="1774" spans="1:3" x14ac:dyDescent="0.3">
      <c r="A1774" s="1">
        <v>45953</v>
      </c>
      <c r="B1774" s="2" t="s">
        <v>13</v>
      </c>
      <c r="C1774">
        <v>191.38828000000001</v>
      </c>
    </row>
    <row r="1775" spans="1:3" x14ac:dyDescent="0.3">
      <c r="A1775" s="1">
        <v>45953</v>
      </c>
      <c r="B1775" s="2" t="s">
        <v>15</v>
      </c>
      <c r="C1775">
        <v>2.3951500000000001</v>
      </c>
    </row>
    <row r="1776" spans="1:3" x14ac:dyDescent="0.3">
      <c r="A1776" s="1">
        <v>45953</v>
      </c>
      <c r="B1776" s="2" t="s">
        <v>17</v>
      </c>
      <c r="C1776">
        <v>3856.02637</v>
      </c>
    </row>
    <row r="1777" spans="1:3" x14ac:dyDescent="0.3">
      <c r="A1777" s="1">
        <v>45953</v>
      </c>
      <c r="B1777" s="2" t="s">
        <v>19</v>
      </c>
      <c r="C1777">
        <v>1127.5730000000001</v>
      </c>
    </row>
    <row r="1778" spans="1:3" x14ac:dyDescent="0.3">
      <c r="A1778" s="1">
        <v>45954</v>
      </c>
      <c r="B1778" s="2" t="s">
        <v>9</v>
      </c>
      <c r="C1778">
        <v>0.65588999999999997</v>
      </c>
    </row>
    <row r="1779" spans="1:3" x14ac:dyDescent="0.3">
      <c r="A1779" s="1">
        <v>45954</v>
      </c>
      <c r="B1779" s="2" t="s">
        <v>11</v>
      </c>
      <c r="C1779">
        <v>111033.9219</v>
      </c>
    </row>
    <row r="1780" spans="1:3" x14ac:dyDescent="0.3">
      <c r="A1780" s="1">
        <v>45954</v>
      </c>
      <c r="B1780" s="2" t="s">
        <v>13</v>
      </c>
      <c r="C1780">
        <v>193.56022999999999</v>
      </c>
    </row>
    <row r="1781" spans="1:3" x14ac:dyDescent="0.3">
      <c r="A1781" s="1">
        <v>45954</v>
      </c>
      <c r="B1781" s="2" t="s">
        <v>15</v>
      </c>
      <c r="C1781">
        <v>2.5074700000000001</v>
      </c>
    </row>
    <row r="1782" spans="1:3" x14ac:dyDescent="0.3">
      <c r="A1782" s="1">
        <v>45954</v>
      </c>
      <c r="B1782" s="2" t="s">
        <v>17</v>
      </c>
      <c r="C1782">
        <v>3934.56738</v>
      </c>
    </row>
    <row r="1783" spans="1:3" x14ac:dyDescent="0.3">
      <c r="A1783" s="1">
        <v>45954</v>
      </c>
      <c r="B1783" s="2" t="s">
        <v>19</v>
      </c>
      <c r="C1783">
        <v>1109.14868</v>
      </c>
    </row>
    <row r="1784" spans="1:3" x14ac:dyDescent="0.3">
      <c r="A1784" s="1">
        <v>45955</v>
      </c>
      <c r="B1784" s="2" t="s">
        <v>9</v>
      </c>
      <c r="C1784">
        <v>0.65466000000000002</v>
      </c>
    </row>
    <row r="1785" spans="1:3" x14ac:dyDescent="0.3">
      <c r="A1785" s="1">
        <v>45955</v>
      </c>
      <c r="B1785" s="2" t="s">
        <v>11</v>
      </c>
      <c r="C1785">
        <v>111641.72659999999</v>
      </c>
    </row>
    <row r="1786" spans="1:3" x14ac:dyDescent="0.3">
      <c r="A1786" s="1">
        <v>45955</v>
      </c>
      <c r="B1786" s="2" t="s">
        <v>13</v>
      </c>
      <c r="C1786">
        <v>194.04037</v>
      </c>
    </row>
    <row r="1787" spans="1:3" x14ac:dyDescent="0.3">
      <c r="A1787" s="1">
        <v>45955</v>
      </c>
      <c r="B1787" s="2" t="s">
        <v>15</v>
      </c>
      <c r="C1787">
        <v>2.5964499999999999</v>
      </c>
    </row>
    <row r="1788" spans="1:3" x14ac:dyDescent="0.3">
      <c r="A1788" s="1">
        <v>45955</v>
      </c>
      <c r="B1788" s="2" t="s">
        <v>17</v>
      </c>
      <c r="C1788">
        <v>3953.4709499999999</v>
      </c>
    </row>
    <row r="1789" spans="1:3" x14ac:dyDescent="0.3">
      <c r="A1789" s="1">
        <v>45955</v>
      </c>
      <c r="B1789" s="2" t="s">
        <v>19</v>
      </c>
      <c r="C1789">
        <v>1116.7412099999999</v>
      </c>
    </row>
    <row r="1790" spans="1:3" x14ac:dyDescent="0.3">
      <c r="A1790" s="1">
        <v>45956</v>
      </c>
      <c r="B1790" s="2" t="s">
        <v>9</v>
      </c>
      <c r="C1790">
        <v>0.68106</v>
      </c>
    </row>
    <row r="1791" spans="1:3" x14ac:dyDescent="0.3">
      <c r="A1791" s="1">
        <v>45956</v>
      </c>
      <c r="B1791" s="2" t="s">
        <v>11</v>
      </c>
      <c r="C1791">
        <v>114472.44530000001</v>
      </c>
    </row>
    <row r="1792" spans="1:3" x14ac:dyDescent="0.3">
      <c r="A1792" s="1">
        <v>45956</v>
      </c>
      <c r="B1792" s="2" t="s">
        <v>13</v>
      </c>
      <c r="C1792">
        <v>200.02862999999999</v>
      </c>
    </row>
    <row r="1793" spans="1:3" x14ac:dyDescent="0.3">
      <c r="A1793" s="1">
        <v>45956</v>
      </c>
      <c r="B1793" s="2" t="s">
        <v>15</v>
      </c>
      <c r="C1793">
        <v>2.6451500000000001</v>
      </c>
    </row>
    <row r="1794" spans="1:3" x14ac:dyDescent="0.3">
      <c r="A1794" s="1">
        <v>45956</v>
      </c>
      <c r="B1794" s="2" t="s">
        <v>17</v>
      </c>
      <c r="C1794">
        <v>4157.9892600000003</v>
      </c>
    </row>
    <row r="1795" spans="1:3" x14ac:dyDescent="0.3">
      <c r="A1795" s="1">
        <v>45956</v>
      </c>
      <c r="B1795" s="2" t="s">
        <v>19</v>
      </c>
      <c r="C1795">
        <v>1137.58691</v>
      </c>
    </row>
    <row r="1796" spans="1:3" x14ac:dyDescent="0.3">
      <c r="A1796" s="1">
        <v>45957</v>
      </c>
      <c r="B1796" s="2" t="s">
        <v>9</v>
      </c>
      <c r="C1796">
        <v>0.66737000000000002</v>
      </c>
    </row>
    <row r="1797" spans="1:3" x14ac:dyDescent="0.3">
      <c r="A1797" s="1">
        <v>45957</v>
      </c>
      <c r="B1797" s="2" t="s">
        <v>11</v>
      </c>
      <c r="C1797">
        <v>114119.3281</v>
      </c>
    </row>
    <row r="1798" spans="1:3" x14ac:dyDescent="0.3">
      <c r="A1798" s="1">
        <v>45957</v>
      </c>
      <c r="B1798" s="2" t="s">
        <v>13</v>
      </c>
      <c r="C1798">
        <v>198.74171000000001</v>
      </c>
    </row>
    <row r="1799" spans="1:3" x14ac:dyDescent="0.3">
      <c r="A1799" s="1">
        <v>45957</v>
      </c>
      <c r="B1799" s="2" t="s">
        <v>15</v>
      </c>
      <c r="C1799">
        <v>2.63463</v>
      </c>
    </row>
    <row r="1800" spans="1:3" x14ac:dyDescent="0.3">
      <c r="A1800" s="1">
        <v>45957</v>
      </c>
      <c r="B1800" s="2" t="s">
        <v>17</v>
      </c>
      <c r="C1800">
        <v>4120.1220700000003</v>
      </c>
    </row>
    <row r="1801" spans="1:3" x14ac:dyDescent="0.3">
      <c r="A1801" s="1">
        <v>45957</v>
      </c>
      <c r="B1801" s="2" t="s">
        <v>19</v>
      </c>
      <c r="C1801">
        <v>1139.7459699999999</v>
      </c>
    </row>
    <row r="1802" spans="1:3" x14ac:dyDescent="0.3">
      <c r="A1802" s="1">
        <v>45958</v>
      </c>
      <c r="B1802" s="2" t="s">
        <v>9</v>
      </c>
      <c r="C1802">
        <v>0.64627000000000001</v>
      </c>
    </row>
    <row r="1803" spans="1:3" x14ac:dyDescent="0.3">
      <c r="A1803" s="1">
        <v>45958</v>
      </c>
      <c r="B1803" s="2" t="s">
        <v>11</v>
      </c>
      <c r="C1803">
        <v>112956.16409999999</v>
      </c>
    </row>
    <row r="1804" spans="1:3" x14ac:dyDescent="0.3">
      <c r="A1804" s="1">
        <v>45958</v>
      </c>
      <c r="B1804" s="2" t="s">
        <v>13</v>
      </c>
      <c r="C1804">
        <v>194.44279</v>
      </c>
    </row>
    <row r="1805" spans="1:3" x14ac:dyDescent="0.3">
      <c r="A1805" s="1">
        <v>45958</v>
      </c>
      <c r="B1805" s="2" t="s">
        <v>15</v>
      </c>
      <c r="C1805">
        <v>2.6059800000000002</v>
      </c>
    </row>
    <row r="1806" spans="1:3" x14ac:dyDescent="0.3">
      <c r="A1806" s="1">
        <v>45958</v>
      </c>
      <c r="B1806" s="2" t="s">
        <v>17</v>
      </c>
      <c r="C1806">
        <v>3982.2624500000002</v>
      </c>
    </row>
    <row r="1807" spans="1:3" x14ac:dyDescent="0.3">
      <c r="A1807" s="1">
        <v>45958</v>
      </c>
      <c r="B1807" s="2" t="s">
        <v>19</v>
      </c>
      <c r="C1807">
        <v>1103.1447800000001</v>
      </c>
    </row>
    <row r="1808" spans="1:3" x14ac:dyDescent="0.3">
      <c r="A1808" s="1">
        <v>45959</v>
      </c>
      <c r="B1808" s="2" t="s">
        <v>9</v>
      </c>
      <c r="C1808">
        <v>0.64015999999999995</v>
      </c>
    </row>
    <row r="1809" spans="1:3" x14ac:dyDescent="0.3">
      <c r="A1809" s="1">
        <v>45959</v>
      </c>
      <c r="B1809" s="2" t="s">
        <v>11</v>
      </c>
      <c r="C1809">
        <v>110055.30469999999</v>
      </c>
    </row>
    <row r="1810" spans="1:3" x14ac:dyDescent="0.3">
      <c r="A1810" s="1">
        <v>45959</v>
      </c>
      <c r="B1810" s="2" t="s">
        <v>13</v>
      </c>
      <c r="C1810">
        <v>194.41086999999999</v>
      </c>
    </row>
    <row r="1811" spans="1:3" x14ac:dyDescent="0.3">
      <c r="A1811" s="1">
        <v>45959</v>
      </c>
      <c r="B1811" s="2" t="s">
        <v>15</v>
      </c>
      <c r="C1811">
        <v>2.5520200000000002</v>
      </c>
    </row>
    <row r="1812" spans="1:3" x14ac:dyDescent="0.3">
      <c r="A1812" s="1">
        <v>45959</v>
      </c>
      <c r="B1812" s="2" t="s">
        <v>17</v>
      </c>
      <c r="C1812">
        <v>3903.3530300000002</v>
      </c>
    </row>
    <row r="1813" spans="1:3" x14ac:dyDescent="0.3">
      <c r="A1813" s="1">
        <v>45959</v>
      </c>
      <c r="B1813" s="2" t="s">
        <v>19</v>
      </c>
      <c r="C1813">
        <v>1107.1633300000001</v>
      </c>
    </row>
    <row r="1814" spans="1:3" x14ac:dyDescent="0.3">
      <c r="A1814" s="1">
        <v>45960</v>
      </c>
      <c r="B1814" s="2" t="s">
        <v>9</v>
      </c>
      <c r="C1814">
        <v>0.60111999999999999</v>
      </c>
    </row>
    <row r="1815" spans="1:3" x14ac:dyDescent="0.3">
      <c r="A1815" s="1">
        <v>45960</v>
      </c>
      <c r="B1815" s="2" t="s">
        <v>11</v>
      </c>
      <c r="C1815">
        <v>108305.5469</v>
      </c>
    </row>
    <row r="1816" spans="1:3" x14ac:dyDescent="0.3">
      <c r="A1816" s="1">
        <v>45960</v>
      </c>
      <c r="B1816" s="2" t="s">
        <v>13</v>
      </c>
      <c r="C1816">
        <v>184.62441999999999</v>
      </c>
    </row>
    <row r="1817" spans="1:3" x14ac:dyDescent="0.3">
      <c r="A1817" s="1">
        <v>45960</v>
      </c>
      <c r="B1817" s="2" t="s">
        <v>15</v>
      </c>
      <c r="C1817">
        <v>2.4397099999999998</v>
      </c>
    </row>
    <row r="1818" spans="1:3" x14ac:dyDescent="0.3">
      <c r="A1818" s="1">
        <v>45960</v>
      </c>
      <c r="B1818" s="2" t="s">
        <v>17</v>
      </c>
      <c r="C1818">
        <v>3804.3752399999998</v>
      </c>
    </row>
    <row r="1819" spans="1:3" x14ac:dyDescent="0.3">
      <c r="A1819" s="1">
        <v>45960</v>
      </c>
      <c r="B1819" s="2" t="s">
        <v>19</v>
      </c>
      <c r="C1819">
        <v>1078.6114500000001</v>
      </c>
    </row>
    <row r="1820" spans="1:3" x14ac:dyDescent="0.3">
      <c r="A1820" s="1">
        <v>45961</v>
      </c>
      <c r="B1820" s="2" t="s">
        <v>9</v>
      </c>
      <c r="C1820">
        <v>0.60916999999999999</v>
      </c>
    </row>
    <row r="1821" spans="1:3" x14ac:dyDescent="0.3">
      <c r="A1821" s="1">
        <v>45961</v>
      </c>
      <c r="B1821" s="2" t="s">
        <v>11</v>
      </c>
      <c r="C1821">
        <v>109556.16409999999</v>
      </c>
    </row>
    <row r="1822" spans="1:3" x14ac:dyDescent="0.3">
      <c r="A1822" s="1">
        <v>45961</v>
      </c>
      <c r="B1822" s="2" t="s">
        <v>13</v>
      </c>
      <c r="C1822">
        <v>187.20947000000001</v>
      </c>
    </row>
    <row r="1823" spans="1:3" x14ac:dyDescent="0.3">
      <c r="A1823" s="1">
        <v>45961</v>
      </c>
      <c r="B1823" s="2" t="s">
        <v>15</v>
      </c>
      <c r="C1823">
        <v>2.5087299999999999</v>
      </c>
    </row>
    <row r="1824" spans="1:3" x14ac:dyDescent="0.3">
      <c r="A1824" s="1">
        <v>45961</v>
      </c>
      <c r="B1824" s="2" t="s">
        <v>17</v>
      </c>
      <c r="C1824">
        <v>3847.08032</v>
      </c>
    </row>
    <row r="1825" spans="1:3" x14ac:dyDescent="0.3">
      <c r="A1825" s="1">
        <v>45961</v>
      </c>
      <c r="B1825" s="2" t="s">
        <v>19</v>
      </c>
      <c r="C1825">
        <v>1088.95544</v>
      </c>
    </row>
    <row r="1826" spans="1:3" x14ac:dyDescent="0.3">
      <c r="A1826" s="1">
        <v>45962</v>
      </c>
      <c r="B1826" s="2" t="s">
        <v>9</v>
      </c>
      <c r="C1826">
        <v>0.61219999999999997</v>
      </c>
    </row>
    <row r="1827" spans="1:3" x14ac:dyDescent="0.3">
      <c r="A1827" s="1">
        <v>45962</v>
      </c>
      <c r="B1827" s="2" t="s">
        <v>11</v>
      </c>
      <c r="C1827">
        <v>110064.0156</v>
      </c>
    </row>
    <row r="1828" spans="1:3" x14ac:dyDescent="0.3">
      <c r="A1828" s="1">
        <v>45962</v>
      </c>
      <c r="B1828" s="2" t="s">
        <v>13</v>
      </c>
      <c r="C1828">
        <v>186.38005000000001</v>
      </c>
    </row>
    <row r="1829" spans="1:3" x14ac:dyDescent="0.3">
      <c r="A1829" s="1">
        <v>45962</v>
      </c>
      <c r="B1829" s="2" t="s">
        <v>15</v>
      </c>
      <c r="C1829">
        <v>2.5051700000000001</v>
      </c>
    </row>
    <row r="1830" spans="1:3" x14ac:dyDescent="0.3">
      <c r="A1830" s="1">
        <v>45962</v>
      </c>
      <c r="B1830" s="2" t="s">
        <v>17</v>
      </c>
      <c r="C1830">
        <v>3874.1879899999999</v>
      </c>
    </row>
    <row r="1831" spans="1:3" x14ac:dyDescent="0.3">
      <c r="A1831" s="1">
        <v>45962</v>
      </c>
      <c r="B1831" s="2" t="s">
        <v>19</v>
      </c>
      <c r="C1831">
        <v>1094.6423299999999</v>
      </c>
    </row>
    <row r="1832" spans="1:3" x14ac:dyDescent="0.3">
      <c r="A1832" s="1">
        <v>45963</v>
      </c>
      <c r="B1832" s="2" t="s">
        <v>9</v>
      </c>
      <c r="C1832">
        <v>0.61080000000000001</v>
      </c>
    </row>
    <row r="1833" spans="1:3" x14ac:dyDescent="0.3">
      <c r="A1833" s="1">
        <v>45963</v>
      </c>
      <c r="B1833" s="2" t="s">
        <v>11</v>
      </c>
      <c r="C1833">
        <v>110639.625</v>
      </c>
    </row>
    <row r="1834" spans="1:3" x14ac:dyDescent="0.3">
      <c r="A1834" s="1">
        <v>45963</v>
      </c>
      <c r="B1834" s="2" t="s">
        <v>13</v>
      </c>
      <c r="C1834">
        <v>187.82597000000001</v>
      </c>
    </row>
    <row r="1835" spans="1:3" x14ac:dyDescent="0.3">
      <c r="A1835" s="1">
        <v>45963</v>
      </c>
      <c r="B1835" s="2" t="s">
        <v>15</v>
      </c>
      <c r="C1835">
        <v>2.5290900000000001</v>
      </c>
    </row>
    <row r="1836" spans="1:3" x14ac:dyDescent="0.3">
      <c r="A1836" s="1">
        <v>45963</v>
      </c>
      <c r="B1836" s="2" t="s">
        <v>17</v>
      </c>
      <c r="C1836">
        <v>3911.0632300000002</v>
      </c>
    </row>
    <row r="1837" spans="1:3" x14ac:dyDescent="0.3">
      <c r="A1837" s="1">
        <v>45963</v>
      </c>
      <c r="B1837" s="2" t="s">
        <v>19</v>
      </c>
      <c r="C1837">
        <v>1084.35986</v>
      </c>
    </row>
    <row r="1838" spans="1:3" x14ac:dyDescent="0.3">
      <c r="A1838" s="1">
        <v>45964</v>
      </c>
      <c r="B1838" s="2" t="s">
        <v>9</v>
      </c>
      <c r="C1838">
        <v>0.55230999999999997</v>
      </c>
    </row>
    <row r="1839" spans="1:3" x14ac:dyDescent="0.3">
      <c r="A1839" s="1">
        <v>45964</v>
      </c>
      <c r="B1839" s="2" t="s">
        <v>11</v>
      </c>
      <c r="C1839">
        <v>106547.52340000001</v>
      </c>
    </row>
    <row r="1840" spans="1:3" x14ac:dyDescent="0.3">
      <c r="A1840" s="1">
        <v>45964</v>
      </c>
      <c r="B1840" s="2" t="s">
        <v>13</v>
      </c>
      <c r="C1840">
        <v>166.0907</v>
      </c>
    </row>
    <row r="1841" spans="1:3" x14ac:dyDescent="0.3">
      <c r="A1841" s="1">
        <v>45964</v>
      </c>
      <c r="B1841" s="2" t="s">
        <v>15</v>
      </c>
      <c r="C1841">
        <v>2.30938</v>
      </c>
    </row>
    <row r="1842" spans="1:3" x14ac:dyDescent="0.3">
      <c r="A1842" s="1">
        <v>45964</v>
      </c>
      <c r="B1842" s="2" t="s">
        <v>17</v>
      </c>
      <c r="C1842">
        <v>3602.3081099999999</v>
      </c>
    </row>
    <row r="1843" spans="1:3" x14ac:dyDescent="0.3">
      <c r="A1843" s="1">
        <v>45964</v>
      </c>
      <c r="B1843" s="2" t="s">
        <v>19</v>
      </c>
      <c r="C1843">
        <v>992.53539999999998</v>
      </c>
    </row>
    <row r="1844" spans="1:3" x14ac:dyDescent="0.3">
      <c r="A1844" s="1">
        <v>45965</v>
      </c>
      <c r="B1844" s="2" t="s">
        <v>9</v>
      </c>
      <c r="C1844">
        <v>0.52149999999999996</v>
      </c>
    </row>
    <row r="1845" spans="1:3" x14ac:dyDescent="0.3">
      <c r="A1845" s="1">
        <v>45965</v>
      </c>
      <c r="B1845" s="2" t="s">
        <v>11</v>
      </c>
      <c r="C1845">
        <v>101590.52340000001</v>
      </c>
    </row>
    <row r="1846" spans="1:3" x14ac:dyDescent="0.3">
      <c r="A1846" s="1">
        <v>45965</v>
      </c>
      <c r="B1846" s="2" t="s">
        <v>13</v>
      </c>
      <c r="C1846">
        <v>155.40317999999999</v>
      </c>
    </row>
    <row r="1847" spans="1:3" x14ac:dyDescent="0.3">
      <c r="A1847" s="1">
        <v>45965</v>
      </c>
      <c r="B1847" s="2" t="s">
        <v>15</v>
      </c>
      <c r="C1847">
        <v>2.21062</v>
      </c>
    </row>
    <row r="1848" spans="1:3" x14ac:dyDescent="0.3">
      <c r="A1848" s="1">
        <v>45965</v>
      </c>
      <c r="B1848" s="2" t="s">
        <v>17</v>
      </c>
      <c r="C1848">
        <v>3292.5744599999998</v>
      </c>
    </row>
    <row r="1849" spans="1:3" x14ac:dyDescent="0.3">
      <c r="A1849" s="1">
        <v>45965</v>
      </c>
      <c r="B1849" s="2" t="s">
        <v>19</v>
      </c>
      <c r="C1849">
        <v>937.89324999999997</v>
      </c>
    </row>
    <row r="1850" spans="1:3" x14ac:dyDescent="0.3">
      <c r="A1850" s="1">
        <v>45966</v>
      </c>
      <c r="B1850" s="2" t="s">
        <v>9</v>
      </c>
      <c r="C1850">
        <v>0.54615000000000002</v>
      </c>
    </row>
    <row r="1851" spans="1:3" x14ac:dyDescent="0.3">
      <c r="A1851" s="1">
        <v>45966</v>
      </c>
      <c r="B1851" s="2" t="s">
        <v>11</v>
      </c>
      <c r="C1851">
        <v>103891.83590000001</v>
      </c>
    </row>
    <row r="1852" spans="1:3" x14ac:dyDescent="0.3">
      <c r="A1852" s="1">
        <v>45966</v>
      </c>
      <c r="B1852" s="2" t="s">
        <v>13</v>
      </c>
      <c r="C1852">
        <v>162.56607</v>
      </c>
    </row>
    <row r="1853" spans="1:3" x14ac:dyDescent="0.3">
      <c r="A1853" s="1">
        <v>45966</v>
      </c>
      <c r="B1853" s="2" t="s">
        <v>15</v>
      </c>
      <c r="C1853">
        <v>2.3452299999999999</v>
      </c>
    </row>
    <row r="1854" spans="1:3" x14ac:dyDescent="0.3">
      <c r="A1854" s="1">
        <v>45966</v>
      </c>
      <c r="B1854" s="2" t="s">
        <v>17</v>
      </c>
      <c r="C1854">
        <v>3425.1711399999999</v>
      </c>
    </row>
    <row r="1855" spans="1:3" x14ac:dyDescent="0.3">
      <c r="A1855" s="1">
        <v>45966</v>
      </c>
      <c r="B1855" s="2" t="s">
        <v>19</v>
      </c>
      <c r="C1855">
        <v>959.95105000000001</v>
      </c>
    </row>
    <row r="1856" spans="1:3" x14ac:dyDescent="0.3">
      <c r="A1856" s="1">
        <v>45967</v>
      </c>
      <c r="B1856" s="2" t="s">
        <v>9</v>
      </c>
      <c r="C1856">
        <v>0.53098000000000001</v>
      </c>
    </row>
    <row r="1857" spans="1:3" x14ac:dyDescent="0.3">
      <c r="A1857" s="1">
        <v>45967</v>
      </c>
      <c r="B1857" s="2" t="s">
        <v>11</v>
      </c>
      <c r="C1857">
        <v>101301.28909999999</v>
      </c>
    </row>
    <row r="1858" spans="1:3" x14ac:dyDescent="0.3">
      <c r="A1858" s="1">
        <v>45967</v>
      </c>
      <c r="B1858" s="2" t="s">
        <v>13</v>
      </c>
      <c r="C1858">
        <v>155.06592000000001</v>
      </c>
    </row>
    <row r="1859" spans="1:3" x14ac:dyDescent="0.3">
      <c r="A1859" s="1">
        <v>45967</v>
      </c>
      <c r="B1859" s="2" t="s">
        <v>15</v>
      </c>
      <c r="C1859">
        <v>2.2108500000000002</v>
      </c>
    </row>
    <row r="1860" spans="1:3" x14ac:dyDescent="0.3">
      <c r="A1860" s="1">
        <v>45967</v>
      </c>
      <c r="B1860" s="2" t="s">
        <v>17</v>
      </c>
      <c r="C1860">
        <v>3312.2578100000001</v>
      </c>
    </row>
    <row r="1861" spans="1:3" x14ac:dyDescent="0.3">
      <c r="A1861" s="1">
        <v>45967</v>
      </c>
      <c r="B1861" s="2" t="s">
        <v>19</v>
      </c>
      <c r="C1861">
        <v>949.18047999999999</v>
      </c>
    </row>
    <row r="1862" spans="1:3" x14ac:dyDescent="0.3">
      <c r="A1862" s="1">
        <v>45968</v>
      </c>
      <c r="B1862" s="2" t="s">
        <v>9</v>
      </c>
      <c r="C1862">
        <v>0.57601000000000002</v>
      </c>
    </row>
    <row r="1863" spans="1:3" x14ac:dyDescent="0.3">
      <c r="A1863" s="1">
        <v>45968</v>
      </c>
      <c r="B1863" s="2" t="s">
        <v>11</v>
      </c>
      <c r="C1863">
        <v>103372.4063</v>
      </c>
    </row>
    <row r="1864" spans="1:3" x14ac:dyDescent="0.3">
      <c r="A1864" s="1">
        <v>45968</v>
      </c>
      <c r="B1864" s="2" t="s">
        <v>13</v>
      </c>
      <c r="C1864">
        <v>161.70818</v>
      </c>
    </row>
    <row r="1865" spans="1:3" x14ac:dyDescent="0.3">
      <c r="A1865" s="1">
        <v>45968</v>
      </c>
      <c r="B1865" s="2" t="s">
        <v>15</v>
      </c>
      <c r="C1865">
        <v>2.3141600000000002</v>
      </c>
    </row>
    <row r="1866" spans="1:3" x14ac:dyDescent="0.3">
      <c r="A1866" s="1">
        <v>45968</v>
      </c>
      <c r="B1866" s="2" t="s">
        <v>17</v>
      </c>
      <c r="C1866">
        <v>3435.3010300000001</v>
      </c>
    </row>
    <row r="1867" spans="1:3" x14ac:dyDescent="0.3">
      <c r="A1867" s="1">
        <v>45968</v>
      </c>
      <c r="B1867" s="2" t="s">
        <v>19</v>
      </c>
      <c r="C1867">
        <v>990.55237</v>
      </c>
    </row>
    <row r="1868" spans="1:3" x14ac:dyDescent="0.3">
      <c r="A1868" s="1">
        <v>45969</v>
      </c>
      <c r="B1868" s="2" t="s">
        <v>9</v>
      </c>
      <c r="C1868">
        <v>0.56842000000000004</v>
      </c>
    </row>
    <row r="1869" spans="1:3" x14ac:dyDescent="0.3">
      <c r="A1869" s="1">
        <v>45969</v>
      </c>
      <c r="B1869" s="2" t="s">
        <v>11</v>
      </c>
      <c r="C1869">
        <v>102282.11719999999</v>
      </c>
    </row>
    <row r="1870" spans="1:3" x14ac:dyDescent="0.3">
      <c r="A1870" s="1">
        <v>45969</v>
      </c>
      <c r="B1870" s="2" t="s">
        <v>13</v>
      </c>
      <c r="C1870">
        <v>158.10251</v>
      </c>
    </row>
    <row r="1871" spans="1:3" x14ac:dyDescent="0.3">
      <c r="A1871" s="1">
        <v>45969</v>
      </c>
      <c r="B1871" s="2" t="s">
        <v>15</v>
      </c>
      <c r="C1871">
        <v>2.2848899999999999</v>
      </c>
    </row>
    <row r="1872" spans="1:3" x14ac:dyDescent="0.3">
      <c r="A1872" s="1">
        <v>45969</v>
      </c>
      <c r="B1872" s="2" t="s">
        <v>17</v>
      </c>
      <c r="C1872">
        <v>3400.3759799999998</v>
      </c>
    </row>
    <row r="1873" spans="1:3" x14ac:dyDescent="0.3">
      <c r="A1873" s="1">
        <v>45969</v>
      </c>
      <c r="B1873" s="2" t="s">
        <v>19</v>
      </c>
      <c r="C1873">
        <v>990.22271999999998</v>
      </c>
    </row>
    <row r="1874" spans="1:3" x14ac:dyDescent="0.3">
      <c r="A1874" s="1">
        <v>45970</v>
      </c>
      <c r="B1874" s="2" t="s">
        <v>9</v>
      </c>
      <c r="C1874">
        <v>0.57862999999999998</v>
      </c>
    </row>
    <row r="1875" spans="1:3" x14ac:dyDescent="0.3">
      <c r="A1875" s="1">
        <v>45970</v>
      </c>
      <c r="B1875" s="2" t="s">
        <v>11</v>
      </c>
      <c r="C1875">
        <v>104719.6406</v>
      </c>
    </row>
    <row r="1876" spans="1:3" x14ac:dyDescent="0.3">
      <c r="A1876" s="1">
        <v>45970</v>
      </c>
      <c r="B1876" s="2" t="s">
        <v>13</v>
      </c>
      <c r="C1876">
        <v>164.45384000000001</v>
      </c>
    </row>
    <row r="1877" spans="1:3" x14ac:dyDescent="0.3">
      <c r="A1877" s="1">
        <v>45970</v>
      </c>
      <c r="B1877" s="2" t="s">
        <v>15</v>
      </c>
      <c r="C1877">
        <v>2.3676599999999999</v>
      </c>
    </row>
    <row r="1878" spans="1:3" x14ac:dyDescent="0.3">
      <c r="A1878" s="1">
        <v>45970</v>
      </c>
      <c r="B1878" s="2" t="s">
        <v>17</v>
      </c>
      <c r="C1878">
        <v>3582.6213400000001</v>
      </c>
    </row>
    <row r="1879" spans="1:3" x14ac:dyDescent="0.3">
      <c r="A1879" s="1">
        <v>45970</v>
      </c>
      <c r="B1879" s="2" t="s">
        <v>19</v>
      </c>
      <c r="C1879">
        <v>996.57983000000002</v>
      </c>
    </row>
    <row r="1880" spans="1:3" x14ac:dyDescent="0.3">
      <c r="A1880" s="1">
        <v>45971</v>
      </c>
      <c r="B1880" s="2" t="s">
        <v>9</v>
      </c>
      <c r="C1880">
        <v>0.59297</v>
      </c>
    </row>
    <row r="1881" spans="1:3" x14ac:dyDescent="0.3">
      <c r="A1881" s="1">
        <v>45971</v>
      </c>
      <c r="B1881" s="2" t="s">
        <v>11</v>
      </c>
      <c r="C1881">
        <v>105996.5938</v>
      </c>
    </row>
    <row r="1882" spans="1:3" x14ac:dyDescent="0.3">
      <c r="A1882" s="1">
        <v>45971</v>
      </c>
      <c r="B1882" s="2" t="s">
        <v>13</v>
      </c>
      <c r="C1882">
        <v>167.36699999999999</v>
      </c>
    </row>
    <row r="1883" spans="1:3" x14ac:dyDescent="0.3">
      <c r="A1883" s="1">
        <v>45971</v>
      </c>
      <c r="B1883" s="2" t="s">
        <v>15</v>
      </c>
      <c r="C1883">
        <v>2.52637</v>
      </c>
    </row>
    <row r="1884" spans="1:3" x14ac:dyDescent="0.3">
      <c r="A1884" s="1">
        <v>45971</v>
      </c>
      <c r="B1884" s="2" t="s">
        <v>17</v>
      </c>
      <c r="C1884">
        <v>3568.4599600000001</v>
      </c>
    </row>
    <row r="1885" spans="1:3" x14ac:dyDescent="0.3">
      <c r="A1885" s="1">
        <v>45971</v>
      </c>
      <c r="B1885" s="2" t="s">
        <v>19</v>
      </c>
      <c r="C1885">
        <v>991.91967999999997</v>
      </c>
    </row>
    <row r="1886" spans="1:3" x14ac:dyDescent="0.3">
      <c r="A1886" s="1">
        <v>45972</v>
      </c>
      <c r="B1886" s="2" t="s">
        <v>9</v>
      </c>
      <c r="C1886">
        <v>0.55652999999999997</v>
      </c>
    </row>
    <row r="1887" spans="1:3" x14ac:dyDescent="0.3">
      <c r="A1887" s="1">
        <v>45972</v>
      </c>
      <c r="B1887" s="2" t="s">
        <v>11</v>
      </c>
      <c r="C1887">
        <v>102997.4688</v>
      </c>
    </row>
    <row r="1888" spans="1:3" x14ac:dyDescent="0.3">
      <c r="A1888" s="1">
        <v>45972</v>
      </c>
      <c r="B1888" s="2" t="s">
        <v>13</v>
      </c>
      <c r="C1888">
        <v>154.56833</v>
      </c>
    </row>
    <row r="1889" spans="1:3" x14ac:dyDescent="0.3">
      <c r="A1889" s="1">
        <v>45972</v>
      </c>
      <c r="B1889" s="2" t="s">
        <v>15</v>
      </c>
      <c r="C1889">
        <v>2.3917199999999998</v>
      </c>
    </row>
    <row r="1890" spans="1:3" x14ac:dyDescent="0.3">
      <c r="A1890" s="1">
        <v>45972</v>
      </c>
      <c r="B1890" s="2" t="s">
        <v>17</v>
      </c>
      <c r="C1890">
        <v>3415.2822299999998</v>
      </c>
    </row>
    <row r="1891" spans="1:3" x14ac:dyDescent="0.3">
      <c r="A1891" s="1">
        <v>45972</v>
      </c>
      <c r="B1891" s="2" t="s">
        <v>19</v>
      </c>
      <c r="C1891">
        <v>958.26575000000003</v>
      </c>
    </row>
    <row r="1892" spans="1:3" x14ac:dyDescent="0.3">
      <c r="A1892" s="1">
        <v>45973</v>
      </c>
      <c r="B1892" s="2" t="s">
        <v>9</v>
      </c>
      <c r="C1892">
        <v>0.54525999999999997</v>
      </c>
    </row>
    <row r="1893" spans="1:3" x14ac:dyDescent="0.3">
      <c r="A1893" s="1">
        <v>45973</v>
      </c>
      <c r="B1893" s="2" t="s">
        <v>11</v>
      </c>
      <c r="C1893">
        <v>101663.1875</v>
      </c>
    </row>
    <row r="1894" spans="1:3" x14ac:dyDescent="0.3">
      <c r="A1894" s="1">
        <v>45973</v>
      </c>
      <c r="B1894" s="2" t="s">
        <v>13</v>
      </c>
      <c r="C1894">
        <v>153.26204000000001</v>
      </c>
    </row>
    <row r="1895" spans="1:3" x14ac:dyDescent="0.3">
      <c r="A1895" s="1">
        <v>45973</v>
      </c>
      <c r="B1895" s="2" t="s">
        <v>15</v>
      </c>
      <c r="C1895">
        <v>2.3868999999999998</v>
      </c>
    </row>
    <row r="1896" spans="1:3" x14ac:dyDescent="0.3">
      <c r="A1896" s="1">
        <v>45973</v>
      </c>
      <c r="B1896" s="2" t="s">
        <v>17</v>
      </c>
      <c r="C1896">
        <v>3413.0942399999999</v>
      </c>
    </row>
    <row r="1897" spans="1:3" x14ac:dyDescent="0.3">
      <c r="A1897" s="1">
        <v>45973</v>
      </c>
      <c r="B1897" s="2" t="s">
        <v>19</v>
      </c>
      <c r="C1897">
        <v>953.01049999999998</v>
      </c>
    </row>
    <row r="1898" spans="1:3" x14ac:dyDescent="0.3">
      <c r="A1898" s="1">
        <v>45974</v>
      </c>
      <c r="B1898" s="2" t="s">
        <v>9</v>
      </c>
      <c r="C1898">
        <v>0.53110999999999997</v>
      </c>
    </row>
    <row r="1899" spans="1:3" x14ac:dyDescent="0.3">
      <c r="A1899" s="1">
        <v>45974</v>
      </c>
      <c r="B1899" s="2" t="s">
        <v>11</v>
      </c>
      <c r="C1899">
        <v>99697.492190000004</v>
      </c>
    </row>
    <row r="1900" spans="1:3" x14ac:dyDescent="0.3">
      <c r="A1900" s="1">
        <v>45974</v>
      </c>
      <c r="B1900" s="2" t="s">
        <v>13</v>
      </c>
      <c r="C1900">
        <v>145.10847000000001</v>
      </c>
    </row>
    <row r="1901" spans="1:3" x14ac:dyDescent="0.3">
      <c r="A1901" s="1">
        <v>45974</v>
      </c>
      <c r="B1901" s="2" t="s">
        <v>15</v>
      </c>
      <c r="C1901">
        <v>2.33114</v>
      </c>
    </row>
    <row r="1902" spans="1:3" x14ac:dyDescent="0.3">
      <c r="A1902" s="1">
        <v>45974</v>
      </c>
      <c r="B1902" s="2" t="s">
        <v>17</v>
      </c>
      <c r="C1902">
        <v>3232.7570799999999</v>
      </c>
    </row>
    <row r="1903" spans="1:3" x14ac:dyDescent="0.3">
      <c r="A1903" s="1">
        <v>45974</v>
      </c>
      <c r="B1903" s="2" t="s">
        <v>19</v>
      </c>
      <c r="C1903">
        <v>928.04663000000005</v>
      </c>
    </row>
    <row r="1904" spans="1:3" x14ac:dyDescent="0.3">
      <c r="A1904" s="1">
        <v>45975</v>
      </c>
      <c r="B1904" s="2" t="s">
        <v>9</v>
      </c>
      <c r="C1904">
        <v>0.49841999999999997</v>
      </c>
    </row>
    <row r="1905" spans="1:3" x14ac:dyDescent="0.3">
      <c r="A1905" s="1">
        <v>45975</v>
      </c>
      <c r="B1905" s="2" t="s">
        <v>11</v>
      </c>
      <c r="C1905">
        <v>94397.789059999996</v>
      </c>
    </row>
    <row r="1906" spans="1:3" x14ac:dyDescent="0.3">
      <c r="A1906" s="1">
        <v>45975</v>
      </c>
      <c r="B1906" s="2" t="s">
        <v>13</v>
      </c>
      <c r="C1906">
        <v>138.67661000000001</v>
      </c>
    </row>
    <row r="1907" spans="1:3" x14ac:dyDescent="0.3">
      <c r="A1907" s="1">
        <v>45975</v>
      </c>
      <c r="B1907" s="2" t="s">
        <v>15</v>
      </c>
      <c r="C1907">
        <v>2.2439800000000001</v>
      </c>
    </row>
    <row r="1908" spans="1:3" x14ac:dyDescent="0.3">
      <c r="A1908" s="1">
        <v>45975</v>
      </c>
      <c r="B1908" s="2" t="s">
        <v>17</v>
      </c>
      <c r="C1908">
        <v>3103.7856499999998</v>
      </c>
    </row>
    <row r="1909" spans="1:3" x14ac:dyDescent="0.3">
      <c r="A1909" s="1">
        <v>45975</v>
      </c>
      <c r="B1909" s="2" t="s">
        <v>19</v>
      </c>
      <c r="C1909">
        <v>915.30926999999997</v>
      </c>
    </row>
    <row r="1910" spans="1:3" x14ac:dyDescent="0.3">
      <c r="A1910" s="1">
        <v>45976</v>
      </c>
      <c r="B1910" s="2" t="s">
        <v>9</v>
      </c>
      <c r="C1910">
        <v>0.50339999999999996</v>
      </c>
    </row>
    <row r="1911" spans="1:3" x14ac:dyDescent="0.3">
      <c r="A1911" s="1">
        <v>45976</v>
      </c>
      <c r="B1911" s="2" t="s">
        <v>11</v>
      </c>
      <c r="C1911">
        <v>95549.148440000004</v>
      </c>
    </row>
    <row r="1912" spans="1:3" x14ac:dyDescent="0.3">
      <c r="A1912" s="1">
        <v>45976</v>
      </c>
      <c r="B1912" s="2" t="s">
        <v>13</v>
      </c>
      <c r="C1912">
        <v>139.5352</v>
      </c>
    </row>
    <row r="1913" spans="1:3" x14ac:dyDescent="0.3">
      <c r="A1913" s="1">
        <v>45976</v>
      </c>
      <c r="B1913" s="2" t="s">
        <v>15</v>
      </c>
      <c r="C1913">
        <v>2.2352500000000002</v>
      </c>
    </row>
    <row r="1914" spans="1:3" x14ac:dyDescent="0.3">
      <c r="A1914" s="1">
        <v>45976</v>
      </c>
      <c r="B1914" s="2" t="s">
        <v>17</v>
      </c>
      <c r="C1914">
        <v>3166.6313500000001</v>
      </c>
    </row>
    <row r="1915" spans="1:3" x14ac:dyDescent="0.3">
      <c r="A1915" s="1">
        <v>45976</v>
      </c>
      <c r="B1915" s="2" t="s">
        <v>19</v>
      </c>
      <c r="C1915">
        <v>932.20190000000002</v>
      </c>
    </row>
    <row r="1916" spans="1:3" x14ac:dyDescent="0.3">
      <c r="A1916" s="1">
        <v>45977</v>
      </c>
      <c r="B1916" s="2" t="s">
        <v>9</v>
      </c>
      <c r="C1916">
        <v>0.48485</v>
      </c>
    </row>
    <row r="1917" spans="1:3" x14ac:dyDescent="0.3">
      <c r="A1917" s="1">
        <v>45977</v>
      </c>
      <c r="B1917" s="2" t="s">
        <v>11</v>
      </c>
      <c r="C1917">
        <v>94177.078129999994</v>
      </c>
    </row>
    <row r="1918" spans="1:3" x14ac:dyDescent="0.3">
      <c r="A1918" s="1">
        <v>45977</v>
      </c>
      <c r="B1918" s="2" t="s">
        <v>13</v>
      </c>
      <c r="C1918">
        <v>137.26572999999999</v>
      </c>
    </row>
    <row r="1919" spans="1:3" x14ac:dyDescent="0.3">
      <c r="A1919" s="1">
        <v>45977</v>
      </c>
      <c r="B1919" s="2" t="s">
        <v>15</v>
      </c>
      <c r="C1919">
        <v>2.2166100000000002</v>
      </c>
    </row>
    <row r="1920" spans="1:3" x14ac:dyDescent="0.3">
      <c r="A1920" s="1">
        <v>45977</v>
      </c>
      <c r="B1920" s="2" t="s">
        <v>17</v>
      </c>
      <c r="C1920">
        <v>3092.8474099999999</v>
      </c>
    </row>
    <row r="1921" spans="1:3" x14ac:dyDescent="0.3">
      <c r="A1921" s="1">
        <v>45977</v>
      </c>
      <c r="B1921" s="2" t="s">
        <v>19</v>
      </c>
      <c r="C1921">
        <v>927.25787000000003</v>
      </c>
    </row>
    <row r="1922" spans="1:3" x14ac:dyDescent="0.3">
      <c r="A1922" s="1">
        <v>45978</v>
      </c>
      <c r="B1922" s="2" t="s">
        <v>9</v>
      </c>
      <c r="C1922">
        <v>0.46553</v>
      </c>
    </row>
    <row r="1923" spans="1:3" x14ac:dyDescent="0.3">
      <c r="A1923" s="1">
        <v>45978</v>
      </c>
      <c r="B1923" s="2" t="s">
        <v>11</v>
      </c>
      <c r="C1923">
        <v>92093.875</v>
      </c>
    </row>
    <row r="1924" spans="1:3" x14ac:dyDescent="0.3">
      <c r="A1924" s="1">
        <v>45978</v>
      </c>
      <c r="B1924" s="2" t="s">
        <v>13</v>
      </c>
      <c r="C1924">
        <v>130.84827000000001</v>
      </c>
    </row>
    <row r="1925" spans="1:3" x14ac:dyDescent="0.3">
      <c r="A1925" s="1">
        <v>45978</v>
      </c>
      <c r="B1925" s="2" t="s">
        <v>15</v>
      </c>
      <c r="C1925">
        <v>2.1621000000000001</v>
      </c>
    </row>
    <row r="1926" spans="1:3" x14ac:dyDescent="0.3">
      <c r="A1926" s="1">
        <v>45978</v>
      </c>
      <c r="B1926" s="2" t="s">
        <v>17</v>
      </c>
      <c r="C1926">
        <v>3024.5388200000002</v>
      </c>
    </row>
    <row r="1927" spans="1:3" x14ac:dyDescent="0.3">
      <c r="A1927" s="1">
        <v>45978</v>
      </c>
      <c r="B1927" s="2" t="s">
        <v>19</v>
      </c>
      <c r="C1927">
        <v>906.48242000000005</v>
      </c>
    </row>
    <row r="1928" spans="1:3" x14ac:dyDescent="0.3">
      <c r="A1928" s="1">
        <v>45979</v>
      </c>
      <c r="B1928" s="2" t="s">
        <v>9</v>
      </c>
      <c r="C1928">
        <v>0.47498000000000001</v>
      </c>
    </row>
    <row r="1929" spans="1:3" x14ac:dyDescent="0.3">
      <c r="A1929" s="1">
        <v>45979</v>
      </c>
      <c r="B1929" s="2" t="s">
        <v>11</v>
      </c>
      <c r="C1929">
        <v>92948.875</v>
      </c>
    </row>
    <row r="1930" spans="1:3" x14ac:dyDescent="0.3">
      <c r="A1930" s="1">
        <v>45979</v>
      </c>
      <c r="B1930" s="2" t="s">
        <v>13</v>
      </c>
      <c r="C1930">
        <v>140.71439000000001</v>
      </c>
    </row>
    <row r="1931" spans="1:3" x14ac:dyDescent="0.3">
      <c r="A1931" s="1">
        <v>45979</v>
      </c>
      <c r="B1931" s="2" t="s">
        <v>15</v>
      </c>
      <c r="C1931">
        <v>2.2164799999999998</v>
      </c>
    </row>
    <row r="1932" spans="1:3" x14ac:dyDescent="0.3">
      <c r="A1932" s="1">
        <v>45979</v>
      </c>
      <c r="B1932" s="2" t="s">
        <v>17</v>
      </c>
      <c r="C1932">
        <v>3122.9789999999998</v>
      </c>
    </row>
    <row r="1933" spans="1:3" x14ac:dyDescent="0.3">
      <c r="A1933" s="1">
        <v>45979</v>
      </c>
      <c r="B1933" s="2" t="s">
        <v>19</v>
      </c>
      <c r="C1933">
        <v>932.48235999999997</v>
      </c>
    </row>
    <row r="1934" spans="1:3" x14ac:dyDescent="0.3">
      <c r="A1934" s="1">
        <v>45980</v>
      </c>
      <c r="B1934" s="2" t="s">
        <v>9</v>
      </c>
      <c r="C1934">
        <v>0.46323999999999999</v>
      </c>
    </row>
    <row r="1935" spans="1:3" x14ac:dyDescent="0.3">
      <c r="A1935" s="1">
        <v>45980</v>
      </c>
      <c r="B1935" s="2" t="s">
        <v>11</v>
      </c>
      <c r="C1935">
        <v>91465.992190000004</v>
      </c>
    </row>
    <row r="1936" spans="1:3" x14ac:dyDescent="0.3">
      <c r="A1936" s="1">
        <v>45980</v>
      </c>
      <c r="B1936" s="2" t="s">
        <v>13</v>
      </c>
      <c r="C1936">
        <v>136.76695000000001</v>
      </c>
    </row>
    <row r="1937" spans="1:3" x14ac:dyDescent="0.3">
      <c r="A1937" s="1">
        <v>45980</v>
      </c>
      <c r="B1937" s="2" t="s">
        <v>15</v>
      </c>
      <c r="C1937">
        <v>2.1076199999999998</v>
      </c>
    </row>
    <row r="1938" spans="1:3" x14ac:dyDescent="0.3">
      <c r="A1938" s="1">
        <v>45980</v>
      </c>
      <c r="B1938" s="2" t="s">
        <v>17</v>
      </c>
      <c r="C1938">
        <v>3023.0708</v>
      </c>
    </row>
    <row r="1939" spans="1:3" x14ac:dyDescent="0.3">
      <c r="A1939" s="1">
        <v>45980</v>
      </c>
      <c r="B1939" s="2" t="s">
        <v>19</v>
      </c>
      <c r="C1939">
        <v>895.61968999999999</v>
      </c>
    </row>
    <row r="1940" spans="1:3" x14ac:dyDescent="0.3">
      <c r="A1940" s="1">
        <v>45981</v>
      </c>
      <c r="B1940" s="2" t="s">
        <v>9</v>
      </c>
      <c r="C1940">
        <v>0.43240000000000001</v>
      </c>
    </row>
    <row r="1941" spans="1:3" x14ac:dyDescent="0.3">
      <c r="A1941" s="1">
        <v>45981</v>
      </c>
      <c r="B1941" s="2" t="s">
        <v>11</v>
      </c>
      <c r="C1941">
        <v>86631.898440000004</v>
      </c>
    </row>
    <row r="1942" spans="1:3" x14ac:dyDescent="0.3">
      <c r="A1942" s="1">
        <v>45981</v>
      </c>
      <c r="B1942" s="2" t="s">
        <v>13</v>
      </c>
      <c r="C1942">
        <v>133.51714999999999</v>
      </c>
    </row>
    <row r="1943" spans="1:3" x14ac:dyDescent="0.3">
      <c r="A1943" s="1">
        <v>45981</v>
      </c>
      <c r="B1943" s="2" t="s">
        <v>15</v>
      </c>
      <c r="C1943">
        <v>1.9987900000000001</v>
      </c>
    </row>
    <row r="1944" spans="1:3" x14ac:dyDescent="0.3">
      <c r="A1944" s="1">
        <v>45981</v>
      </c>
      <c r="B1944" s="2" t="s">
        <v>17</v>
      </c>
      <c r="C1944">
        <v>2831.7775900000001</v>
      </c>
    </row>
    <row r="1945" spans="1:3" x14ac:dyDescent="0.3">
      <c r="A1945" s="1">
        <v>45981</v>
      </c>
      <c r="B1945" s="2" t="s">
        <v>19</v>
      </c>
      <c r="C1945">
        <v>866.34387000000004</v>
      </c>
    </row>
    <row r="1946" spans="1:3" x14ac:dyDescent="0.3">
      <c r="A1946" s="1">
        <v>45982</v>
      </c>
      <c r="B1946" s="2" t="s">
        <v>9</v>
      </c>
      <c r="C1946">
        <v>0.40915000000000001</v>
      </c>
    </row>
    <row r="1947" spans="1:3" x14ac:dyDescent="0.3">
      <c r="A1947" s="1">
        <v>45982</v>
      </c>
      <c r="B1947" s="2" t="s">
        <v>11</v>
      </c>
      <c r="C1947">
        <v>85090.6875</v>
      </c>
    </row>
    <row r="1948" spans="1:3" x14ac:dyDescent="0.3">
      <c r="A1948" s="1">
        <v>45982</v>
      </c>
      <c r="B1948" s="2" t="s">
        <v>13</v>
      </c>
      <c r="C1948">
        <v>128.50049999999999</v>
      </c>
    </row>
    <row r="1949" spans="1:3" x14ac:dyDescent="0.3">
      <c r="A1949" s="1">
        <v>45982</v>
      </c>
      <c r="B1949" s="2" t="s">
        <v>15</v>
      </c>
      <c r="C1949">
        <v>1.9503999999999999</v>
      </c>
    </row>
    <row r="1950" spans="1:3" x14ac:dyDescent="0.3">
      <c r="A1950" s="1">
        <v>45982</v>
      </c>
      <c r="B1950" s="2" t="s">
        <v>17</v>
      </c>
      <c r="C1950">
        <v>2765.69922</v>
      </c>
    </row>
    <row r="1951" spans="1:3" x14ac:dyDescent="0.3">
      <c r="A1951" s="1">
        <v>45982</v>
      </c>
      <c r="B1951" s="2" t="s">
        <v>19</v>
      </c>
      <c r="C1951">
        <v>830.07874000000004</v>
      </c>
    </row>
    <row r="1952" spans="1:3" x14ac:dyDescent="0.3">
      <c r="A1952" s="1">
        <v>45983</v>
      </c>
      <c r="B1952" s="2" t="s">
        <v>9</v>
      </c>
      <c r="C1952">
        <v>0.40461000000000003</v>
      </c>
    </row>
    <row r="1953" spans="1:3" x14ac:dyDescent="0.3">
      <c r="A1953" s="1">
        <v>45983</v>
      </c>
      <c r="B1953" s="2" t="s">
        <v>11</v>
      </c>
      <c r="C1953">
        <v>84648.359379999994</v>
      </c>
    </row>
    <row r="1954" spans="1:3" x14ac:dyDescent="0.3">
      <c r="A1954" s="1">
        <v>45983</v>
      </c>
      <c r="B1954" s="2" t="s">
        <v>13</v>
      </c>
      <c r="C1954">
        <v>127.55119999999999</v>
      </c>
    </row>
    <row r="1955" spans="1:3" x14ac:dyDescent="0.3">
      <c r="A1955" s="1">
        <v>45983</v>
      </c>
      <c r="B1955" s="2" t="s">
        <v>15</v>
      </c>
      <c r="C1955">
        <v>1.9497500000000001</v>
      </c>
    </row>
    <row r="1956" spans="1:3" x14ac:dyDescent="0.3">
      <c r="A1956" s="1">
        <v>45983</v>
      </c>
      <c r="B1956" s="2" t="s">
        <v>17</v>
      </c>
      <c r="C1956">
        <v>2767.6074199999998</v>
      </c>
    </row>
    <row r="1957" spans="1:3" x14ac:dyDescent="0.3">
      <c r="A1957" s="1">
        <v>45983</v>
      </c>
      <c r="B1957" s="2" t="s">
        <v>19</v>
      </c>
      <c r="C1957">
        <v>833.35107000000005</v>
      </c>
    </row>
    <row r="1958" spans="1:3" x14ac:dyDescent="0.3">
      <c r="A1958" s="1">
        <v>45984</v>
      </c>
      <c r="B1958" s="2" t="s">
        <v>9</v>
      </c>
      <c r="C1958">
        <v>0.40855000000000002</v>
      </c>
    </row>
    <row r="1959" spans="1:3" x14ac:dyDescent="0.3">
      <c r="A1959" s="1">
        <v>45984</v>
      </c>
      <c r="B1959" s="2" t="s">
        <v>11</v>
      </c>
      <c r="C1959">
        <v>86805.007809999996</v>
      </c>
    </row>
    <row r="1960" spans="1:3" x14ac:dyDescent="0.3">
      <c r="A1960" s="1">
        <v>45984</v>
      </c>
      <c r="B1960" s="2" t="s">
        <v>13</v>
      </c>
      <c r="C1960">
        <v>130.70506</v>
      </c>
    </row>
    <row r="1961" spans="1:3" x14ac:dyDescent="0.3">
      <c r="A1961" s="1">
        <v>45984</v>
      </c>
      <c r="B1961" s="2" t="s">
        <v>15</v>
      </c>
      <c r="C1961">
        <v>2.0462600000000002</v>
      </c>
    </row>
    <row r="1962" spans="1:3" x14ac:dyDescent="0.3">
      <c r="A1962" s="1">
        <v>45984</v>
      </c>
      <c r="B1962" s="2" t="s">
        <v>17</v>
      </c>
      <c r="C1962">
        <v>2801.6760300000001</v>
      </c>
    </row>
    <row r="1963" spans="1:3" x14ac:dyDescent="0.3">
      <c r="A1963" s="1">
        <v>45984</v>
      </c>
      <c r="B1963" s="2" t="s">
        <v>19</v>
      </c>
      <c r="C1963">
        <v>843.22478999999998</v>
      </c>
    </row>
    <row r="1964" spans="1:3" x14ac:dyDescent="0.3">
      <c r="A1964" s="1">
        <v>45985</v>
      </c>
      <c r="B1964" s="2" t="s">
        <v>9</v>
      </c>
      <c r="C1964">
        <v>0.42784</v>
      </c>
    </row>
    <row r="1965" spans="1:3" x14ac:dyDescent="0.3">
      <c r="A1965" s="1">
        <v>45985</v>
      </c>
      <c r="B1965" s="2" t="s">
        <v>11</v>
      </c>
      <c r="C1965">
        <v>88270.5625</v>
      </c>
    </row>
    <row r="1966" spans="1:3" x14ac:dyDescent="0.3">
      <c r="A1966" s="1">
        <v>45985</v>
      </c>
      <c r="B1966" s="2" t="s">
        <v>13</v>
      </c>
      <c r="C1966">
        <v>138.37135000000001</v>
      </c>
    </row>
    <row r="1967" spans="1:3" x14ac:dyDescent="0.3">
      <c r="A1967" s="1">
        <v>45985</v>
      </c>
      <c r="B1967" s="2" t="s">
        <v>15</v>
      </c>
      <c r="C1967">
        <v>2.2258800000000001</v>
      </c>
    </row>
    <row r="1968" spans="1:3" x14ac:dyDescent="0.3">
      <c r="A1968" s="1">
        <v>45985</v>
      </c>
      <c r="B1968" s="2" t="s">
        <v>17</v>
      </c>
      <c r="C1968">
        <v>2952.7133800000001</v>
      </c>
    </row>
    <row r="1969" spans="1:3" x14ac:dyDescent="0.3">
      <c r="A1969" s="1">
        <v>45985</v>
      </c>
      <c r="B1969" s="2" t="s">
        <v>19</v>
      </c>
      <c r="C1969">
        <v>864.42114000000004</v>
      </c>
    </row>
    <row r="1970" spans="1:3" x14ac:dyDescent="0.3">
      <c r="A1970" s="1">
        <v>45986</v>
      </c>
      <c r="B1970" s="2" t="s">
        <v>9</v>
      </c>
      <c r="C1970">
        <v>0.42161999999999999</v>
      </c>
    </row>
    <row r="1971" spans="1:3" x14ac:dyDescent="0.3">
      <c r="A1971" s="1">
        <v>45986</v>
      </c>
      <c r="B1971" s="2" t="s">
        <v>11</v>
      </c>
      <c r="C1971">
        <v>87341.890629999994</v>
      </c>
    </row>
    <row r="1972" spans="1:3" x14ac:dyDescent="0.3">
      <c r="A1972" s="1">
        <v>45986</v>
      </c>
      <c r="B1972" s="2" t="s">
        <v>13</v>
      </c>
      <c r="C1972">
        <v>138.89114000000001</v>
      </c>
    </row>
    <row r="1973" spans="1:3" x14ac:dyDescent="0.3">
      <c r="A1973" s="1">
        <v>45986</v>
      </c>
      <c r="B1973" s="2" t="s">
        <v>15</v>
      </c>
      <c r="C1973">
        <v>2.1985399999999999</v>
      </c>
    </row>
    <row r="1974" spans="1:3" x14ac:dyDescent="0.3">
      <c r="A1974" s="1">
        <v>45986</v>
      </c>
      <c r="B1974" s="2" t="s">
        <v>17</v>
      </c>
      <c r="C1974">
        <v>2957.9362799999999</v>
      </c>
    </row>
    <row r="1975" spans="1:3" x14ac:dyDescent="0.3">
      <c r="A1975" s="1">
        <v>45986</v>
      </c>
      <c r="B1975" s="2" t="s">
        <v>19</v>
      </c>
      <c r="C1975">
        <v>862.10802999999999</v>
      </c>
    </row>
    <row r="1976" spans="1:3" x14ac:dyDescent="0.3">
      <c r="A1976" s="1">
        <v>45987</v>
      </c>
      <c r="B1976" s="2" t="s">
        <v>9</v>
      </c>
      <c r="C1976">
        <v>0.43562000000000001</v>
      </c>
    </row>
    <row r="1977" spans="1:3" x14ac:dyDescent="0.3">
      <c r="A1977" s="1">
        <v>45987</v>
      </c>
      <c r="B1977" s="2" t="s">
        <v>11</v>
      </c>
      <c r="C1977">
        <v>90518.367190000004</v>
      </c>
    </row>
    <row r="1978" spans="1:3" x14ac:dyDescent="0.3">
      <c r="A1978" s="1">
        <v>45987</v>
      </c>
      <c r="B1978" s="2" t="s">
        <v>13</v>
      </c>
      <c r="C1978">
        <v>143.01219</v>
      </c>
    </row>
    <row r="1979" spans="1:3" x14ac:dyDescent="0.3">
      <c r="A1979" s="1">
        <v>45987</v>
      </c>
      <c r="B1979" s="2" t="s">
        <v>15</v>
      </c>
      <c r="C1979">
        <v>2.2242799999999998</v>
      </c>
    </row>
    <row r="1980" spans="1:3" x14ac:dyDescent="0.3">
      <c r="A1980" s="1">
        <v>45987</v>
      </c>
      <c r="B1980" s="2" t="s">
        <v>17</v>
      </c>
      <c r="C1980">
        <v>3027.8120100000001</v>
      </c>
    </row>
    <row r="1981" spans="1:3" x14ac:dyDescent="0.3">
      <c r="A1981" s="1">
        <v>45987</v>
      </c>
      <c r="B1981" s="2" t="s">
        <v>19</v>
      </c>
      <c r="C1981">
        <v>891.75336000000004</v>
      </c>
    </row>
    <row r="1982" spans="1:3" x14ac:dyDescent="0.3">
      <c r="A1982" s="1">
        <v>45988</v>
      </c>
      <c r="B1982" s="2" t="s">
        <v>9</v>
      </c>
      <c r="C1982">
        <v>0.43369000000000002</v>
      </c>
    </row>
    <row r="1983" spans="1:3" x14ac:dyDescent="0.3">
      <c r="A1983" s="1">
        <v>45988</v>
      </c>
      <c r="B1983" s="2" t="s">
        <v>11</v>
      </c>
      <c r="C1983">
        <v>91285.375</v>
      </c>
    </row>
    <row r="1984" spans="1:3" x14ac:dyDescent="0.3">
      <c r="A1984" s="1">
        <v>45988</v>
      </c>
      <c r="B1984" s="2" t="s">
        <v>13</v>
      </c>
      <c r="C1984">
        <v>140.84640999999999</v>
      </c>
    </row>
    <row r="1985" spans="1:3" x14ac:dyDescent="0.3">
      <c r="A1985" s="1">
        <v>45988</v>
      </c>
      <c r="B1985" s="2" t="s">
        <v>15</v>
      </c>
      <c r="C1985">
        <v>2.2008200000000002</v>
      </c>
    </row>
    <row r="1986" spans="1:3" x14ac:dyDescent="0.3">
      <c r="A1986" s="1">
        <v>45988</v>
      </c>
      <c r="B1986" s="2" t="s">
        <v>17</v>
      </c>
      <c r="C1986">
        <v>3014.5422400000002</v>
      </c>
    </row>
    <row r="1987" spans="1:3" x14ac:dyDescent="0.3">
      <c r="A1987" s="1">
        <v>45988</v>
      </c>
      <c r="B1987" s="2" t="s">
        <v>19</v>
      </c>
      <c r="C1987">
        <v>895.55980999999997</v>
      </c>
    </row>
    <row r="1988" spans="1:3" x14ac:dyDescent="0.3">
      <c r="A1988" s="1">
        <v>45989</v>
      </c>
      <c r="B1988" s="2" t="s">
        <v>9</v>
      </c>
      <c r="C1988">
        <v>0.42022999999999999</v>
      </c>
    </row>
    <row r="1989" spans="1:3" x14ac:dyDescent="0.3">
      <c r="A1989" s="1">
        <v>45989</v>
      </c>
      <c r="B1989" s="2" t="s">
        <v>11</v>
      </c>
      <c r="C1989">
        <v>90919.265629999994</v>
      </c>
    </row>
    <row r="1990" spans="1:3" x14ac:dyDescent="0.3">
      <c r="A1990" s="1">
        <v>45989</v>
      </c>
      <c r="B1990" s="2" t="s">
        <v>13</v>
      </c>
      <c r="C1990">
        <v>137.39019999999999</v>
      </c>
    </row>
    <row r="1991" spans="1:3" x14ac:dyDescent="0.3">
      <c r="A1991" s="1">
        <v>45989</v>
      </c>
      <c r="B1991" s="2" t="s">
        <v>15</v>
      </c>
      <c r="C1991">
        <v>2.18065</v>
      </c>
    </row>
    <row r="1992" spans="1:3" x14ac:dyDescent="0.3">
      <c r="A1992" s="1">
        <v>45989</v>
      </c>
      <c r="B1992" s="2" t="s">
        <v>17</v>
      </c>
      <c r="C1992">
        <v>3032.3044399999999</v>
      </c>
    </row>
    <row r="1993" spans="1:3" x14ac:dyDescent="0.3">
      <c r="A1993" s="1">
        <v>45989</v>
      </c>
      <c r="B1993" s="2" t="s">
        <v>19</v>
      </c>
      <c r="C1993">
        <v>887.64679000000001</v>
      </c>
    </row>
    <row r="1994" spans="1:3" x14ac:dyDescent="0.3">
      <c r="A1994" s="1">
        <v>45990</v>
      </c>
      <c r="B1994" s="2" t="s">
        <v>9</v>
      </c>
      <c r="C1994">
        <v>0.41538000000000003</v>
      </c>
    </row>
    <row r="1995" spans="1:3" x14ac:dyDescent="0.3">
      <c r="A1995" s="1">
        <v>45990</v>
      </c>
      <c r="B1995" s="2" t="s">
        <v>11</v>
      </c>
      <c r="C1995">
        <v>90851.757809999996</v>
      </c>
    </row>
    <row r="1996" spans="1:3" x14ac:dyDescent="0.3">
      <c r="A1996" s="1">
        <v>45990</v>
      </c>
      <c r="B1996" s="2" t="s">
        <v>13</v>
      </c>
      <c r="C1996">
        <v>136.08170999999999</v>
      </c>
    </row>
    <row r="1997" spans="1:3" x14ac:dyDescent="0.3">
      <c r="A1997" s="1">
        <v>45990</v>
      </c>
      <c r="B1997" s="2" t="s">
        <v>15</v>
      </c>
      <c r="C1997">
        <v>2.2033800000000001</v>
      </c>
    </row>
    <row r="1998" spans="1:3" x14ac:dyDescent="0.3">
      <c r="A1998" s="1">
        <v>45990</v>
      </c>
      <c r="B1998" s="2" t="s">
        <v>17</v>
      </c>
      <c r="C1998">
        <v>2991.6853000000001</v>
      </c>
    </row>
    <row r="1999" spans="1:3" x14ac:dyDescent="0.3">
      <c r="A1999" s="1">
        <v>45990</v>
      </c>
      <c r="B1999" s="2" t="s">
        <v>19</v>
      </c>
      <c r="C1999">
        <v>873.68988000000002</v>
      </c>
    </row>
    <row r="2000" spans="1:3" x14ac:dyDescent="0.3">
      <c r="A2000" s="1">
        <v>45991</v>
      </c>
      <c r="B2000" s="2" t="s">
        <v>9</v>
      </c>
      <c r="C2000">
        <v>0.41588999999999998</v>
      </c>
    </row>
    <row r="2001" spans="1:3" x14ac:dyDescent="0.3">
      <c r="A2001" s="1">
        <v>45991</v>
      </c>
      <c r="B2001" s="2" t="s">
        <v>11</v>
      </c>
      <c r="C2001">
        <v>90394.3125</v>
      </c>
    </row>
    <row r="2002" spans="1:3" x14ac:dyDescent="0.3">
      <c r="A2002" s="1">
        <v>45991</v>
      </c>
      <c r="B2002" s="2" t="s">
        <v>13</v>
      </c>
      <c r="C2002">
        <v>133.56482</v>
      </c>
    </row>
    <row r="2003" spans="1:3" x14ac:dyDescent="0.3">
      <c r="A2003" s="1">
        <v>45991</v>
      </c>
      <c r="B2003" s="2" t="s">
        <v>15</v>
      </c>
      <c r="C2003">
        <v>2.1609699999999998</v>
      </c>
    </row>
    <row r="2004" spans="1:3" x14ac:dyDescent="0.3">
      <c r="A2004" s="1">
        <v>45991</v>
      </c>
      <c r="B2004" s="2" t="s">
        <v>17</v>
      </c>
      <c r="C2004">
        <v>2992.1125499999998</v>
      </c>
    </row>
    <row r="2005" spans="1:3" x14ac:dyDescent="0.3">
      <c r="A2005" s="1">
        <v>45991</v>
      </c>
      <c r="B2005" s="2" t="s">
        <v>19</v>
      </c>
      <c r="C2005">
        <v>877.57677999999999</v>
      </c>
    </row>
    <row r="2006" spans="1:3" x14ac:dyDescent="0.3">
      <c r="A2006" s="1">
        <v>45992</v>
      </c>
      <c r="B2006" s="2" t="s">
        <v>9</v>
      </c>
      <c r="C2006">
        <v>0.38571</v>
      </c>
    </row>
    <row r="2007" spans="1:3" x14ac:dyDescent="0.3">
      <c r="A2007" s="1">
        <v>45992</v>
      </c>
      <c r="B2007" s="2" t="s">
        <v>11</v>
      </c>
      <c r="C2007">
        <v>86321.570309999996</v>
      </c>
    </row>
    <row r="2008" spans="1:3" x14ac:dyDescent="0.3">
      <c r="A2008" s="1">
        <v>45992</v>
      </c>
      <c r="B2008" s="2" t="s">
        <v>13</v>
      </c>
      <c r="C2008">
        <v>126.70902</v>
      </c>
    </row>
    <row r="2009" spans="1:3" x14ac:dyDescent="0.3">
      <c r="A2009" s="1">
        <v>45992</v>
      </c>
      <c r="B2009" s="2" t="s">
        <v>15</v>
      </c>
      <c r="C2009">
        <v>2.0309200000000001</v>
      </c>
    </row>
    <row r="2010" spans="1:3" x14ac:dyDescent="0.3">
      <c r="A2010" s="1">
        <v>45992</v>
      </c>
      <c r="B2010" s="2" t="s">
        <v>17</v>
      </c>
      <c r="C2010">
        <v>2800.1889700000002</v>
      </c>
    </row>
    <row r="2011" spans="1:3" x14ac:dyDescent="0.3">
      <c r="A2011" s="1">
        <v>45992</v>
      </c>
      <c r="B2011" s="2" t="s">
        <v>19</v>
      </c>
      <c r="C2011">
        <v>827.40539999999999</v>
      </c>
    </row>
    <row r="2012" spans="1:3" x14ac:dyDescent="0.3">
      <c r="A2012" s="1">
        <v>45993</v>
      </c>
      <c r="B2012" s="2" t="s">
        <v>9</v>
      </c>
      <c r="C2012">
        <v>0.43396000000000001</v>
      </c>
    </row>
    <row r="2013" spans="1:3" x14ac:dyDescent="0.3">
      <c r="A2013" s="1">
        <v>45993</v>
      </c>
      <c r="B2013" s="2" t="s">
        <v>11</v>
      </c>
      <c r="C2013">
        <v>91350.203129999994</v>
      </c>
    </row>
    <row r="2014" spans="1:3" x14ac:dyDescent="0.3">
      <c r="A2014" s="1">
        <v>45993</v>
      </c>
      <c r="B2014" s="2" t="s">
        <v>13</v>
      </c>
      <c r="C2014">
        <v>138.67420999999999</v>
      </c>
    </row>
    <row r="2015" spans="1:3" x14ac:dyDescent="0.3">
      <c r="A2015" s="1">
        <v>45993</v>
      </c>
      <c r="B2015" s="2" t="s">
        <v>15</v>
      </c>
      <c r="C2015">
        <v>2.1555200000000001</v>
      </c>
    </row>
    <row r="2016" spans="1:3" x14ac:dyDescent="0.3">
      <c r="A2016" s="1">
        <v>45993</v>
      </c>
      <c r="B2016" s="2" t="s">
        <v>17</v>
      </c>
      <c r="C2016">
        <v>2997.9396999999999</v>
      </c>
    </row>
    <row r="2017" spans="1:3" x14ac:dyDescent="0.3">
      <c r="A2017" s="1">
        <v>45993</v>
      </c>
      <c r="B2017" s="2" t="s">
        <v>19</v>
      </c>
      <c r="C2017">
        <v>877.03467000000001</v>
      </c>
    </row>
    <row r="2018" spans="1:3" x14ac:dyDescent="0.3">
      <c r="A2018" s="1">
        <v>45994</v>
      </c>
      <c r="B2018" s="2" t="s">
        <v>9</v>
      </c>
      <c r="C2018">
        <v>0.45080999999999999</v>
      </c>
    </row>
    <row r="2019" spans="1:3" x14ac:dyDescent="0.3">
      <c r="A2019" s="1">
        <v>45994</v>
      </c>
      <c r="B2019" s="2" t="s">
        <v>11</v>
      </c>
      <c r="C2019">
        <v>93527.804690000004</v>
      </c>
    </row>
    <row r="2020" spans="1:3" x14ac:dyDescent="0.3">
      <c r="A2020" s="1">
        <v>45994</v>
      </c>
      <c r="B2020" s="2" t="s">
        <v>13</v>
      </c>
      <c r="C2020">
        <v>144.89850000000001</v>
      </c>
    </row>
    <row r="2021" spans="1:3" x14ac:dyDescent="0.3">
      <c r="A2021" s="1">
        <v>45994</v>
      </c>
      <c r="B2021" s="2" t="s">
        <v>15</v>
      </c>
      <c r="C2021">
        <v>2.2019099999999998</v>
      </c>
    </row>
    <row r="2022" spans="1:3" x14ac:dyDescent="0.3">
      <c r="A2022" s="1">
        <v>45994</v>
      </c>
      <c r="B2022" s="2" t="s">
        <v>17</v>
      </c>
      <c r="C2022">
        <v>3191.5717800000002</v>
      </c>
    </row>
    <row r="2023" spans="1:3" x14ac:dyDescent="0.3">
      <c r="A2023" s="1">
        <v>45994</v>
      </c>
      <c r="B2023" s="2" t="s">
        <v>19</v>
      </c>
      <c r="C2023">
        <v>921.75372000000004</v>
      </c>
    </row>
    <row r="2024" spans="1:3" x14ac:dyDescent="0.3">
      <c r="A2024" s="1">
        <v>45995</v>
      </c>
      <c r="B2024" s="2" t="s">
        <v>9</v>
      </c>
      <c r="C2024">
        <v>0.43945000000000001</v>
      </c>
    </row>
    <row r="2025" spans="1:3" x14ac:dyDescent="0.3">
      <c r="A2025" s="1">
        <v>45995</v>
      </c>
      <c r="B2025" s="2" t="s">
        <v>11</v>
      </c>
      <c r="C2025">
        <v>92141.625</v>
      </c>
    </row>
    <row r="2026" spans="1:3" x14ac:dyDescent="0.3">
      <c r="A2026" s="1">
        <v>45995</v>
      </c>
      <c r="B2026" s="2" t="s">
        <v>13</v>
      </c>
      <c r="C2026">
        <v>139.01453000000001</v>
      </c>
    </row>
    <row r="2027" spans="1:3" x14ac:dyDescent="0.3">
      <c r="A2027" s="1">
        <v>45995</v>
      </c>
      <c r="B2027" s="2" t="s">
        <v>15</v>
      </c>
      <c r="C2027">
        <v>2.0971700000000002</v>
      </c>
    </row>
    <row r="2028" spans="1:3" x14ac:dyDescent="0.3">
      <c r="A2028" s="1">
        <v>45995</v>
      </c>
      <c r="B2028" s="2" t="s">
        <v>17</v>
      </c>
      <c r="C2028">
        <v>3134.3164099999999</v>
      </c>
    </row>
    <row r="2029" spans="1:3" x14ac:dyDescent="0.3">
      <c r="A2029" s="1">
        <v>45995</v>
      </c>
      <c r="B2029" s="2" t="s">
        <v>19</v>
      </c>
      <c r="C2029">
        <v>900.06610000000001</v>
      </c>
    </row>
    <row r="2030" spans="1:3" x14ac:dyDescent="0.3">
      <c r="A2030" s="1">
        <v>45996</v>
      </c>
      <c r="B2030" s="2" t="s">
        <v>9</v>
      </c>
      <c r="C2030">
        <v>0.41626999999999997</v>
      </c>
    </row>
    <row r="2031" spans="1:3" x14ac:dyDescent="0.3">
      <c r="A2031" s="1">
        <v>45996</v>
      </c>
      <c r="B2031" s="2" t="s">
        <v>11</v>
      </c>
      <c r="C2031">
        <v>89387.757809999996</v>
      </c>
    </row>
    <row r="2032" spans="1:3" x14ac:dyDescent="0.3">
      <c r="A2032" s="1">
        <v>45996</v>
      </c>
      <c r="B2032" s="2" t="s">
        <v>13</v>
      </c>
      <c r="C2032">
        <v>133.32300000000001</v>
      </c>
    </row>
    <row r="2033" spans="1:3" x14ac:dyDescent="0.3">
      <c r="A2033" s="1">
        <v>45996</v>
      </c>
      <c r="B2033" s="2" t="s">
        <v>15</v>
      </c>
      <c r="C2033">
        <v>2.0376099999999999</v>
      </c>
    </row>
    <row r="2034" spans="1:3" x14ac:dyDescent="0.3">
      <c r="A2034" s="1">
        <v>45996</v>
      </c>
      <c r="B2034" s="2" t="s">
        <v>17</v>
      </c>
      <c r="C2034">
        <v>3024.4328599999999</v>
      </c>
    </row>
    <row r="2035" spans="1:3" x14ac:dyDescent="0.3">
      <c r="A2035" s="1">
        <v>45996</v>
      </c>
      <c r="B2035" s="2" t="s">
        <v>19</v>
      </c>
      <c r="C2035">
        <v>884.21807999999999</v>
      </c>
    </row>
    <row r="2036" spans="1:3" x14ac:dyDescent="0.3">
      <c r="A2036" s="1">
        <v>45997</v>
      </c>
      <c r="B2036" s="2" t="s">
        <v>9</v>
      </c>
      <c r="C2036">
        <v>0.41393000000000002</v>
      </c>
    </row>
    <row r="2037" spans="1:3" x14ac:dyDescent="0.3">
      <c r="A2037" s="1">
        <v>45997</v>
      </c>
      <c r="B2037" s="2" t="s">
        <v>11</v>
      </c>
      <c r="C2037">
        <v>89272.375</v>
      </c>
    </row>
    <row r="2038" spans="1:3" x14ac:dyDescent="0.3">
      <c r="A2038" s="1">
        <v>45997</v>
      </c>
      <c r="B2038" s="2" t="s">
        <v>13</v>
      </c>
      <c r="C2038">
        <v>132.34845000000001</v>
      </c>
    </row>
    <row r="2039" spans="1:3" x14ac:dyDescent="0.3">
      <c r="A2039" s="1">
        <v>45997</v>
      </c>
      <c r="B2039" s="2" t="s">
        <v>15</v>
      </c>
      <c r="C2039">
        <v>2.0326200000000001</v>
      </c>
    </row>
    <row r="2040" spans="1:3" x14ac:dyDescent="0.3">
      <c r="A2040" s="1">
        <v>45997</v>
      </c>
      <c r="B2040" s="2" t="s">
        <v>17</v>
      </c>
      <c r="C2040">
        <v>3040.2077599999998</v>
      </c>
    </row>
    <row r="2041" spans="1:3" x14ac:dyDescent="0.3">
      <c r="A2041" s="1">
        <v>45997</v>
      </c>
      <c r="B2041" s="2" t="s">
        <v>19</v>
      </c>
      <c r="C2041">
        <v>890.54503999999997</v>
      </c>
    </row>
    <row r="2042" spans="1:3" x14ac:dyDescent="0.3">
      <c r="A2042" s="1">
        <v>45998</v>
      </c>
      <c r="B2042" s="2" t="s">
        <v>9</v>
      </c>
      <c r="C2042">
        <v>0.41681000000000001</v>
      </c>
    </row>
    <row r="2043" spans="1:3" x14ac:dyDescent="0.3">
      <c r="A2043" s="1">
        <v>45998</v>
      </c>
      <c r="B2043" s="2" t="s">
        <v>11</v>
      </c>
      <c r="C2043">
        <v>90405.640629999994</v>
      </c>
    </row>
    <row r="2044" spans="1:3" x14ac:dyDescent="0.3">
      <c r="A2044" s="1">
        <v>45998</v>
      </c>
      <c r="B2044" s="2" t="s">
        <v>13</v>
      </c>
      <c r="C2044">
        <v>132.09357</v>
      </c>
    </row>
    <row r="2045" spans="1:3" x14ac:dyDescent="0.3">
      <c r="A2045" s="1">
        <v>45998</v>
      </c>
      <c r="B2045" s="2" t="s">
        <v>15</v>
      </c>
      <c r="C2045">
        <v>2.0434199999999998</v>
      </c>
    </row>
    <row r="2046" spans="1:3" x14ac:dyDescent="0.3">
      <c r="A2046" s="1">
        <v>45998</v>
      </c>
      <c r="B2046" s="2" t="s">
        <v>17</v>
      </c>
      <c r="C2046">
        <v>3061.3017599999998</v>
      </c>
    </row>
    <row r="2047" spans="1:3" x14ac:dyDescent="0.3">
      <c r="A2047" s="1">
        <v>45998</v>
      </c>
      <c r="B2047" s="2" t="s">
        <v>19</v>
      </c>
      <c r="C2047">
        <v>894.02228000000002</v>
      </c>
    </row>
    <row r="2048" spans="1:3" x14ac:dyDescent="0.3">
      <c r="A2048" s="1">
        <v>45999</v>
      </c>
      <c r="B2048" s="2" t="s">
        <v>9</v>
      </c>
      <c r="C2048">
        <v>0.43219000000000002</v>
      </c>
    </row>
    <row r="2049" spans="1:3" x14ac:dyDescent="0.3">
      <c r="A2049" s="1">
        <v>45999</v>
      </c>
      <c r="B2049" s="2" t="s">
        <v>11</v>
      </c>
      <c r="C2049">
        <v>90640.203129999994</v>
      </c>
    </row>
    <row r="2050" spans="1:3" x14ac:dyDescent="0.3">
      <c r="A2050" s="1">
        <v>45999</v>
      </c>
      <c r="B2050" s="2" t="s">
        <v>13</v>
      </c>
      <c r="C2050">
        <v>133.27823000000001</v>
      </c>
    </row>
    <row r="2051" spans="1:3" x14ac:dyDescent="0.3">
      <c r="A2051" s="1">
        <v>45999</v>
      </c>
      <c r="B2051" s="2" t="s">
        <v>15</v>
      </c>
      <c r="C2051">
        <v>2.0731099999999998</v>
      </c>
    </row>
    <row r="2052" spans="1:3" x14ac:dyDescent="0.3">
      <c r="A2052" s="1">
        <v>45999</v>
      </c>
      <c r="B2052" s="2" t="s">
        <v>17</v>
      </c>
      <c r="C2052">
        <v>3125.1979999999999</v>
      </c>
    </row>
    <row r="2053" spans="1:3" x14ac:dyDescent="0.3">
      <c r="A2053" s="1">
        <v>45999</v>
      </c>
      <c r="B2053" s="2" t="s">
        <v>19</v>
      </c>
      <c r="C2053">
        <v>897.60406</v>
      </c>
    </row>
    <row r="2054" spans="1:3" x14ac:dyDescent="0.3">
      <c r="A2054" s="1">
        <v>46000</v>
      </c>
      <c r="B2054" s="2" t="s">
        <v>9</v>
      </c>
      <c r="C2054">
        <v>0.47000999999999998</v>
      </c>
    </row>
    <row r="2055" spans="1:3" x14ac:dyDescent="0.3">
      <c r="A2055" s="1">
        <v>46000</v>
      </c>
      <c r="B2055" s="2" t="s">
        <v>11</v>
      </c>
      <c r="C2055">
        <v>92691.710940000004</v>
      </c>
    </row>
    <row r="2056" spans="1:3" x14ac:dyDescent="0.3">
      <c r="A2056" s="1">
        <v>46000</v>
      </c>
      <c r="B2056" s="2" t="s">
        <v>13</v>
      </c>
      <c r="C2056">
        <v>137.90161000000001</v>
      </c>
    </row>
    <row r="2057" spans="1:3" x14ac:dyDescent="0.3">
      <c r="A2057" s="1">
        <v>46000</v>
      </c>
      <c r="B2057" s="2" t="s">
        <v>15</v>
      </c>
      <c r="C2057">
        <v>2.1084200000000002</v>
      </c>
    </row>
    <row r="2058" spans="1:3" x14ac:dyDescent="0.3">
      <c r="A2058" s="1">
        <v>46000</v>
      </c>
      <c r="B2058" s="2" t="s">
        <v>17</v>
      </c>
      <c r="C2058">
        <v>3321.11499</v>
      </c>
    </row>
    <row r="2059" spans="1:3" x14ac:dyDescent="0.3">
      <c r="A2059" s="1">
        <v>46000</v>
      </c>
      <c r="B2059" s="2" t="s">
        <v>19</v>
      </c>
      <c r="C2059">
        <v>898.81042000000002</v>
      </c>
    </row>
    <row r="2060" spans="1:3" x14ac:dyDescent="0.3">
      <c r="A2060" s="1">
        <v>46001</v>
      </c>
      <c r="B2060" s="2" t="s">
        <v>9</v>
      </c>
      <c r="C2060">
        <v>0.45390000000000003</v>
      </c>
    </row>
    <row r="2061" spans="1:3" x14ac:dyDescent="0.3">
      <c r="A2061" s="1">
        <v>46001</v>
      </c>
      <c r="B2061" s="2" t="s">
        <v>11</v>
      </c>
      <c r="C2061">
        <v>92020.945309999996</v>
      </c>
    </row>
    <row r="2062" spans="1:3" x14ac:dyDescent="0.3">
      <c r="A2062" s="1">
        <v>46001</v>
      </c>
      <c r="B2062" s="2" t="s">
        <v>13</v>
      </c>
      <c r="C2062">
        <v>136.46902</v>
      </c>
    </row>
    <row r="2063" spans="1:3" x14ac:dyDescent="0.3">
      <c r="A2063" s="1">
        <v>46001</v>
      </c>
      <c r="B2063" s="2" t="s">
        <v>15</v>
      </c>
      <c r="C2063">
        <v>2.0433400000000002</v>
      </c>
    </row>
    <row r="2064" spans="1:3" x14ac:dyDescent="0.3">
      <c r="A2064" s="1">
        <v>46001</v>
      </c>
      <c r="B2064" s="2" t="s">
        <v>17</v>
      </c>
      <c r="C2064">
        <v>3325.39014</v>
      </c>
    </row>
    <row r="2065" spans="1:3" x14ac:dyDescent="0.3">
      <c r="A2065" s="1">
        <v>46001</v>
      </c>
      <c r="B2065" s="2" t="s">
        <v>19</v>
      </c>
      <c r="C2065">
        <v>894.65062999999998</v>
      </c>
    </row>
    <row r="2066" spans="1:3" x14ac:dyDescent="0.3">
      <c r="A2066" s="1">
        <v>46002</v>
      </c>
      <c r="B2066" s="2" t="s">
        <v>9</v>
      </c>
      <c r="C2066">
        <v>0.42534</v>
      </c>
    </row>
    <row r="2067" spans="1:3" x14ac:dyDescent="0.3">
      <c r="A2067" s="1">
        <v>46002</v>
      </c>
      <c r="B2067" s="2" t="s">
        <v>11</v>
      </c>
      <c r="C2067">
        <v>92511.335940000004</v>
      </c>
    </row>
    <row r="2068" spans="1:3" x14ac:dyDescent="0.3">
      <c r="A2068" s="1">
        <v>46002</v>
      </c>
      <c r="B2068" s="2" t="s">
        <v>13</v>
      </c>
      <c r="C2068">
        <v>136.37156999999999</v>
      </c>
    </row>
    <row r="2069" spans="1:3" x14ac:dyDescent="0.3">
      <c r="A2069" s="1">
        <v>46002</v>
      </c>
      <c r="B2069" s="2" t="s">
        <v>15</v>
      </c>
      <c r="C2069">
        <v>2.0355099999999999</v>
      </c>
    </row>
    <row r="2070" spans="1:3" x14ac:dyDescent="0.3">
      <c r="A2070" s="1">
        <v>46002</v>
      </c>
      <c r="B2070" s="2" t="s">
        <v>17</v>
      </c>
      <c r="C2070">
        <v>3237.0568899999998</v>
      </c>
    </row>
    <row r="2071" spans="1:3" x14ac:dyDescent="0.3">
      <c r="A2071" s="1">
        <v>46002</v>
      </c>
      <c r="B2071" s="2" t="s">
        <v>19</v>
      </c>
      <c r="C2071">
        <v>886.16663000000005</v>
      </c>
    </row>
    <row r="2072" spans="1:3" x14ac:dyDescent="0.3">
      <c r="A2072" s="1">
        <v>46003</v>
      </c>
      <c r="B2072" s="2" t="s">
        <v>9</v>
      </c>
      <c r="C2072">
        <v>0.40914</v>
      </c>
    </row>
    <row r="2073" spans="1:3" x14ac:dyDescent="0.3">
      <c r="A2073" s="1">
        <v>46003</v>
      </c>
      <c r="B2073" s="2" t="s">
        <v>11</v>
      </c>
      <c r="C2073">
        <v>90270.414059999996</v>
      </c>
    </row>
    <row r="2074" spans="1:3" x14ac:dyDescent="0.3">
      <c r="A2074" s="1">
        <v>46003</v>
      </c>
      <c r="B2074" s="2" t="s">
        <v>13</v>
      </c>
      <c r="C2074">
        <v>132.32429999999999</v>
      </c>
    </row>
    <row r="2075" spans="1:3" x14ac:dyDescent="0.3">
      <c r="A2075" s="1">
        <v>46003</v>
      </c>
      <c r="B2075" s="2" t="s">
        <v>15</v>
      </c>
      <c r="C2075">
        <v>2.00915</v>
      </c>
    </row>
    <row r="2076" spans="1:3" x14ac:dyDescent="0.3">
      <c r="A2076" s="1">
        <v>46003</v>
      </c>
      <c r="B2076" s="2" t="s">
        <v>17</v>
      </c>
      <c r="C2076">
        <v>3084.1726100000001</v>
      </c>
    </row>
    <row r="2077" spans="1:3" x14ac:dyDescent="0.3">
      <c r="A2077" s="1">
        <v>46003</v>
      </c>
      <c r="B2077" s="2" t="s">
        <v>19</v>
      </c>
      <c r="C2077">
        <v>881.86761000000001</v>
      </c>
    </row>
    <row r="2078" spans="1:3" x14ac:dyDescent="0.3">
      <c r="A2078" s="1">
        <v>46004</v>
      </c>
      <c r="B2078" s="2" t="s">
        <v>9</v>
      </c>
      <c r="C2078">
        <v>0.41105999999999998</v>
      </c>
    </row>
    <row r="2079" spans="1:3" x14ac:dyDescent="0.3">
      <c r="A2079" s="1">
        <v>46004</v>
      </c>
      <c r="B2079" s="2" t="s">
        <v>11</v>
      </c>
      <c r="C2079">
        <v>90298.710940000004</v>
      </c>
    </row>
    <row r="2080" spans="1:3" x14ac:dyDescent="0.3">
      <c r="A2080" s="1">
        <v>46004</v>
      </c>
      <c r="B2080" s="2" t="s">
        <v>13</v>
      </c>
      <c r="C2080">
        <v>133.24746999999999</v>
      </c>
    </row>
    <row r="2081" spans="1:3" x14ac:dyDescent="0.3">
      <c r="A2081" s="1">
        <v>46004</v>
      </c>
      <c r="B2081" s="2" t="s">
        <v>15</v>
      </c>
      <c r="C2081">
        <v>2.02399</v>
      </c>
    </row>
    <row r="2082" spans="1:3" x14ac:dyDescent="0.3">
      <c r="A2082" s="1">
        <v>46004</v>
      </c>
      <c r="B2082" s="2" t="s">
        <v>17</v>
      </c>
      <c r="C2082">
        <v>3116.6953100000001</v>
      </c>
    </row>
    <row r="2083" spans="1:3" x14ac:dyDescent="0.3">
      <c r="A2083" s="1">
        <v>46004</v>
      </c>
      <c r="B2083" s="2" t="s">
        <v>19</v>
      </c>
      <c r="C2083">
        <v>897.42957000000001</v>
      </c>
    </row>
    <row r="2084" spans="1:3" x14ac:dyDescent="0.3">
      <c r="A2084" s="1">
        <v>46005</v>
      </c>
      <c r="B2084" s="2" t="s">
        <v>9</v>
      </c>
      <c r="C2084">
        <v>0.39657999999999999</v>
      </c>
    </row>
    <row r="2085" spans="1:3" x14ac:dyDescent="0.3">
      <c r="A2085" s="1">
        <v>46005</v>
      </c>
      <c r="B2085" s="2" t="s">
        <v>11</v>
      </c>
      <c r="C2085">
        <v>88175.179690000004</v>
      </c>
    </row>
    <row r="2086" spans="1:3" x14ac:dyDescent="0.3">
      <c r="A2086" s="1">
        <v>46005</v>
      </c>
      <c r="B2086" s="2" t="s">
        <v>13</v>
      </c>
      <c r="C2086">
        <v>129.48108999999999</v>
      </c>
    </row>
    <row r="2087" spans="1:3" x14ac:dyDescent="0.3">
      <c r="A2087" s="1">
        <v>46005</v>
      </c>
      <c r="B2087" s="2" t="s">
        <v>15</v>
      </c>
      <c r="C2087">
        <v>1.97929</v>
      </c>
    </row>
    <row r="2088" spans="1:3" x14ac:dyDescent="0.3">
      <c r="A2088" s="1">
        <v>46005</v>
      </c>
      <c r="B2088" s="2" t="s">
        <v>17</v>
      </c>
      <c r="C2088">
        <v>3060.5947299999998</v>
      </c>
    </row>
    <row r="2089" spans="1:3" x14ac:dyDescent="0.3">
      <c r="A2089" s="1">
        <v>46005</v>
      </c>
      <c r="B2089" s="2" t="s">
        <v>19</v>
      </c>
      <c r="C2089">
        <v>877.80687999999998</v>
      </c>
    </row>
    <row r="2090" spans="1:3" x14ac:dyDescent="0.3">
      <c r="A2090" s="1">
        <v>46006</v>
      </c>
      <c r="B2090" s="2" t="s">
        <v>9</v>
      </c>
      <c r="C2090">
        <v>0.38808999999999999</v>
      </c>
    </row>
    <row r="2091" spans="1:3" x14ac:dyDescent="0.3">
      <c r="A2091" s="1">
        <v>46006</v>
      </c>
      <c r="B2091" s="2" t="s">
        <v>11</v>
      </c>
      <c r="C2091">
        <v>86419.78125</v>
      </c>
    </row>
    <row r="2092" spans="1:3" x14ac:dyDescent="0.3">
      <c r="A2092" s="1">
        <v>46006</v>
      </c>
      <c r="B2092" s="2" t="s">
        <v>13</v>
      </c>
      <c r="C2092">
        <v>127.75712</v>
      </c>
    </row>
    <row r="2093" spans="1:3" x14ac:dyDescent="0.3">
      <c r="A2093" s="1">
        <v>46006</v>
      </c>
      <c r="B2093" s="2" t="s">
        <v>15</v>
      </c>
      <c r="C2093">
        <v>1.8986700000000001</v>
      </c>
    </row>
    <row r="2094" spans="1:3" x14ac:dyDescent="0.3">
      <c r="A2094" s="1">
        <v>46006</v>
      </c>
      <c r="B2094" s="2" t="s">
        <v>17</v>
      </c>
      <c r="C2094">
        <v>2964.1831099999999</v>
      </c>
    </row>
    <row r="2095" spans="1:3" x14ac:dyDescent="0.3">
      <c r="A2095" s="1">
        <v>46006</v>
      </c>
      <c r="B2095" s="2" t="s">
        <v>19</v>
      </c>
      <c r="C2095">
        <v>858.54511000000002</v>
      </c>
    </row>
    <row r="2096" spans="1:3" x14ac:dyDescent="0.3">
      <c r="A2096" s="1">
        <v>46007</v>
      </c>
      <c r="B2096" s="2" t="s">
        <v>9</v>
      </c>
      <c r="C2096">
        <v>0.38573000000000002</v>
      </c>
    </row>
    <row r="2097" spans="1:3" x14ac:dyDescent="0.3">
      <c r="A2097" s="1">
        <v>46007</v>
      </c>
      <c r="B2097" s="2" t="s">
        <v>11</v>
      </c>
      <c r="C2097">
        <v>87843.984379999994</v>
      </c>
    </row>
    <row r="2098" spans="1:3" x14ac:dyDescent="0.3">
      <c r="A2098" s="1">
        <v>46007</v>
      </c>
      <c r="B2098" s="2" t="s">
        <v>13</v>
      </c>
      <c r="C2098">
        <v>129.25120999999999</v>
      </c>
    </row>
    <row r="2099" spans="1:3" x14ac:dyDescent="0.3">
      <c r="A2099" s="1">
        <v>46007</v>
      </c>
      <c r="B2099" s="2" t="s">
        <v>15</v>
      </c>
      <c r="C2099">
        <v>1.93007</v>
      </c>
    </row>
    <row r="2100" spans="1:3" x14ac:dyDescent="0.3">
      <c r="A2100" s="1">
        <v>46007</v>
      </c>
      <c r="B2100" s="2" t="s">
        <v>17</v>
      </c>
      <c r="C2100">
        <v>2964.18091</v>
      </c>
    </row>
    <row r="2101" spans="1:3" x14ac:dyDescent="0.3">
      <c r="A2101" s="1">
        <v>46007</v>
      </c>
      <c r="B2101" s="2" t="s">
        <v>19</v>
      </c>
      <c r="C2101">
        <v>874.89904999999999</v>
      </c>
    </row>
    <row r="2102" spans="1:3" x14ac:dyDescent="0.3">
      <c r="A2102" s="1">
        <v>46008</v>
      </c>
      <c r="B2102" s="2" t="s">
        <v>9</v>
      </c>
      <c r="C2102">
        <v>0.36649999999999999</v>
      </c>
    </row>
    <row r="2103" spans="1:3" x14ac:dyDescent="0.3">
      <c r="A2103" s="1">
        <v>46008</v>
      </c>
      <c r="B2103" s="2" t="s">
        <v>11</v>
      </c>
      <c r="C2103">
        <v>86143.757809999996</v>
      </c>
    </row>
    <row r="2104" spans="1:3" x14ac:dyDescent="0.3">
      <c r="A2104" s="1">
        <v>46008</v>
      </c>
      <c r="B2104" s="2" t="s">
        <v>13</v>
      </c>
      <c r="C2104">
        <v>123.1198</v>
      </c>
    </row>
    <row r="2105" spans="1:3" x14ac:dyDescent="0.3">
      <c r="A2105" s="1">
        <v>46008</v>
      </c>
      <c r="B2105" s="2" t="s">
        <v>15</v>
      </c>
      <c r="C2105">
        <v>1.8618399999999999</v>
      </c>
    </row>
    <row r="2106" spans="1:3" x14ac:dyDescent="0.3">
      <c r="A2106" s="1">
        <v>46008</v>
      </c>
      <c r="B2106" s="2" t="s">
        <v>17</v>
      </c>
      <c r="C2106">
        <v>2831.4035600000002</v>
      </c>
    </row>
    <row r="2107" spans="1:3" x14ac:dyDescent="0.3">
      <c r="A2107" s="1">
        <v>46008</v>
      </c>
      <c r="B2107" s="2" t="s">
        <v>19</v>
      </c>
      <c r="C2107">
        <v>842.93017999999995</v>
      </c>
    </row>
    <row r="2108" spans="1:3" x14ac:dyDescent="0.3">
      <c r="A2108" s="1">
        <v>46009</v>
      </c>
      <c r="B2108" s="2" t="s">
        <v>9</v>
      </c>
      <c r="C2108">
        <v>0.35142000000000001</v>
      </c>
    </row>
    <row r="2109" spans="1:3" x14ac:dyDescent="0.3">
      <c r="A2109" s="1">
        <v>46009</v>
      </c>
      <c r="B2109" s="2" t="s">
        <v>11</v>
      </c>
      <c r="C2109">
        <v>85462.507809999996</v>
      </c>
    </row>
    <row r="2110" spans="1:3" x14ac:dyDescent="0.3">
      <c r="A2110" s="1">
        <v>46009</v>
      </c>
      <c r="B2110" s="2" t="s">
        <v>13</v>
      </c>
      <c r="C2110">
        <v>119.57015</v>
      </c>
    </row>
    <row r="2111" spans="1:3" x14ac:dyDescent="0.3">
      <c r="A2111" s="1">
        <v>46009</v>
      </c>
      <c r="B2111" s="2" t="s">
        <v>15</v>
      </c>
      <c r="C2111">
        <v>1.8077799999999999</v>
      </c>
    </row>
    <row r="2112" spans="1:3" x14ac:dyDescent="0.3">
      <c r="A2112" s="1">
        <v>46009</v>
      </c>
      <c r="B2112" s="2" t="s">
        <v>17</v>
      </c>
      <c r="C2112">
        <v>2827.06909</v>
      </c>
    </row>
    <row r="2113" spans="1:3" x14ac:dyDescent="0.3">
      <c r="A2113" s="1">
        <v>46009</v>
      </c>
      <c r="B2113" s="2" t="s">
        <v>19</v>
      </c>
      <c r="C2113">
        <v>829.30115000000001</v>
      </c>
    </row>
    <row r="2114" spans="1:3" x14ac:dyDescent="0.3">
      <c r="A2114" s="1">
        <v>46010</v>
      </c>
      <c r="B2114" s="2" t="s">
        <v>9</v>
      </c>
      <c r="C2114">
        <v>0.37663000000000002</v>
      </c>
    </row>
    <row r="2115" spans="1:3" x14ac:dyDescent="0.3">
      <c r="A2115" s="1">
        <v>46010</v>
      </c>
      <c r="B2115" s="2" t="s">
        <v>11</v>
      </c>
      <c r="C2115">
        <v>88103.382809999996</v>
      </c>
    </row>
    <row r="2116" spans="1:3" x14ac:dyDescent="0.3">
      <c r="A2116" s="1">
        <v>46010</v>
      </c>
      <c r="B2116" s="2" t="s">
        <v>13</v>
      </c>
      <c r="C2116">
        <v>126.19275</v>
      </c>
    </row>
    <row r="2117" spans="1:3" x14ac:dyDescent="0.3">
      <c r="A2117" s="1">
        <v>46010</v>
      </c>
      <c r="B2117" s="2" t="s">
        <v>15</v>
      </c>
      <c r="C2117">
        <v>1.9073899999999999</v>
      </c>
    </row>
    <row r="2118" spans="1:3" x14ac:dyDescent="0.3">
      <c r="A2118" s="1">
        <v>46010</v>
      </c>
      <c r="B2118" s="2" t="s">
        <v>17</v>
      </c>
      <c r="C2118">
        <v>2977.9706999999999</v>
      </c>
    </row>
    <row r="2119" spans="1:3" x14ac:dyDescent="0.3">
      <c r="A2119" s="1">
        <v>46010</v>
      </c>
      <c r="B2119" s="2" t="s">
        <v>19</v>
      </c>
      <c r="C2119">
        <v>855.94330000000002</v>
      </c>
    </row>
    <row r="2120" spans="1:3" x14ac:dyDescent="0.3">
      <c r="A2120" s="1">
        <v>46011</v>
      </c>
      <c r="B2120" s="2" t="s">
        <v>9</v>
      </c>
      <c r="C2120">
        <v>0.37309999999999999</v>
      </c>
    </row>
    <row r="2121" spans="1:3" x14ac:dyDescent="0.3">
      <c r="A2121" s="1">
        <v>46011</v>
      </c>
      <c r="B2121" s="2" t="s">
        <v>11</v>
      </c>
      <c r="C2121">
        <v>88344</v>
      </c>
    </row>
    <row r="2122" spans="1:3" x14ac:dyDescent="0.3">
      <c r="A2122" s="1">
        <v>46011</v>
      </c>
      <c r="B2122" s="2" t="s">
        <v>13</v>
      </c>
      <c r="C2122">
        <v>125.80904</v>
      </c>
    </row>
    <row r="2123" spans="1:3" x14ac:dyDescent="0.3">
      <c r="A2123" s="1">
        <v>46011</v>
      </c>
      <c r="B2123" s="2" t="s">
        <v>15</v>
      </c>
      <c r="C2123">
        <v>1.9323999999999999</v>
      </c>
    </row>
    <row r="2124" spans="1:3" x14ac:dyDescent="0.3">
      <c r="A2124" s="1">
        <v>46011</v>
      </c>
      <c r="B2124" s="2" t="s">
        <v>17</v>
      </c>
      <c r="C2124">
        <v>2977.5825199999999</v>
      </c>
    </row>
    <row r="2125" spans="1:3" x14ac:dyDescent="0.3">
      <c r="A2125" s="1">
        <v>46011</v>
      </c>
      <c r="B2125" s="2" t="s">
        <v>19</v>
      </c>
      <c r="C2125">
        <v>853.58618000000001</v>
      </c>
    </row>
    <row r="2126" spans="1:3" x14ac:dyDescent="0.3">
      <c r="A2126" s="1">
        <v>46012</v>
      </c>
      <c r="B2126" s="2" t="s">
        <v>9</v>
      </c>
      <c r="C2126">
        <v>0.36588999999999999</v>
      </c>
    </row>
    <row r="2127" spans="1:3" x14ac:dyDescent="0.3">
      <c r="A2127" s="1">
        <v>46012</v>
      </c>
      <c r="B2127" s="2" t="s">
        <v>11</v>
      </c>
      <c r="C2127">
        <v>88621.75</v>
      </c>
    </row>
    <row r="2128" spans="1:3" x14ac:dyDescent="0.3">
      <c r="A2128" s="1">
        <v>46012</v>
      </c>
      <c r="B2128" s="2" t="s">
        <v>13</v>
      </c>
      <c r="C2128">
        <v>125.9915</v>
      </c>
    </row>
    <row r="2129" spans="1:3" x14ac:dyDescent="0.3">
      <c r="A2129" s="1">
        <v>46012</v>
      </c>
      <c r="B2129" s="2" t="s">
        <v>15</v>
      </c>
      <c r="C2129">
        <v>1.92201</v>
      </c>
    </row>
    <row r="2130" spans="1:3" x14ac:dyDescent="0.3">
      <c r="A2130" s="1">
        <v>46012</v>
      </c>
      <c r="B2130" s="2" t="s">
        <v>17</v>
      </c>
      <c r="C2130">
        <v>3001.6137699999999</v>
      </c>
    </row>
    <row r="2131" spans="1:3" x14ac:dyDescent="0.3">
      <c r="A2131" s="1">
        <v>46012</v>
      </c>
      <c r="B2131" s="2" t="s">
        <v>19</v>
      </c>
      <c r="C2131">
        <v>857.88922000000002</v>
      </c>
    </row>
    <row r="2132" spans="1:3" x14ac:dyDescent="0.3">
      <c r="A2132" s="1">
        <v>46013</v>
      </c>
      <c r="B2132" s="2" t="s">
        <v>9</v>
      </c>
      <c r="C2132">
        <v>0.37080999999999997</v>
      </c>
    </row>
    <row r="2133" spans="1:3" x14ac:dyDescent="0.3">
      <c r="A2133" s="1">
        <v>46013</v>
      </c>
      <c r="B2133" s="2" t="s">
        <v>11</v>
      </c>
      <c r="C2133">
        <v>88490.015629999994</v>
      </c>
    </row>
    <row r="2134" spans="1:3" x14ac:dyDescent="0.3">
      <c r="A2134" s="1">
        <v>46013</v>
      </c>
      <c r="B2134" s="2" t="s">
        <v>13</v>
      </c>
      <c r="C2134">
        <v>125.80123</v>
      </c>
    </row>
    <row r="2135" spans="1:3" x14ac:dyDescent="0.3">
      <c r="A2135" s="1">
        <v>46013</v>
      </c>
      <c r="B2135" s="2" t="s">
        <v>15</v>
      </c>
      <c r="C2135">
        <v>1.90276</v>
      </c>
    </row>
    <row r="2136" spans="1:3" x14ac:dyDescent="0.3">
      <c r="A2136" s="1">
        <v>46013</v>
      </c>
      <c r="B2136" s="2" t="s">
        <v>17</v>
      </c>
      <c r="C2136">
        <v>3006.0737300000001</v>
      </c>
    </row>
    <row r="2137" spans="1:3" x14ac:dyDescent="0.3">
      <c r="A2137" s="1">
        <v>46013</v>
      </c>
      <c r="B2137" s="2" t="s">
        <v>19</v>
      </c>
      <c r="C2137">
        <v>857.85742000000005</v>
      </c>
    </row>
    <row r="2138" spans="1:3" x14ac:dyDescent="0.3">
      <c r="A2138" s="1">
        <v>46014</v>
      </c>
      <c r="B2138" s="2" t="s">
        <v>9</v>
      </c>
      <c r="C2138">
        <v>0.36285000000000001</v>
      </c>
    </row>
    <row r="2139" spans="1:3" x14ac:dyDescent="0.3">
      <c r="A2139" s="1">
        <v>46014</v>
      </c>
      <c r="B2139" s="2" t="s">
        <v>11</v>
      </c>
      <c r="C2139">
        <v>87414</v>
      </c>
    </row>
    <row r="2140" spans="1:3" x14ac:dyDescent="0.3">
      <c r="A2140" s="1">
        <v>46014</v>
      </c>
      <c r="B2140" s="2" t="s">
        <v>13</v>
      </c>
      <c r="C2140">
        <v>123.85722</v>
      </c>
    </row>
    <row r="2141" spans="1:3" x14ac:dyDescent="0.3">
      <c r="A2141" s="1">
        <v>46014</v>
      </c>
      <c r="B2141" s="2" t="s">
        <v>15</v>
      </c>
      <c r="C2141">
        <v>1.8728199999999999</v>
      </c>
    </row>
    <row r="2142" spans="1:3" x14ac:dyDescent="0.3">
      <c r="A2142" s="1">
        <v>46014</v>
      </c>
      <c r="B2142" s="2" t="s">
        <v>17</v>
      </c>
      <c r="C2142">
        <v>2963.3740200000002</v>
      </c>
    </row>
    <row r="2143" spans="1:3" x14ac:dyDescent="0.3">
      <c r="A2143" s="1">
        <v>46014</v>
      </c>
      <c r="B2143" s="2" t="s">
        <v>19</v>
      </c>
      <c r="C2143">
        <v>843.77142000000003</v>
      </c>
    </row>
    <row r="2144" spans="1:3" x14ac:dyDescent="0.3">
      <c r="A2144" s="1">
        <v>46015</v>
      </c>
      <c r="B2144" s="2" t="s">
        <v>9</v>
      </c>
      <c r="C2144">
        <v>0.35641</v>
      </c>
    </row>
    <row r="2145" spans="1:3" x14ac:dyDescent="0.3">
      <c r="A2145" s="1">
        <v>46015</v>
      </c>
      <c r="B2145" s="2" t="s">
        <v>11</v>
      </c>
      <c r="C2145">
        <v>87611.960940000004</v>
      </c>
    </row>
    <row r="2146" spans="1:3" x14ac:dyDescent="0.3">
      <c r="A2146" s="1">
        <v>46015</v>
      </c>
      <c r="B2146" s="2" t="s">
        <v>13</v>
      </c>
      <c r="C2146">
        <v>122.4586</v>
      </c>
    </row>
    <row r="2147" spans="1:3" x14ac:dyDescent="0.3">
      <c r="A2147" s="1">
        <v>46015</v>
      </c>
      <c r="B2147" s="2" t="s">
        <v>15</v>
      </c>
      <c r="C2147">
        <v>1.86117</v>
      </c>
    </row>
    <row r="2148" spans="1:3" x14ac:dyDescent="0.3">
      <c r="A2148" s="1">
        <v>46015</v>
      </c>
      <c r="B2148" s="2" t="s">
        <v>17</v>
      </c>
      <c r="C2148">
        <v>2945.59058</v>
      </c>
    </row>
    <row r="2149" spans="1:3" x14ac:dyDescent="0.3">
      <c r="A2149" s="1">
        <v>46015</v>
      </c>
      <c r="B2149" s="2" t="s">
        <v>19</v>
      </c>
      <c r="C2149">
        <v>846.25963999999999</v>
      </c>
    </row>
    <row r="2150" spans="1:3" x14ac:dyDescent="0.3">
      <c r="A2150" s="1">
        <v>46016</v>
      </c>
      <c r="B2150" s="2" t="s">
        <v>9</v>
      </c>
      <c r="C2150">
        <v>0.34322000000000003</v>
      </c>
    </row>
    <row r="2151" spans="1:3" x14ac:dyDescent="0.3">
      <c r="A2151" s="1">
        <v>46016</v>
      </c>
      <c r="B2151" s="2" t="s">
        <v>11</v>
      </c>
      <c r="C2151">
        <v>87234.742190000004</v>
      </c>
    </row>
    <row r="2152" spans="1:3" x14ac:dyDescent="0.3">
      <c r="A2152" s="1">
        <v>46016</v>
      </c>
      <c r="B2152" s="2" t="s">
        <v>13</v>
      </c>
      <c r="C2152">
        <v>119.94712</v>
      </c>
    </row>
    <row r="2153" spans="1:3" x14ac:dyDescent="0.3">
      <c r="A2153" s="1">
        <v>46016</v>
      </c>
      <c r="B2153" s="2" t="s">
        <v>15</v>
      </c>
      <c r="C2153">
        <v>1.8318399999999999</v>
      </c>
    </row>
    <row r="2154" spans="1:3" x14ac:dyDescent="0.3">
      <c r="A2154" s="1">
        <v>46016</v>
      </c>
      <c r="B2154" s="2" t="s">
        <v>17</v>
      </c>
      <c r="C2154">
        <v>2903.5795899999998</v>
      </c>
    </row>
    <row r="2155" spans="1:3" x14ac:dyDescent="0.3">
      <c r="A2155" s="1">
        <v>46016</v>
      </c>
      <c r="B2155" s="2" t="s">
        <v>19</v>
      </c>
      <c r="C2155">
        <v>829.42444</v>
      </c>
    </row>
    <row r="2156" spans="1:3" x14ac:dyDescent="0.3">
      <c r="A2156" s="1">
        <v>46017</v>
      </c>
      <c r="B2156" s="2" t="s">
        <v>9</v>
      </c>
      <c r="C2156">
        <v>0.34958</v>
      </c>
    </row>
    <row r="2157" spans="1:3" x14ac:dyDescent="0.3">
      <c r="A2157" s="1">
        <v>46017</v>
      </c>
      <c r="B2157" s="2" t="s">
        <v>11</v>
      </c>
      <c r="C2157">
        <v>87301.429690000004</v>
      </c>
    </row>
    <row r="2158" spans="1:3" x14ac:dyDescent="0.3">
      <c r="A2158" s="1">
        <v>46017</v>
      </c>
      <c r="B2158" s="2" t="s">
        <v>13</v>
      </c>
      <c r="C2158">
        <v>122.19595</v>
      </c>
    </row>
    <row r="2159" spans="1:3" x14ac:dyDescent="0.3">
      <c r="A2159" s="1">
        <v>46017</v>
      </c>
      <c r="B2159" s="2" t="s">
        <v>15</v>
      </c>
      <c r="C2159">
        <v>1.8429599999999999</v>
      </c>
    </row>
    <row r="2160" spans="1:3" x14ac:dyDescent="0.3">
      <c r="A2160" s="1">
        <v>46017</v>
      </c>
      <c r="B2160" s="2" t="s">
        <v>17</v>
      </c>
      <c r="C2160">
        <v>2925.7456099999999</v>
      </c>
    </row>
    <row r="2161" spans="1:3" x14ac:dyDescent="0.3">
      <c r="A2161" s="1">
        <v>46017</v>
      </c>
      <c r="B2161" s="2" t="s">
        <v>19</v>
      </c>
      <c r="C2161">
        <v>834.15155000000004</v>
      </c>
    </row>
    <row r="2162" spans="1:3" x14ac:dyDescent="0.3">
      <c r="A2162" s="1">
        <v>46018</v>
      </c>
      <c r="B2162" s="2" t="s">
        <v>9</v>
      </c>
      <c r="C2162">
        <v>0.36953999999999998</v>
      </c>
    </row>
    <row r="2163" spans="1:3" x14ac:dyDescent="0.3">
      <c r="A2163" s="1">
        <v>46018</v>
      </c>
      <c r="B2163" s="2" t="s">
        <v>11</v>
      </c>
      <c r="C2163">
        <v>87802.15625</v>
      </c>
    </row>
    <row r="2164" spans="1:3" x14ac:dyDescent="0.3">
      <c r="A2164" s="1">
        <v>46018</v>
      </c>
      <c r="B2164" s="2" t="s">
        <v>13</v>
      </c>
      <c r="C2164">
        <v>124.64771</v>
      </c>
    </row>
    <row r="2165" spans="1:3" x14ac:dyDescent="0.3">
      <c r="A2165" s="1">
        <v>46018</v>
      </c>
      <c r="B2165" s="2" t="s">
        <v>15</v>
      </c>
      <c r="C2165">
        <v>1.8728499999999999</v>
      </c>
    </row>
    <row r="2166" spans="1:3" x14ac:dyDescent="0.3">
      <c r="A2166" s="1">
        <v>46018</v>
      </c>
      <c r="B2166" s="2" t="s">
        <v>17</v>
      </c>
      <c r="C2166">
        <v>2947.99829</v>
      </c>
    </row>
    <row r="2167" spans="1:3" x14ac:dyDescent="0.3">
      <c r="A2167" s="1">
        <v>46018</v>
      </c>
      <c r="B2167" s="2" t="s">
        <v>19</v>
      </c>
      <c r="C2167">
        <v>844.55449999999996</v>
      </c>
    </row>
    <row r="2168" spans="1:3" x14ac:dyDescent="0.3">
      <c r="A2168" s="1">
        <v>46019</v>
      </c>
      <c r="B2168" s="2" t="s">
        <v>9</v>
      </c>
      <c r="C2168">
        <v>0.36849999999999999</v>
      </c>
    </row>
    <row r="2169" spans="1:3" x14ac:dyDescent="0.3">
      <c r="A2169" s="1">
        <v>46019</v>
      </c>
      <c r="B2169" s="2" t="s">
        <v>11</v>
      </c>
      <c r="C2169">
        <v>87835.835940000004</v>
      </c>
    </row>
    <row r="2170" spans="1:3" x14ac:dyDescent="0.3">
      <c r="A2170" s="1">
        <v>46019</v>
      </c>
      <c r="B2170" s="2" t="s">
        <v>13</v>
      </c>
      <c r="C2170">
        <v>125.19936</v>
      </c>
    </row>
    <row r="2171" spans="1:3" x14ac:dyDescent="0.3">
      <c r="A2171" s="1">
        <v>46019</v>
      </c>
      <c r="B2171" s="2" t="s">
        <v>15</v>
      </c>
      <c r="C2171">
        <v>1.86436</v>
      </c>
    </row>
    <row r="2172" spans="1:3" x14ac:dyDescent="0.3">
      <c r="A2172" s="1">
        <v>46019</v>
      </c>
      <c r="B2172" s="2" t="s">
        <v>17</v>
      </c>
      <c r="C2172">
        <v>2948.5681199999999</v>
      </c>
    </row>
    <row r="2173" spans="1:3" x14ac:dyDescent="0.3">
      <c r="A2173" s="1">
        <v>46019</v>
      </c>
      <c r="B2173" s="2" t="s">
        <v>19</v>
      </c>
      <c r="C2173">
        <v>858.8288</v>
      </c>
    </row>
    <row r="2174" spans="1:3" x14ac:dyDescent="0.3">
      <c r="A2174" s="1">
        <v>46020</v>
      </c>
      <c r="B2174" s="2" t="s">
        <v>9</v>
      </c>
      <c r="C2174">
        <v>0.35291</v>
      </c>
    </row>
    <row r="2175" spans="1:3" x14ac:dyDescent="0.3">
      <c r="A2175" s="1">
        <v>46020</v>
      </c>
      <c r="B2175" s="2" t="s">
        <v>11</v>
      </c>
      <c r="C2175">
        <v>87138.140629999994</v>
      </c>
    </row>
    <row r="2176" spans="1:3" x14ac:dyDescent="0.3">
      <c r="A2176" s="1">
        <v>46020</v>
      </c>
      <c r="B2176" s="2" t="s">
        <v>13</v>
      </c>
      <c r="C2176">
        <v>123.12523</v>
      </c>
    </row>
    <row r="2177" spans="1:3" x14ac:dyDescent="0.3">
      <c r="A2177" s="1">
        <v>46020</v>
      </c>
      <c r="B2177" s="2" t="s">
        <v>15</v>
      </c>
      <c r="C2177">
        <v>1.84772</v>
      </c>
    </row>
    <row r="2178" spans="1:3" x14ac:dyDescent="0.3">
      <c r="A2178" s="1">
        <v>46020</v>
      </c>
      <c r="B2178" s="2" t="s">
        <v>17</v>
      </c>
      <c r="C2178">
        <v>2934.5383299999999</v>
      </c>
    </row>
    <row r="2179" spans="1:3" x14ac:dyDescent="0.3">
      <c r="A2179" s="1">
        <v>46020</v>
      </c>
      <c r="B2179" s="2" t="s">
        <v>19</v>
      </c>
      <c r="C2179">
        <v>851.18755999999996</v>
      </c>
    </row>
    <row r="2180" spans="1:3" x14ac:dyDescent="0.3">
      <c r="A2180" s="1">
        <v>46021</v>
      </c>
      <c r="B2180" s="2" t="s">
        <v>9</v>
      </c>
      <c r="C2180">
        <v>0.35111999999999999</v>
      </c>
    </row>
    <row r="2181" spans="1:3" x14ac:dyDescent="0.3">
      <c r="A2181" s="1">
        <v>46021</v>
      </c>
      <c r="B2181" s="2" t="s">
        <v>11</v>
      </c>
      <c r="C2181">
        <v>88430.132809999996</v>
      </c>
    </row>
    <row r="2182" spans="1:3" x14ac:dyDescent="0.3">
      <c r="A2182" s="1">
        <v>46021</v>
      </c>
      <c r="B2182" s="2" t="s">
        <v>13</v>
      </c>
      <c r="C2182">
        <v>124.93132</v>
      </c>
    </row>
    <row r="2183" spans="1:3" x14ac:dyDescent="0.3">
      <c r="A2183" s="1">
        <v>46021</v>
      </c>
      <c r="B2183" s="2" t="s">
        <v>15</v>
      </c>
      <c r="C2183">
        <v>1.8754900000000001</v>
      </c>
    </row>
    <row r="2184" spans="1:3" x14ac:dyDescent="0.3">
      <c r="A2184" s="1">
        <v>46021</v>
      </c>
      <c r="B2184" s="2" t="s">
        <v>17</v>
      </c>
      <c r="C2184">
        <v>2971.4167499999999</v>
      </c>
    </row>
    <row r="2185" spans="1:3" x14ac:dyDescent="0.3">
      <c r="A2185" s="1">
        <v>46021</v>
      </c>
      <c r="B2185" s="2" t="s">
        <v>19</v>
      </c>
      <c r="C2185">
        <v>860.55371000000002</v>
      </c>
    </row>
    <row r="2186" spans="1:3" x14ac:dyDescent="0.3">
      <c r="A2186" s="1">
        <v>46022</v>
      </c>
      <c r="B2186" s="2" t="s">
        <v>9</v>
      </c>
      <c r="C2186">
        <v>0.33343</v>
      </c>
    </row>
    <row r="2187" spans="1:3" x14ac:dyDescent="0.3">
      <c r="A2187" s="1">
        <v>46022</v>
      </c>
      <c r="B2187" s="2" t="s">
        <v>11</v>
      </c>
      <c r="C2187">
        <v>87520.132809999996</v>
      </c>
    </row>
    <row r="2188" spans="1:3" x14ac:dyDescent="0.3">
      <c r="A2188" s="1">
        <v>46022</v>
      </c>
      <c r="B2188" s="2" t="s">
        <v>13</v>
      </c>
      <c r="C2188">
        <v>124.6554</v>
      </c>
    </row>
    <row r="2189" spans="1:3" x14ac:dyDescent="0.3">
      <c r="A2189" s="1">
        <v>46022</v>
      </c>
      <c r="B2189" s="2" t="s">
        <v>15</v>
      </c>
      <c r="C2189">
        <v>1.83856</v>
      </c>
    </row>
    <row r="2190" spans="1:3" x14ac:dyDescent="0.3">
      <c r="A2190" s="1">
        <v>46022</v>
      </c>
      <c r="B2190" s="2" t="s">
        <v>17</v>
      </c>
      <c r="C2190">
        <v>2972.8252000000002</v>
      </c>
    </row>
    <row r="2191" spans="1:3" x14ac:dyDescent="0.3">
      <c r="A2191" s="1">
        <v>46022</v>
      </c>
      <c r="B2191" s="2" t="s">
        <v>19</v>
      </c>
      <c r="C2191">
        <v>861.30327999999997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F095-FE19-443B-BFB1-897624BB2182}">
  <dimension ref="A1:H2191"/>
  <sheetViews>
    <sheetView workbookViewId="0">
      <selection sqref="A1:H2191"/>
    </sheetView>
  </sheetViews>
  <sheetFormatPr defaultRowHeight="14.4" x14ac:dyDescent="0.3"/>
  <cols>
    <col min="1" max="1" width="24.44140625" customWidth="1"/>
    <col min="2" max="8" width="13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0.84377000000000002</v>
      </c>
      <c r="D2">
        <v>0.92942000000000002</v>
      </c>
      <c r="E2">
        <v>0.83892999999999995</v>
      </c>
      <c r="F2">
        <v>0.91759000000000002</v>
      </c>
      <c r="G2">
        <v>926095054</v>
      </c>
      <c r="H2" t="s">
        <v>10</v>
      </c>
    </row>
    <row r="3" spans="1:8" x14ac:dyDescent="0.3">
      <c r="A3" t="s">
        <v>8</v>
      </c>
      <c r="B3" t="s">
        <v>11</v>
      </c>
      <c r="C3">
        <v>93425.101559999996</v>
      </c>
      <c r="D3">
        <v>94929.867190000004</v>
      </c>
      <c r="E3">
        <v>92788.125</v>
      </c>
      <c r="F3">
        <v>94419.757809999996</v>
      </c>
      <c r="G3">
        <v>24519888919</v>
      </c>
      <c r="H3" t="s">
        <v>12</v>
      </c>
    </row>
    <row r="4" spans="1:8" x14ac:dyDescent="0.3">
      <c r="A4" t="s">
        <v>8</v>
      </c>
      <c r="B4" t="s">
        <v>13</v>
      </c>
      <c r="C4">
        <v>189.26692</v>
      </c>
      <c r="D4">
        <v>194.8185</v>
      </c>
      <c r="E4">
        <v>187.87945999999999</v>
      </c>
      <c r="F4">
        <v>193.87372999999999</v>
      </c>
      <c r="G4">
        <v>2324231668</v>
      </c>
      <c r="H4" t="s">
        <v>14</v>
      </c>
    </row>
    <row r="5" spans="1:8" x14ac:dyDescent="0.3">
      <c r="A5" t="s">
        <v>8</v>
      </c>
      <c r="B5" t="s">
        <v>15</v>
      </c>
      <c r="C5">
        <v>2.08012</v>
      </c>
      <c r="D5">
        <v>2.3467699999999998</v>
      </c>
      <c r="E5">
        <v>2.0791499999999998</v>
      </c>
      <c r="F5">
        <v>2.3223400000000001</v>
      </c>
      <c r="G5">
        <v>7677226237</v>
      </c>
      <c r="H5" t="s">
        <v>16</v>
      </c>
    </row>
    <row r="6" spans="1:8" x14ac:dyDescent="0.3">
      <c r="A6" t="s">
        <v>8</v>
      </c>
      <c r="B6" t="s">
        <v>17</v>
      </c>
      <c r="C6">
        <v>3332.4064899999998</v>
      </c>
      <c r="D6">
        <v>3366.5314899999998</v>
      </c>
      <c r="E6">
        <v>3310.2558600000002</v>
      </c>
      <c r="F6">
        <v>3353.5041500000002</v>
      </c>
      <c r="G6">
        <v>14195410493</v>
      </c>
      <c r="H6" t="s">
        <v>18</v>
      </c>
    </row>
    <row r="7" spans="1:8" x14ac:dyDescent="0.3">
      <c r="A7" t="s">
        <v>8</v>
      </c>
      <c r="B7" t="s">
        <v>19</v>
      </c>
      <c r="C7">
        <v>700.98688000000004</v>
      </c>
      <c r="D7">
        <v>709.19897000000003</v>
      </c>
      <c r="E7">
        <v>699.75860999999998</v>
      </c>
      <c r="F7">
        <v>706.51293999999996</v>
      </c>
      <c r="G7">
        <v>1420234997</v>
      </c>
      <c r="H7" t="s">
        <v>20</v>
      </c>
    </row>
    <row r="8" spans="1:8" x14ac:dyDescent="0.3">
      <c r="A8" t="s">
        <v>21</v>
      </c>
      <c r="B8" t="s">
        <v>9</v>
      </c>
      <c r="C8">
        <v>0.91764999999999997</v>
      </c>
      <c r="D8">
        <v>0.97907999999999995</v>
      </c>
      <c r="E8">
        <v>0.91759999999999997</v>
      </c>
      <c r="F8">
        <v>0.96135000000000004</v>
      </c>
      <c r="G8">
        <v>1199916914</v>
      </c>
      <c r="H8" t="s">
        <v>10</v>
      </c>
    </row>
    <row r="9" spans="1:8" x14ac:dyDescent="0.3">
      <c r="A9" t="s">
        <v>21</v>
      </c>
      <c r="B9" t="s">
        <v>11</v>
      </c>
      <c r="C9">
        <v>94416.289059999996</v>
      </c>
      <c r="D9">
        <v>97739.820309999996</v>
      </c>
      <c r="E9">
        <v>94201.570309999996</v>
      </c>
      <c r="F9">
        <v>96886.875</v>
      </c>
      <c r="G9">
        <v>46009564411</v>
      </c>
      <c r="H9" t="s">
        <v>12</v>
      </c>
    </row>
    <row r="10" spans="1:8" x14ac:dyDescent="0.3">
      <c r="A10" t="s">
        <v>21</v>
      </c>
      <c r="B10" t="s">
        <v>13</v>
      </c>
      <c r="C10">
        <v>193.87213</v>
      </c>
      <c r="D10">
        <v>209.06673000000001</v>
      </c>
      <c r="E10">
        <v>193.25853000000001</v>
      </c>
      <c r="F10">
        <v>207.76704000000001</v>
      </c>
      <c r="G10">
        <v>4230329837</v>
      </c>
      <c r="H10" t="s">
        <v>14</v>
      </c>
    </row>
    <row r="11" spans="1:8" x14ac:dyDescent="0.3">
      <c r="A11" t="s">
        <v>21</v>
      </c>
      <c r="B11" t="s">
        <v>15</v>
      </c>
      <c r="C11">
        <v>2.3224100000000001</v>
      </c>
      <c r="D11">
        <v>2.4355000000000002</v>
      </c>
      <c r="E11">
        <v>2.3224</v>
      </c>
      <c r="F11">
        <v>2.4033699999999998</v>
      </c>
      <c r="G11">
        <v>8345904442</v>
      </c>
      <c r="H11" t="s">
        <v>16</v>
      </c>
    </row>
    <row r="12" spans="1:8" x14ac:dyDescent="0.3">
      <c r="A12" t="s">
        <v>21</v>
      </c>
      <c r="B12" t="s">
        <v>17</v>
      </c>
      <c r="C12">
        <v>3353.4121100000002</v>
      </c>
      <c r="D12">
        <v>3493.4482400000002</v>
      </c>
      <c r="E12">
        <v>3348.35205</v>
      </c>
      <c r="F12">
        <v>3451.3925800000002</v>
      </c>
      <c r="G12">
        <v>22243574698</v>
      </c>
      <c r="H12" t="s">
        <v>18</v>
      </c>
    </row>
    <row r="13" spans="1:8" x14ac:dyDescent="0.3">
      <c r="A13" t="s">
        <v>21</v>
      </c>
      <c r="B13" t="s">
        <v>19</v>
      </c>
      <c r="C13">
        <v>706.51244999999994</v>
      </c>
      <c r="D13">
        <v>714.43866000000003</v>
      </c>
      <c r="E13">
        <v>697.70470999999998</v>
      </c>
      <c r="F13">
        <v>705.67858999999999</v>
      </c>
      <c r="G13">
        <v>1880664942</v>
      </c>
      <c r="H13" t="s">
        <v>20</v>
      </c>
    </row>
    <row r="14" spans="1:8" x14ac:dyDescent="0.3">
      <c r="A14" t="s">
        <v>22</v>
      </c>
      <c r="B14" t="s">
        <v>9</v>
      </c>
      <c r="C14">
        <v>0.96135000000000004</v>
      </c>
      <c r="D14">
        <v>1.1161000000000001</v>
      </c>
      <c r="E14">
        <v>0.96004</v>
      </c>
      <c r="F14">
        <v>1.0903799999999999</v>
      </c>
      <c r="G14">
        <v>2503146669</v>
      </c>
      <c r="H14" t="s">
        <v>10</v>
      </c>
    </row>
    <row r="15" spans="1:8" x14ac:dyDescent="0.3">
      <c r="A15" t="s">
        <v>22</v>
      </c>
      <c r="B15" t="s">
        <v>11</v>
      </c>
      <c r="C15">
        <v>96881.726559999996</v>
      </c>
      <c r="D15">
        <v>98956.914059999996</v>
      </c>
      <c r="E15">
        <v>96034.617190000004</v>
      </c>
      <c r="F15">
        <v>98107.429690000004</v>
      </c>
      <c r="G15">
        <v>35611391163</v>
      </c>
      <c r="H15" t="s">
        <v>12</v>
      </c>
    </row>
    <row r="16" spans="1:8" x14ac:dyDescent="0.3">
      <c r="A16" t="s">
        <v>22</v>
      </c>
      <c r="B16" t="s">
        <v>13</v>
      </c>
      <c r="C16">
        <v>207.76760999999999</v>
      </c>
      <c r="D16">
        <v>219.55951999999999</v>
      </c>
      <c r="E16">
        <v>205.6524</v>
      </c>
      <c r="F16">
        <v>217.74733000000001</v>
      </c>
      <c r="G16">
        <v>4064420852</v>
      </c>
      <c r="H16" t="s">
        <v>14</v>
      </c>
    </row>
    <row r="17" spans="1:8" x14ac:dyDescent="0.3">
      <c r="A17" t="s">
        <v>22</v>
      </c>
      <c r="B17" t="s">
        <v>15</v>
      </c>
      <c r="C17">
        <v>2.4033699999999998</v>
      </c>
      <c r="D17">
        <v>2.4745499999999998</v>
      </c>
      <c r="E17">
        <v>2.3971300000000002</v>
      </c>
      <c r="F17">
        <v>2.4529000000000001</v>
      </c>
      <c r="G17">
        <v>5804528036</v>
      </c>
      <c r="H17" t="s">
        <v>16</v>
      </c>
    </row>
    <row r="18" spans="1:8" x14ac:dyDescent="0.3">
      <c r="A18" t="s">
        <v>22</v>
      </c>
      <c r="B18" t="s">
        <v>17</v>
      </c>
      <c r="C18">
        <v>3451.68091</v>
      </c>
      <c r="D18">
        <v>3627.05566</v>
      </c>
      <c r="E18">
        <v>3421.8315400000001</v>
      </c>
      <c r="F18">
        <v>3605.0097700000001</v>
      </c>
      <c r="G18">
        <v>21877299255</v>
      </c>
      <c r="H18" t="s">
        <v>18</v>
      </c>
    </row>
    <row r="19" spans="1:8" x14ac:dyDescent="0.3">
      <c r="A19" t="s">
        <v>22</v>
      </c>
      <c r="B19" t="s">
        <v>19</v>
      </c>
      <c r="C19">
        <v>705.67858999999999</v>
      </c>
      <c r="D19">
        <v>715.09685999999999</v>
      </c>
      <c r="E19">
        <v>697.54607999999996</v>
      </c>
      <c r="F19">
        <v>713.64355</v>
      </c>
      <c r="G19">
        <v>1822243906</v>
      </c>
      <c r="H19" t="s">
        <v>20</v>
      </c>
    </row>
    <row r="20" spans="1:8" x14ac:dyDescent="0.3">
      <c r="A20" t="s">
        <v>23</v>
      </c>
      <c r="B20" t="s">
        <v>9</v>
      </c>
      <c r="C20">
        <v>1.0903499999999999</v>
      </c>
      <c r="D20">
        <v>1.10792</v>
      </c>
      <c r="E20">
        <v>1.0588500000000001</v>
      </c>
      <c r="F20">
        <v>1.0713999999999999</v>
      </c>
      <c r="G20">
        <v>1175730814</v>
      </c>
      <c r="H20" t="s">
        <v>10</v>
      </c>
    </row>
    <row r="21" spans="1:8" x14ac:dyDescent="0.3">
      <c r="A21" t="s">
        <v>23</v>
      </c>
      <c r="B21" t="s">
        <v>11</v>
      </c>
      <c r="C21">
        <v>98106.992190000004</v>
      </c>
      <c r="D21">
        <v>98734.429690000004</v>
      </c>
      <c r="E21">
        <v>97562.976559999996</v>
      </c>
      <c r="F21">
        <v>98236.226559999996</v>
      </c>
      <c r="G21">
        <v>22342608078</v>
      </c>
      <c r="H21" t="s">
        <v>12</v>
      </c>
    </row>
    <row r="22" spans="1:8" x14ac:dyDescent="0.3">
      <c r="A22" t="s">
        <v>23</v>
      </c>
      <c r="B22" t="s">
        <v>13</v>
      </c>
      <c r="C22">
        <v>217.74805000000001</v>
      </c>
      <c r="D22">
        <v>217.90504000000001</v>
      </c>
      <c r="E22">
        <v>213.83144999999999</v>
      </c>
      <c r="F22">
        <v>216.62291999999999</v>
      </c>
      <c r="G22">
        <v>2432220391</v>
      </c>
      <c r="H22" t="s">
        <v>14</v>
      </c>
    </row>
    <row r="23" spans="1:8" x14ac:dyDescent="0.3">
      <c r="A23" t="s">
        <v>23</v>
      </c>
      <c r="B23" t="s">
        <v>15</v>
      </c>
      <c r="C23">
        <v>2.4529000000000001</v>
      </c>
      <c r="D23">
        <v>2.5043799999999998</v>
      </c>
      <c r="E23">
        <v>2.4067099999999999</v>
      </c>
      <c r="F23">
        <v>2.4196</v>
      </c>
      <c r="G23">
        <v>4395986073</v>
      </c>
      <c r="H23" t="s">
        <v>16</v>
      </c>
    </row>
    <row r="24" spans="1:8" x14ac:dyDescent="0.3">
      <c r="A24" t="s">
        <v>23</v>
      </c>
      <c r="B24" t="s">
        <v>17</v>
      </c>
      <c r="C24">
        <v>3605.2006799999999</v>
      </c>
      <c r="D24">
        <v>3669.1967800000002</v>
      </c>
      <c r="E24">
        <v>3574.3269</v>
      </c>
      <c r="F24">
        <v>3657.7067900000002</v>
      </c>
      <c r="G24">
        <v>16060610759</v>
      </c>
      <c r="H24" t="s">
        <v>18</v>
      </c>
    </row>
    <row r="25" spans="1:8" x14ac:dyDescent="0.3">
      <c r="A25" t="s">
        <v>23</v>
      </c>
      <c r="B25" t="s">
        <v>19</v>
      </c>
      <c r="C25">
        <v>713.64355</v>
      </c>
      <c r="D25">
        <v>721.15625</v>
      </c>
      <c r="E25">
        <v>708.85131999999999</v>
      </c>
      <c r="F25">
        <v>713.84118999999998</v>
      </c>
      <c r="G25">
        <v>1524500208</v>
      </c>
      <c r="H25" t="s">
        <v>20</v>
      </c>
    </row>
    <row r="26" spans="1:8" x14ac:dyDescent="0.3">
      <c r="A26" t="s">
        <v>24</v>
      </c>
      <c r="B26" t="s">
        <v>9</v>
      </c>
      <c r="C26">
        <v>1.0713999999999999</v>
      </c>
      <c r="D26">
        <v>1.1078699999999999</v>
      </c>
      <c r="E26">
        <v>1.05528</v>
      </c>
      <c r="F26">
        <v>1.0934699999999999</v>
      </c>
      <c r="G26">
        <v>1241263862</v>
      </c>
      <c r="H26" t="s">
        <v>10</v>
      </c>
    </row>
    <row r="27" spans="1:8" x14ac:dyDescent="0.3">
      <c r="A27" t="s">
        <v>24</v>
      </c>
      <c r="B27" t="s">
        <v>11</v>
      </c>
      <c r="C27">
        <v>98233.90625</v>
      </c>
      <c r="D27">
        <v>98813.304690000004</v>
      </c>
      <c r="E27">
        <v>97291.765629999994</v>
      </c>
      <c r="F27">
        <v>98314.960940000004</v>
      </c>
      <c r="G27">
        <v>20525254825</v>
      </c>
      <c r="H27" t="s">
        <v>12</v>
      </c>
    </row>
    <row r="28" spans="1:8" x14ac:dyDescent="0.3">
      <c r="A28" t="s">
        <v>24</v>
      </c>
      <c r="B28" t="s">
        <v>13</v>
      </c>
      <c r="C28">
        <v>216.62276</v>
      </c>
      <c r="D28">
        <v>218.8784</v>
      </c>
      <c r="E28">
        <v>211.76523</v>
      </c>
      <c r="F28">
        <v>213.39363</v>
      </c>
      <c r="G28">
        <v>2403765299</v>
      </c>
      <c r="H28" t="s">
        <v>14</v>
      </c>
    </row>
    <row r="29" spans="1:8" x14ac:dyDescent="0.3">
      <c r="A29" t="s">
        <v>24</v>
      </c>
      <c r="B29" t="s">
        <v>15</v>
      </c>
      <c r="C29">
        <v>2.4195799999999998</v>
      </c>
      <c r="D29">
        <v>2.4255399999999998</v>
      </c>
      <c r="E29">
        <v>2.3343600000000002</v>
      </c>
      <c r="F29">
        <v>2.3997299999999999</v>
      </c>
      <c r="G29">
        <v>4125625773</v>
      </c>
      <c r="H29" t="s">
        <v>16</v>
      </c>
    </row>
    <row r="30" spans="1:8" x14ac:dyDescent="0.3">
      <c r="A30" t="s">
        <v>24</v>
      </c>
      <c r="B30" t="s">
        <v>17</v>
      </c>
      <c r="C30">
        <v>3657.74316</v>
      </c>
      <c r="D30">
        <v>3673.8129899999999</v>
      </c>
      <c r="E30">
        <v>3594.6169399999999</v>
      </c>
      <c r="F30">
        <v>3634.10376</v>
      </c>
      <c r="G30">
        <v>12830306908</v>
      </c>
      <c r="H30" t="s">
        <v>18</v>
      </c>
    </row>
    <row r="31" spans="1:8" x14ac:dyDescent="0.3">
      <c r="A31" t="s">
        <v>24</v>
      </c>
      <c r="B31" t="s">
        <v>19</v>
      </c>
      <c r="C31">
        <v>713.84118999999998</v>
      </c>
      <c r="D31">
        <v>713.84118999999998</v>
      </c>
      <c r="E31">
        <v>703.00225999999998</v>
      </c>
      <c r="F31">
        <v>709.25829999999996</v>
      </c>
      <c r="G31">
        <v>1411808759</v>
      </c>
      <c r="H31" t="s">
        <v>20</v>
      </c>
    </row>
    <row r="32" spans="1:8" x14ac:dyDescent="0.3">
      <c r="A32" t="s">
        <v>25</v>
      </c>
      <c r="B32" t="s">
        <v>9</v>
      </c>
      <c r="C32">
        <v>1.0934600000000001</v>
      </c>
      <c r="D32">
        <v>1.11259</v>
      </c>
      <c r="E32">
        <v>1.0681</v>
      </c>
      <c r="F32">
        <v>1.09412</v>
      </c>
      <c r="G32">
        <v>1303664168</v>
      </c>
      <c r="H32" t="s">
        <v>10</v>
      </c>
    </row>
    <row r="33" spans="1:8" x14ac:dyDescent="0.3">
      <c r="A33" t="s">
        <v>25</v>
      </c>
      <c r="B33" t="s">
        <v>11</v>
      </c>
      <c r="C33">
        <v>98314.953129999994</v>
      </c>
      <c r="D33">
        <v>102482.875</v>
      </c>
      <c r="E33">
        <v>97926.148440000004</v>
      </c>
      <c r="F33">
        <v>102078.08590000001</v>
      </c>
      <c r="G33">
        <v>51823432705</v>
      </c>
      <c r="H33" t="s">
        <v>12</v>
      </c>
    </row>
    <row r="34" spans="1:8" x14ac:dyDescent="0.3">
      <c r="A34" t="s">
        <v>25</v>
      </c>
      <c r="B34" t="s">
        <v>13</v>
      </c>
      <c r="C34">
        <v>213.39483999999999</v>
      </c>
      <c r="D34">
        <v>222.95296999999999</v>
      </c>
      <c r="E34">
        <v>211.65314000000001</v>
      </c>
      <c r="F34">
        <v>218.72313</v>
      </c>
      <c r="G34">
        <v>3408034919</v>
      </c>
      <c r="H34" t="s">
        <v>14</v>
      </c>
    </row>
    <row r="35" spans="1:8" x14ac:dyDescent="0.3">
      <c r="A35" t="s">
        <v>25</v>
      </c>
      <c r="B35" t="s">
        <v>15</v>
      </c>
      <c r="C35">
        <v>2.3997299999999999</v>
      </c>
      <c r="D35">
        <v>2.4552499999999999</v>
      </c>
      <c r="E35">
        <v>2.3763800000000002</v>
      </c>
      <c r="F35">
        <v>2.4188100000000001</v>
      </c>
      <c r="G35">
        <v>4383804466</v>
      </c>
      <c r="H35" t="s">
        <v>16</v>
      </c>
    </row>
    <row r="36" spans="1:8" x14ac:dyDescent="0.3">
      <c r="A36" t="s">
        <v>25</v>
      </c>
      <c r="B36" t="s">
        <v>17</v>
      </c>
      <c r="C36">
        <v>3634.1137699999999</v>
      </c>
      <c r="D36">
        <v>3743.9416500000002</v>
      </c>
      <c r="E36">
        <v>3611.2143599999999</v>
      </c>
      <c r="F36">
        <v>3688.6113300000002</v>
      </c>
      <c r="G36">
        <v>23973574043</v>
      </c>
      <c r="H36" t="s">
        <v>18</v>
      </c>
    </row>
    <row r="37" spans="1:8" x14ac:dyDescent="0.3">
      <c r="A37" t="s">
        <v>25</v>
      </c>
      <c r="B37" t="s">
        <v>19</v>
      </c>
      <c r="C37">
        <v>709.25829999999996</v>
      </c>
      <c r="D37">
        <v>745.15355999999997</v>
      </c>
      <c r="E37">
        <v>706.18658000000005</v>
      </c>
      <c r="F37">
        <v>729.40008999999998</v>
      </c>
      <c r="G37">
        <v>2056633884</v>
      </c>
      <c r="H37" t="s">
        <v>20</v>
      </c>
    </row>
    <row r="38" spans="1:8" x14ac:dyDescent="0.3">
      <c r="A38" t="s">
        <v>26</v>
      </c>
      <c r="B38" t="s">
        <v>9</v>
      </c>
      <c r="C38">
        <v>1.09412</v>
      </c>
      <c r="D38">
        <v>1.1501600000000001</v>
      </c>
      <c r="E38">
        <v>0.99195999999999995</v>
      </c>
      <c r="F38">
        <v>0.99200999999999995</v>
      </c>
      <c r="G38">
        <v>2238100221</v>
      </c>
      <c r="H38" t="s">
        <v>10</v>
      </c>
    </row>
    <row r="39" spans="1:8" x14ac:dyDescent="0.3">
      <c r="A39" t="s">
        <v>26</v>
      </c>
      <c r="B39" t="s">
        <v>11</v>
      </c>
      <c r="C39">
        <v>102248.85159999999</v>
      </c>
      <c r="D39">
        <v>102712.4844</v>
      </c>
      <c r="E39">
        <v>96132.875</v>
      </c>
      <c r="F39">
        <v>96922.703129999994</v>
      </c>
      <c r="G39">
        <v>58685738547</v>
      </c>
      <c r="H39" t="s">
        <v>12</v>
      </c>
    </row>
    <row r="40" spans="1:8" x14ac:dyDescent="0.3">
      <c r="A40" t="s">
        <v>26</v>
      </c>
      <c r="B40" t="s">
        <v>13</v>
      </c>
      <c r="C40">
        <v>218.41292999999999</v>
      </c>
      <c r="D40">
        <v>219.14230000000001</v>
      </c>
      <c r="E40">
        <v>202.12491</v>
      </c>
      <c r="F40">
        <v>202.23025999999999</v>
      </c>
      <c r="G40">
        <v>4360983978</v>
      </c>
      <c r="H40" t="s">
        <v>14</v>
      </c>
    </row>
    <row r="41" spans="1:8" x14ac:dyDescent="0.3">
      <c r="A41" t="s">
        <v>26</v>
      </c>
      <c r="B41" t="s">
        <v>15</v>
      </c>
      <c r="C41">
        <v>2.41879</v>
      </c>
      <c r="D41">
        <v>2.4605700000000001</v>
      </c>
      <c r="E41">
        <v>2.2659099999999999</v>
      </c>
      <c r="F41">
        <v>2.2723499999999999</v>
      </c>
      <c r="G41">
        <v>7375576966</v>
      </c>
      <c r="H41" t="s">
        <v>16</v>
      </c>
    </row>
    <row r="42" spans="1:8" x14ac:dyDescent="0.3">
      <c r="A42" t="s">
        <v>26</v>
      </c>
      <c r="B42" t="s">
        <v>17</v>
      </c>
      <c r="C42">
        <v>3688.3413099999998</v>
      </c>
      <c r="D42">
        <v>3701.1069299999999</v>
      </c>
      <c r="E42">
        <v>3358.0898400000001</v>
      </c>
      <c r="F42">
        <v>3381.5773899999999</v>
      </c>
      <c r="G42">
        <v>32235312545</v>
      </c>
      <c r="H42" t="s">
        <v>18</v>
      </c>
    </row>
    <row r="43" spans="1:8" x14ac:dyDescent="0.3">
      <c r="A43" t="s">
        <v>26</v>
      </c>
      <c r="B43" t="s">
        <v>19</v>
      </c>
      <c r="C43">
        <v>729.39324999999997</v>
      </c>
      <c r="D43">
        <v>733.09142999999995</v>
      </c>
      <c r="E43">
        <v>691.55193999999995</v>
      </c>
      <c r="F43">
        <v>697.36890000000005</v>
      </c>
      <c r="G43">
        <v>2200352831</v>
      </c>
      <c r="H43" t="s">
        <v>20</v>
      </c>
    </row>
    <row r="44" spans="1:8" x14ac:dyDescent="0.3">
      <c r="A44" t="s">
        <v>27</v>
      </c>
      <c r="B44" t="s">
        <v>9</v>
      </c>
      <c r="C44">
        <v>0.99202000000000001</v>
      </c>
      <c r="D44">
        <v>1.02128</v>
      </c>
      <c r="E44">
        <v>0.91359000000000001</v>
      </c>
      <c r="F44">
        <v>0.94803000000000004</v>
      </c>
      <c r="G44">
        <v>1978552965</v>
      </c>
      <c r="H44" t="s">
        <v>10</v>
      </c>
    </row>
    <row r="45" spans="1:8" x14ac:dyDescent="0.3">
      <c r="A45" t="s">
        <v>27</v>
      </c>
      <c r="B45" t="s">
        <v>11</v>
      </c>
      <c r="C45">
        <v>96924.164059999996</v>
      </c>
      <c r="D45">
        <v>97258.320309999996</v>
      </c>
      <c r="E45">
        <v>92525.84375</v>
      </c>
      <c r="F45">
        <v>95043.523440000004</v>
      </c>
      <c r="G45">
        <v>63875859171</v>
      </c>
      <c r="H45" t="s">
        <v>12</v>
      </c>
    </row>
    <row r="46" spans="1:8" x14ac:dyDescent="0.3">
      <c r="A46" t="s">
        <v>27</v>
      </c>
      <c r="B46" t="s">
        <v>13</v>
      </c>
      <c r="C46">
        <v>202.22787</v>
      </c>
      <c r="D46">
        <v>203.06031999999999</v>
      </c>
      <c r="E46">
        <v>188.95788999999999</v>
      </c>
      <c r="F46">
        <v>197.55905000000001</v>
      </c>
      <c r="G46">
        <v>5028291858</v>
      </c>
      <c r="H46" t="s">
        <v>14</v>
      </c>
    </row>
    <row r="47" spans="1:8" x14ac:dyDescent="0.3">
      <c r="A47" t="s">
        <v>27</v>
      </c>
      <c r="B47" t="s">
        <v>15</v>
      </c>
      <c r="C47">
        <v>2.2723599999999999</v>
      </c>
      <c r="D47">
        <v>2.3951600000000002</v>
      </c>
      <c r="E47">
        <v>2.2129300000000001</v>
      </c>
      <c r="F47">
        <v>2.3753000000000002</v>
      </c>
      <c r="G47">
        <v>8537147723</v>
      </c>
      <c r="H47" t="s">
        <v>16</v>
      </c>
    </row>
    <row r="48" spans="1:8" x14ac:dyDescent="0.3">
      <c r="A48" t="s">
        <v>27</v>
      </c>
      <c r="B48" t="s">
        <v>17</v>
      </c>
      <c r="C48">
        <v>3381.6154799999999</v>
      </c>
      <c r="D48">
        <v>3413.6828599999999</v>
      </c>
      <c r="E48">
        <v>3209.2145999999998</v>
      </c>
      <c r="F48">
        <v>3326.32935</v>
      </c>
      <c r="G48">
        <v>34337730882</v>
      </c>
      <c r="H48" t="s">
        <v>18</v>
      </c>
    </row>
    <row r="49" spans="1:8" x14ac:dyDescent="0.3">
      <c r="A49" t="s">
        <v>27</v>
      </c>
      <c r="B49" t="s">
        <v>19</v>
      </c>
      <c r="C49">
        <v>697.36890000000005</v>
      </c>
      <c r="D49">
        <v>706.76111000000003</v>
      </c>
      <c r="E49">
        <v>677.12261999999998</v>
      </c>
      <c r="F49">
        <v>695.83716000000004</v>
      </c>
      <c r="G49">
        <v>2189465209</v>
      </c>
      <c r="H49" t="s">
        <v>20</v>
      </c>
    </row>
    <row r="50" spans="1:8" x14ac:dyDescent="0.3">
      <c r="A50" t="s">
        <v>28</v>
      </c>
      <c r="B50" t="s">
        <v>9</v>
      </c>
      <c r="C50">
        <v>0.94801999999999997</v>
      </c>
      <c r="D50">
        <v>0.95828000000000002</v>
      </c>
      <c r="E50">
        <v>0.88375999999999999</v>
      </c>
      <c r="F50">
        <v>0.90598999999999996</v>
      </c>
      <c r="G50">
        <v>1351715573</v>
      </c>
      <c r="H50" t="s">
        <v>10</v>
      </c>
    </row>
    <row r="51" spans="1:8" x14ac:dyDescent="0.3">
      <c r="A51" t="s">
        <v>28</v>
      </c>
      <c r="B51" t="s">
        <v>11</v>
      </c>
      <c r="C51">
        <v>95043.484379999994</v>
      </c>
      <c r="D51">
        <v>95349.71875</v>
      </c>
      <c r="E51">
        <v>91220.84375</v>
      </c>
      <c r="F51">
        <v>92484.039059999996</v>
      </c>
      <c r="G51">
        <v>62777261693</v>
      </c>
      <c r="H51" t="s">
        <v>12</v>
      </c>
    </row>
    <row r="52" spans="1:8" x14ac:dyDescent="0.3">
      <c r="A52" t="s">
        <v>28</v>
      </c>
      <c r="B52" t="s">
        <v>13</v>
      </c>
      <c r="C52">
        <v>197.55905000000001</v>
      </c>
      <c r="D52">
        <v>198.90100000000001</v>
      </c>
      <c r="E52">
        <v>182.32232999999999</v>
      </c>
      <c r="F52">
        <v>185.02528000000001</v>
      </c>
      <c r="G52">
        <v>3815664216</v>
      </c>
      <c r="H52" t="s">
        <v>14</v>
      </c>
    </row>
    <row r="53" spans="1:8" x14ac:dyDescent="0.3">
      <c r="A53" t="s">
        <v>28</v>
      </c>
      <c r="B53" t="s">
        <v>15</v>
      </c>
      <c r="C53">
        <v>2.3753099999999998</v>
      </c>
      <c r="D53">
        <v>2.3893499999999999</v>
      </c>
      <c r="E53">
        <v>2.2393900000000002</v>
      </c>
      <c r="F53">
        <v>2.27521</v>
      </c>
      <c r="G53">
        <v>6033281189</v>
      </c>
      <c r="H53" t="s">
        <v>16</v>
      </c>
    </row>
    <row r="54" spans="1:8" x14ac:dyDescent="0.3">
      <c r="A54" t="s">
        <v>28</v>
      </c>
      <c r="B54" t="s">
        <v>17</v>
      </c>
      <c r="C54">
        <v>3326.3596200000002</v>
      </c>
      <c r="D54">
        <v>3355.86231</v>
      </c>
      <c r="E54">
        <v>3159.3840300000002</v>
      </c>
      <c r="F54">
        <v>3219.43066</v>
      </c>
      <c r="G54">
        <v>28815726276</v>
      </c>
      <c r="H54" t="s">
        <v>18</v>
      </c>
    </row>
    <row r="55" spans="1:8" x14ac:dyDescent="0.3">
      <c r="A55" t="s">
        <v>28</v>
      </c>
      <c r="B55" t="s">
        <v>19</v>
      </c>
      <c r="C55">
        <v>695.83716000000004</v>
      </c>
      <c r="D55">
        <v>700.97302000000002</v>
      </c>
      <c r="E55">
        <v>675.73424999999997</v>
      </c>
      <c r="F55">
        <v>685.12072999999998</v>
      </c>
      <c r="G55">
        <v>1931492677</v>
      </c>
      <c r="H55" t="s">
        <v>20</v>
      </c>
    </row>
    <row r="56" spans="1:8" x14ac:dyDescent="0.3">
      <c r="A56" t="s">
        <v>29</v>
      </c>
      <c r="B56" t="s">
        <v>9</v>
      </c>
      <c r="C56">
        <v>0.90598999999999996</v>
      </c>
      <c r="D56">
        <v>0.97177000000000002</v>
      </c>
      <c r="E56">
        <v>0.90564999999999996</v>
      </c>
      <c r="F56">
        <v>0.93145</v>
      </c>
      <c r="G56">
        <v>1252358898</v>
      </c>
      <c r="H56" t="s">
        <v>10</v>
      </c>
    </row>
    <row r="57" spans="1:8" x14ac:dyDescent="0.3">
      <c r="A57" t="s">
        <v>29</v>
      </c>
      <c r="B57" t="s">
        <v>11</v>
      </c>
      <c r="C57">
        <v>92494.492190000004</v>
      </c>
      <c r="D57">
        <v>95770.609379999994</v>
      </c>
      <c r="E57">
        <v>92250.09375</v>
      </c>
      <c r="F57">
        <v>94701.453129999994</v>
      </c>
      <c r="G57">
        <v>62058693684</v>
      </c>
      <c r="H57" t="s">
        <v>12</v>
      </c>
    </row>
    <row r="58" spans="1:8" x14ac:dyDescent="0.3">
      <c r="A58" t="s">
        <v>29</v>
      </c>
      <c r="B58" t="s">
        <v>13</v>
      </c>
      <c r="C58">
        <v>185.01313999999999</v>
      </c>
      <c r="D58">
        <v>192.75631999999999</v>
      </c>
      <c r="E58">
        <v>183.86676</v>
      </c>
      <c r="F58">
        <v>187.57918000000001</v>
      </c>
      <c r="G58">
        <v>3739014100</v>
      </c>
      <c r="H58" t="s">
        <v>14</v>
      </c>
    </row>
    <row r="59" spans="1:8" x14ac:dyDescent="0.3">
      <c r="A59" t="s">
        <v>29</v>
      </c>
      <c r="B59" t="s">
        <v>15</v>
      </c>
      <c r="C59">
        <v>2.2751700000000001</v>
      </c>
      <c r="D59">
        <v>2.3639299999999999</v>
      </c>
      <c r="E59">
        <v>2.2559100000000001</v>
      </c>
      <c r="F59">
        <v>2.3432499999999998</v>
      </c>
      <c r="G59">
        <v>5315424125</v>
      </c>
      <c r="H59" t="s">
        <v>16</v>
      </c>
    </row>
    <row r="60" spans="1:8" x14ac:dyDescent="0.3">
      <c r="A60" t="s">
        <v>29</v>
      </c>
      <c r="B60" t="s">
        <v>17</v>
      </c>
      <c r="C60">
        <v>3219.49658</v>
      </c>
      <c r="D60">
        <v>3320.5004899999999</v>
      </c>
      <c r="E60">
        <v>3196.1103499999999</v>
      </c>
      <c r="F60">
        <v>3267.48999</v>
      </c>
      <c r="G60">
        <v>26503845190</v>
      </c>
      <c r="H60" t="s">
        <v>18</v>
      </c>
    </row>
    <row r="61" spans="1:8" x14ac:dyDescent="0.3">
      <c r="A61" t="s">
        <v>29</v>
      </c>
      <c r="B61" t="s">
        <v>19</v>
      </c>
      <c r="C61">
        <v>685.12036000000001</v>
      </c>
      <c r="D61">
        <v>700.47064</v>
      </c>
      <c r="E61">
        <v>683.68658000000005</v>
      </c>
      <c r="F61">
        <v>693.62445000000002</v>
      </c>
      <c r="G61">
        <v>1680784122</v>
      </c>
      <c r="H61" t="s">
        <v>20</v>
      </c>
    </row>
    <row r="62" spans="1:8" x14ac:dyDescent="0.3">
      <c r="A62" t="s">
        <v>30</v>
      </c>
      <c r="B62" t="s">
        <v>9</v>
      </c>
      <c r="C62">
        <v>0.93145</v>
      </c>
      <c r="D62">
        <v>1.01294</v>
      </c>
      <c r="E62">
        <v>0.91644999999999999</v>
      </c>
      <c r="F62">
        <v>0.99451999999999996</v>
      </c>
      <c r="G62">
        <v>888877434</v>
      </c>
      <c r="H62" t="s">
        <v>10</v>
      </c>
    </row>
    <row r="63" spans="1:8" x14ac:dyDescent="0.3">
      <c r="A63" t="s">
        <v>30</v>
      </c>
      <c r="B63" t="s">
        <v>11</v>
      </c>
      <c r="C63">
        <v>94700.835940000004</v>
      </c>
      <c r="D63">
        <v>94977.6875</v>
      </c>
      <c r="E63">
        <v>93840.046879999994</v>
      </c>
      <c r="F63">
        <v>94566.59375</v>
      </c>
      <c r="G63">
        <v>18860894100</v>
      </c>
      <c r="H63" t="s">
        <v>12</v>
      </c>
    </row>
    <row r="64" spans="1:8" x14ac:dyDescent="0.3">
      <c r="A64" t="s">
        <v>30</v>
      </c>
      <c r="B64" t="s">
        <v>13</v>
      </c>
      <c r="C64">
        <v>187.57118</v>
      </c>
      <c r="D64">
        <v>191.71880999999999</v>
      </c>
      <c r="E64">
        <v>184.27744000000001</v>
      </c>
      <c r="F64">
        <v>187.99551</v>
      </c>
      <c r="G64">
        <v>2174290937</v>
      </c>
      <c r="H64" t="s">
        <v>14</v>
      </c>
    </row>
    <row r="65" spans="1:8" x14ac:dyDescent="0.3">
      <c r="A65" t="s">
        <v>30</v>
      </c>
      <c r="B65" t="s">
        <v>15</v>
      </c>
      <c r="C65">
        <v>2.3432499999999998</v>
      </c>
      <c r="D65">
        <v>2.59239</v>
      </c>
      <c r="E65">
        <v>2.3286199999999999</v>
      </c>
      <c r="F65">
        <v>2.5767699999999998</v>
      </c>
      <c r="G65">
        <v>7962865928</v>
      </c>
      <c r="H65" t="s">
        <v>16</v>
      </c>
    </row>
    <row r="66" spans="1:8" x14ac:dyDescent="0.3">
      <c r="A66" t="s">
        <v>30</v>
      </c>
      <c r="B66" t="s">
        <v>17</v>
      </c>
      <c r="C66">
        <v>3267.5224600000001</v>
      </c>
      <c r="D66">
        <v>3317.6543000000001</v>
      </c>
      <c r="E66">
        <v>3219.6987300000001</v>
      </c>
      <c r="F66">
        <v>3282.2177700000002</v>
      </c>
      <c r="G66">
        <v>11772144561</v>
      </c>
      <c r="H66" t="s">
        <v>18</v>
      </c>
    </row>
    <row r="67" spans="1:8" x14ac:dyDescent="0.3">
      <c r="A67" t="s">
        <v>30</v>
      </c>
      <c r="B67" t="s">
        <v>19</v>
      </c>
      <c r="C67">
        <v>693.62445000000002</v>
      </c>
      <c r="D67">
        <v>700.76653999999996</v>
      </c>
      <c r="E67">
        <v>690.45734000000004</v>
      </c>
      <c r="F67">
        <v>696.65783999999996</v>
      </c>
      <c r="G67">
        <v>1290072226</v>
      </c>
      <c r="H67" t="s">
        <v>20</v>
      </c>
    </row>
    <row r="68" spans="1:8" x14ac:dyDescent="0.3">
      <c r="A68" t="s">
        <v>31</v>
      </c>
      <c r="B68" t="s">
        <v>9</v>
      </c>
      <c r="C68">
        <v>0.99448999999999999</v>
      </c>
      <c r="D68">
        <v>1.03457</v>
      </c>
      <c r="E68">
        <v>0.96367000000000003</v>
      </c>
      <c r="F68">
        <v>0.96855000000000002</v>
      </c>
      <c r="G68">
        <v>1120377628</v>
      </c>
      <c r="H68" t="s">
        <v>10</v>
      </c>
    </row>
    <row r="69" spans="1:8" x14ac:dyDescent="0.3">
      <c r="A69" t="s">
        <v>31</v>
      </c>
      <c r="B69" t="s">
        <v>11</v>
      </c>
      <c r="C69">
        <v>94565.726559999996</v>
      </c>
      <c r="D69">
        <v>95367.539059999996</v>
      </c>
      <c r="E69">
        <v>93712.507809999996</v>
      </c>
      <c r="F69">
        <v>94488.4375</v>
      </c>
      <c r="G69">
        <v>20885130965</v>
      </c>
      <c r="H69" t="s">
        <v>12</v>
      </c>
    </row>
    <row r="70" spans="1:8" x14ac:dyDescent="0.3">
      <c r="A70" t="s">
        <v>31</v>
      </c>
      <c r="B70" t="s">
        <v>13</v>
      </c>
      <c r="C70">
        <v>187.99533</v>
      </c>
      <c r="D70">
        <v>190.74918</v>
      </c>
      <c r="E70">
        <v>185.25227000000001</v>
      </c>
      <c r="F70">
        <v>188.56038000000001</v>
      </c>
      <c r="G70">
        <v>1544086708</v>
      </c>
      <c r="H70" t="s">
        <v>14</v>
      </c>
    </row>
    <row r="71" spans="1:8" x14ac:dyDescent="0.3">
      <c r="A71" t="s">
        <v>31</v>
      </c>
      <c r="B71" t="s">
        <v>15</v>
      </c>
      <c r="C71">
        <v>2.5767899999999999</v>
      </c>
      <c r="D71">
        <v>2.5779200000000002</v>
      </c>
      <c r="E71">
        <v>2.4729999999999999</v>
      </c>
      <c r="F71">
        <v>2.50631</v>
      </c>
      <c r="G71">
        <v>5572029190</v>
      </c>
      <c r="H71" t="s">
        <v>16</v>
      </c>
    </row>
    <row r="72" spans="1:8" x14ac:dyDescent="0.3">
      <c r="A72" t="s">
        <v>31</v>
      </c>
      <c r="B72" t="s">
        <v>17</v>
      </c>
      <c r="C72">
        <v>3282.1503899999998</v>
      </c>
      <c r="D72">
        <v>3298.0183099999999</v>
      </c>
      <c r="E72">
        <v>3224.5104999999999</v>
      </c>
      <c r="F72">
        <v>3265.9511699999998</v>
      </c>
      <c r="G72">
        <v>11647743556</v>
      </c>
      <c r="H72" t="s">
        <v>18</v>
      </c>
    </row>
    <row r="73" spans="1:8" x14ac:dyDescent="0.3">
      <c r="A73" t="s">
        <v>31</v>
      </c>
      <c r="B73" t="s">
        <v>19</v>
      </c>
      <c r="C73">
        <v>696.65783999999996</v>
      </c>
      <c r="D73">
        <v>697.99860000000001</v>
      </c>
      <c r="E73">
        <v>689.88909999999998</v>
      </c>
      <c r="F73">
        <v>693.04827999999998</v>
      </c>
      <c r="G73">
        <v>1291862069</v>
      </c>
      <c r="H73" t="s">
        <v>20</v>
      </c>
    </row>
    <row r="74" spans="1:8" x14ac:dyDescent="0.3">
      <c r="A74" t="s">
        <v>32</v>
      </c>
      <c r="B74" t="s">
        <v>9</v>
      </c>
      <c r="C74">
        <v>0.96853</v>
      </c>
      <c r="D74">
        <v>0.99104999999999999</v>
      </c>
      <c r="E74">
        <v>0.88934000000000002</v>
      </c>
      <c r="F74">
        <v>0.94474000000000002</v>
      </c>
      <c r="G74">
        <v>1532120555</v>
      </c>
      <c r="H74" t="s">
        <v>10</v>
      </c>
    </row>
    <row r="75" spans="1:8" x14ac:dyDescent="0.3">
      <c r="A75" t="s">
        <v>32</v>
      </c>
      <c r="B75" t="s">
        <v>11</v>
      </c>
      <c r="C75">
        <v>94488.890629999994</v>
      </c>
      <c r="D75">
        <v>95837</v>
      </c>
      <c r="E75">
        <v>89260.101559999996</v>
      </c>
      <c r="F75">
        <v>94516.523440000004</v>
      </c>
      <c r="G75">
        <v>72978998252</v>
      </c>
      <c r="H75" t="s">
        <v>12</v>
      </c>
    </row>
    <row r="76" spans="1:8" x14ac:dyDescent="0.3">
      <c r="A76" t="s">
        <v>32</v>
      </c>
      <c r="B76" t="s">
        <v>13</v>
      </c>
      <c r="C76">
        <v>188.55091999999999</v>
      </c>
      <c r="D76">
        <v>191.77518000000001</v>
      </c>
      <c r="E76">
        <v>170.62898000000001</v>
      </c>
      <c r="F76">
        <v>182.83536000000001</v>
      </c>
      <c r="G76">
        <v>5225490858</v>
      </c>
      <c r="H76" t="s">
        <v>14</v>
      </c>
    </row>
    <row r="77" spans="1:8" x14ac:dyDescent="0.3">
      <c r="A77" t="s">
        <v>32</v>
      </c>
      <c r="B77" t="s">
        <v>15</v>
      </c>
      <c r="C77">
        <v>2.50637</v>
      </c>
      <c r="D77">
        <v>2.5590299999999999</v>
      </c>
      <c r="E77">
        <v>2.3397700000000001</v>
      </c>
      <c r="F77">
        <v>2.5229300000000001</v>
      </c>
      <c r="G77">
        <v>10540895915</v>
      </c>
      <c r="H77" t="s">
        <v>16</v>
      </c>
    </row>
    <row r="78" spans="1:8" x14ac:dyDescent="0.3">
      <c r="A78" t="s">
        <v>32</v>
      </c>
      <c r="B78" t="s">
        <v>17</v>
      </c>
      <c r="C78">
        <v>3266.09546</v>
      </c>
      <c r="D78">
        <v>3335.1936000000001</v>
      </c>
      <c r="E78">
        <v>2920.5927700000002</v>
      </c>
      <c r="F78">
        <v>3135.4997600000002</v>
      </c>
      <c r="G78">
        <v>39911742769</v>
      </c>
      <c r="H78" t="s">
        <v>18</v>
      </c>
    </row>
    <row r="79" spans="1:8" x14ac:dyDescent="0.3">
      <c r="A79" t="s">
        <v>32</v>
      </c>
      <c r="B79" t="s">
        <v>19</v>
      </c>
      <c r="C79">
        <v>693.04809999999998</v>
      </c>
      <c r="D79">
        <v>699.48137999999994</v>
      </c>
      <c r="E79">
        <v>659.75940000000003</v>
      </c>
      <c r="F79">
        <v>688.26751999999999</v>
      </c>
      <c r="G79">
        <v>2127442444</v>
      </c>
      <c r="H79" t="s">
        <v>20</v>
      </c>
    </row>
    <row r="80" spans="1:8" x14ac:dyDescent="0.3">
      <c r="A80" t="s">
        <v>33</v>
      </c>
      <c r="B80" t="s">
        <v>9</v>
      </c>
      <c r="C80">
        <v>0.94474000000000002</v>
      </c>
      <c r="D80">
        <v>1.0068999999999999</v>
      </c>
      <c r="E80">
        <v>0.94011999999999996</v>
      </c>
      <c r="F80">
        <v>0.99490999999999996</v>
      </c>
      <c r="G80">
        <v>1119015701</v>
      </c>
      <c r="H80" t="s">
        <v>10</v>
      </c>
    </row>
    <row r="81" spans="1:8" x14ac:dyDescent="0.3">
      <c r="A81" t="s">
        <v>33</v>
      </c>
      <c r="B81" t="s">
        <v>11</v>
      </c>
      <c r="C81">
        <v>94519.007809999996</v>
      </c>
      <c r="D81">
        <v>97352.664059999996</v>
      </c>
      <c r="E81">
        <v>94322.15625</v>
      </c>
      <c r="F81">
        <v>96534.046879999994</v>
      </c>
      <c r="G81">
        <v>53769675818</v>
      </c>
      <c r="H81" t="s">
        <v>12</v>
      </c>
    </row>
    <row r="82" spans="1:8" x14ac:dyDescent="0.3">
      <c r="A82" t="s">
        <v>33</v>
      </c>
      <c r="B82" t="s">
        <v>13</v>
      </c>
      <c r="C82">
        <v>182.83299</v>
      </c>
      <c r="D82">
        <v>189.93732</v>
      </c>
      <c r="E82">
        <v>181.95667</v>
      </c>
      <c r="F82">
        <v>187.49860000000001</v>
      </c>
      <c r="G82">
        <v>2748310371</v>
      </c>
      <c r="H82" t="s">
        <v>14</v>
      </c>
    </row>
    <row r="83" spans="1:8" x14ac:dyDescent="0.3">
      <c r="A83" t="s">
        <v>33</v>
      </c>
      <c r="B83" t="s">
        <v>15</v>
      </c>
      <c r="C83">
        <v>2.5228899999999999</v>
      </c>
      <c r="D83">
        <v>2.6874199999999999</v>
      </c>
      <c r="E83">
        <v>2.5161899999999999</v>
      </c>
      <c r="F83">
        <v>2.66913</v>
      </c>
      <c r="G83">
        <v>8454377085</v>
      </c>
      <c r="H83" t="s">
        <v>16</v>
      </c>
    </row>
    <row r="84" spans="1:8" x14ac:dyDescent="0.3">
      <c r="A84" t="s">
        <v>33</v>
      </c>
      <c r="B84" t="s">
        <v>17</v>
      </c>
      <c r="C84">
        <v>3135.6701699999999</v>
      </c>
      <c r="D84">
        <v>3254.7514700000002</v>
      </c>
      <c r="E84">
        <v>3126.80591</v>
      </c>
      <c r="F84">
        <v>3223.6845699999999</v>
      </c>
      <c r="G84">
        <v>22847737224</v>
      </c>
      <c r="H84" t="s">
        <v>18</v>
      </c>
    </row>
    <row r="85" spans="1:8" x14ac:dyDescent="0.3">
      <c r="A85" t="s">
        <v>33</v>
      </c>
      <c r="B85" t="s">
        <v>19</v>
      </c>
      <c r="C85">
        <v>688.26751999999999</v>
      </c>
      <c r="D85">
        <v>699.80791999999997</v>
      </c>
      <c r="E85">
        <v>686.43273999999997</v>
      </c>
      <c r="F85">
        <v>698.61968999999999</v>
      </c>
      <c r="G85">
        <v>1566844744</v>
      </c>
      <c r="H85" t="s">
        <v>20</v>
      </c>
    </row>
    <row r="86" spans="1:8" x14ac:dyDescent="0.3">
      <c r="A86" t="s">
        <v>34</v>
      </c>
      <c r="B86" t="s">
        <v>9</v>
      </c>
      <c r="C86">
        <v>0.99490999999999996</v>
      </c>
      <c r="D86">
        <v>1.0837699999999999</v>
      </c>
      <c r="E86">
        <v>0.99097999999999997</v>
      </c>
      <c r="F86">
        <v>1.0791500000000001</v>
      </c>
      <c r="G86">
        <v>2210962210</v>
      </c>
      <c r="H86" t="s">
        <v>10</v>
      </c>
    </row>
    <row r="87" spans="1:8" x14ac:dyDescent="0.3">
      <c r="A87" t="s">
        <v>34</v>
      </c>
      <c r="B87" t="s">
        <v>11</v>
      </c>
      <c r="C87">
        <v>96534.046879999994</v>
      </c>
      <c r="D87">
        <v>100697.2344</v>
      </c>
      <c r="E87">
        <v>96501.640629999994</v>
      </c>
      <c r="F87">
        <v>100504.49219999999</v>
      </c>
      <c r="G87">
        <v>57805923627</v>
      </c>
      <c r="H87" t="s">
        <v>12</v>
      </c>
    </row>
    <row r="88" spans="1:8" x14ac:dyDescent="0.3">
      <c r="A88" t="s">
        <v>34</v>
      </c>
      <c r="B88" t="s">
        <v>13</v>
      </c>
      <c r="C88">
        <v>187.49817999999999</v>
      </c>
      <c r="D88">
        <v>205.93494999999999</v>
      </c>
      <c r="E88">
        <v>186.00299000000001</v>
      </c>
      <c r="F88">
        <v>205.91135</v>
      </c>
      <c r="G88">
        <v>4071481523</v>
      </c>
      <c r="H88" t="s">
        <v>14</v>
      </c>
    </row>
    <row r="89" spans="1:8" x14ac:dyDescent="0.3">
      <c r="A89" t="s">
        <v>34</v>
      </c>
      <c r="B89" t="s">
        <v>15</v>
      </c>
      <c r="C89">
        <v>2.6691699999999998</v>
      </c>
      <c r="D89">
        <v>3.17753</v>
      </c>
      <c r="E89">
        <v>2.6556700000000002</v>
      </c>
      <c r="F89">
        <v>3.1550600000000002</v>
      </c>
      <c r="G89">
        <v>22195175230</v>
      </c>
      <c r="H89" t="s">
        <v>16</v>
      </c>
    </row>
    <row r="90" spans="1:8" x14ac:dyDescent="0.3">
      <c r="A90" t="s">
        <v>34</v>
      </c>
      <c r="B90" t="s">
        <v>17</v>
      </c>
      <c r="C90">
        <v>3223.6845699999999</v>
      </c>
      <c r="D90">
        <v>3473.1015600000001</v>
      </c>
      <c r="E90">
        <v>3186.1398899999999</v>
      </c>
      <c r="F90">
        <v>3450.5376000000001</v>
      </c>
      <c r="G90">
        <v>25991614661</v>
      </c>
      <c r="H90" t="s">
        <v>18</v>
      </c>
    </row>
    <row r="91" spans="1:8" x14ac:dyDescent="0.3">
      <c r="A91" t="s">
        <v>34</v>
      </c>
      <c r="B91" t="s">
        <v>19</v>
      </c>
      <c r="C91">
        <v>698.61968999999999</v>
      </c>
      <c r="D91">
        <v>714.66101000000003</v>
      </c>
      <c r="E91">
        <v>688.75653</v>
      </c>
      <c r="F91">
        <v>714.02844000000005</v>
      </c>
      <c r="G91">
        <v>1856118408</v>
      </c>
      <c r="H91" t="s">
        <v>20</v>
      </c>
    </row>
    <row r="92" spans="1:8" x14ac:dyDescent="0.3">
      <c r="A92" t="s">
        <v>35</v>
      </c>
      <c r="B92" t="s">
        <v>9</v>
      </c>
      <c r="C92">
        <v>1.0790900000000001</v>
      </c>
      <c r="D92">
        <v>1.13961</v>
      </c>
      <c r="E92">
        <v>1.0301800000000001</v>
      </c>
      <c r="F92">
        <v>1.0901000000000001</v>
      </c>
      <c r="G92">
        <v>2245926187</v>
      </c>
      <c r="H92" t="s">
        <v>10</v>
      </c>
    </row>
    <row r="93" spans="1:8" x14ac:dyDescent="0.3">
      <c r="A93" t="s">
        <v>35</v>
      </c>
      <c r="B93" t="s">
        <v>11</v>
      </c>
      <c r="C93">
        <v>100505.2969</v>
      </c>
      <c r="D93">
        <v>100781.58590000001</v>
      </c>
      <c r="E93">
        <v>97364.445309999996</v>
      </c>
      <c r="F93">
        <v>99756.90625</v>
      </c>
      <c r="G93">
        <v>54103781805</v>
      </c>
      <c r="H93" t="s">
        <v>12</v>
      </c>
    </row>
    <row r="94" spans="1:8" x14ac:dyDescent="0.3">
      <c r="A94" t="s">
        <v>35</v>
      </c>
      <c r="B94" t="s">
        <v>13</v>
      </c>
      <c r="C94">
        <v>205.92196999999999</v>
      </c>
      <c r="D94">
        <v>216.83994999999999</v>
      </c>
      <c r="E94">
        <v>198.66252</v>
      </c>
      <c r="F94">
        <v>211.22783999999999</v>
      </c>
      <c r="G94">
        <v>6099125467</v>
      </c>
      <c r="H94" t="s">
        <v>14</v>
      </c>
    </row>
    <row r="95" spans="1:8" x14ac:dyDescent="0.3">
      <c r="A95" t="s">
        <v>35</v>
      </c>
      <c r="B95" t="s">
        <v>15</v>
      </c>
      <c r="C95">
        <v>3.1553900000000001</v>
      </c>
      <c r="D95">
        <v>3.3880699999999999</v>
      </c>
      <c r="E95">
        <v>2.9380199999999999</v>
      </c>
      <c r="F95">
        <v>3.2455400000000001</v>
      </c>
      <c r="G95">
        <v>26379764731</v>
      </c>
      <c r="H95" t="s">
        <v>16</v>
      </c>
    </row>
    <row r="96" spans="1:8" x14ac:dyDescent="0.3">
      <c r="A96" t="s">
        <v>35</v>
      </c>
      <c r="B96" t="s">
        <v>17</v>
      </c>
      <c r="C96">
        <v>3450.3051799999998</v>
      </c>
      <c r="D96">
        <v>3458.18066</v>
      </c>
      <c r="E96">
        <v>3265.67578</v>
      </c>
      <c r="F96">
        <v>3308.3452200000002</v>
      </c>
      <c r="G96">
        <v>26395516475</v>
      </c>
      <c r="H96" t="s">
        <v>18</v>
      </c>
    </row>
    <row r="97" spans="1:8" x14ac:dyDescent="0.3">
      <c r="A97" t="s">
        <v>35</v>
      </c>
      <c r="B97" t="s">
        <v>19</v>
      </c>
      <c r="C97">
        <v>714.07165999999995</v>
      </c>
      <c r="D97">
        <v>717.03332999999998</v>
      </c>
      <c r="E97">
        <v>701.20294000000001</v>
      </c>
      <c r="F97">
        <v>708.29803000000004</v>
      </c>
      <c r="G97">
        <v>1899114340</v>
      </c>
      <c r="H97" t="s">
        <v>20</v>
      </c>
    </row>
    <row r="98" spans="1:8" x14ac:dyDescent="0.3">
      <c r="A98" t="s">
        <v>36</v>
      </c>
      <c r="B98" t="s">
        <v>9</v>
      </c>
      <c r="C98">
        <v>1.09009</v>
      </c>
      <c r="D98">
        <v>1.16367</v>
      </c>
      <c r="E98">
        <v>1.08822</v>
      </c>
      <c r="F98">
        <v>1.1351199999999999</v>
      </c>
      <c r="G98">
        <v>1819221213</v>
      </c>
      <c r="H98" t="s">
        <v>10</v>
      </c>
    </row>
    <row r="99" spans="1:8" x14ac:dyDescent="0.3">
      <c r="A99" t="s">
        <v>36</v>
      </c>
      <c r="B99" t="s">
        <v>11</v>
      </c>
      <c r="C99">
        <v>100025.7656</v>
      </c>
      <c r="D99">
        <v>105884.22659999999</v>
      </c>
      <c r="E99">
        <v>99948.90625</v>
      </c>
      <c r="F99">
        <v>104462.03909999999</v>
      </c>
      <c r="G99">
        <v>71888972663</v>
      </c>
      <c r="H99" t="s">
        <v>12</v>
      </c>
    </row>
    <row r="100" spans="1:8" x14ac:dyDescent="0.3">
      <c r="A100" t="s">
        <v>36</v>
      </c>
      <c r="B100" t="s">
        <v>13</v>
      </c>
      <c r="C100">
        <v>211.22841</v>
      </c>
      <c r="D100">
        <v>221.85242</v>
      </c>
      <c r="E100">
        <v>209.96924999999999</v>
      </c>
      <c r="F100">
        <v>219.62161</v>
      </c>
      <c r="G100">
        <v>5118230275</v>
      </c>
      <c r="H100" t="s">
        <v>14</v>
      </c>
    </row>
    <row r="101" spans="1:8" x14ac:dyDescent="0.3">
      <c r="A101" t="s">
        <v>36</v>
      </c>
      <c r="B101" t="s">
        <v>15</v>
      </c>
      <c r="C101">
        <v>3.24532</v>
      </c>
      <c r="D101">
        <v>3.34301</v>
      </c>
      <c r="E101">
        <v>3.1815799999999999</v>
      </c>
      <c r="F101">
        <v>3.2986399999999998</v>
      </c>
      <c r="G101">
        <v>13511699686</v>
      </c>
      <c r="H101" t="s">
        <v>16</v>
      </c>
    </row>
    <row r="102" spans="1:8" x14ac:dyDescent="0.3">
      <c r="A102" t="s">
        <v>36</v>
      </c>
      <c r="B102" t="s">
        <v>17</v>
      </c>
      <c r="C102">
        <v>3308.1911599999999</v>
      </c>
      <c r="D102">
        <v>3525.5434599999999</v>
      </c>
      <c r="E102">
        <v>3307.31104</v>
      </c>
      <c r="F102">
        <v>3474.10718</v>
      </c>
      <c r="G102">
        <v>28200207229</v>
      </c>
      <c r="H102" t="s">
        <v>18</v>
      </c>
    </row>
    <row r="103" spans="1:8" x14ac:dyDescent="0.3">
      <c r="A103" t="s">
        <v>36</v>
      </c>
      <c r="B103" t="s">
        <v>19</v>
      </c>
      <c r="C103">
        <v>708.29803000000004</v>
      </c>
      <c r="D103">
        <v>729.85352</v>
      </c>
      <c r="E103">
        <v>708.18622000000005</v>
      </c>
      <c r="F103">
        <v>721.75049000000001</v>
      </c>
      <c r="G103">
        <v>1946000436</v>
      </c>
      <c r="H103" t="s">
        <v>20</v>
      </c>
    </row>
    <row r="104" spans="1:8" x14ac:dyDescent="0.3">
      <c r="A104" t="s">
        <v>37</v>
      </c>
      <c r="B104" t="s">
        <v>9</v>
      </c>
      <c r="C104">
        <v>1.1351100000000001</v>
      </c>
      <c r="D104">
        <v>1.14361</v>
      </c>
      <c r="E104">
        <v>1.05263</v>
      </c>
      <c r="F104">
        <v>1.1020700000000001</v>
      </c>
      <c r="G104">
        <v>1614350854</v>
      </c>
      <c r="H104" t="s">
        <v>10</v>
      </c>
    </row>
    <row r="105" spans="1:8" x14ac:dyDescent="0.3">
      <c r="A105" t="s">
        <v>37</v>
      </c>
      <c r="B105" t="s">
        <v>11</v>
      </c>
      <c r="C105">
        <v>104124.9531</v>
      </c>
      <c r="D105">
        <v>104913.2031</v>
      </c>
      <c r="E105">
        <v>102226.61719999999</v>
      </c>
      <c r="F105">
        <v>104408.07030000001</v>
      </c>
      <c r="G105">
        <v>50445655726</v>
      </c>
      <c r="H105" t="s">
        <v>12</v>
      </c>
    </row>
    <row r="106" spans="1:8" x14ac:dyDescent="0.3">
      <c r="A106" t="s">
        <v>37</v>
      </c>
      <c r="B106" t="s">
        <v>13</v>
      </c>
      <c r="C106">
        <v>219.6207</v>
      </c>
      <c r="D106">
        <v>268.74657999999999</v>
      </c>
      <c r="E106">
        <v>217.57504</v>
      </c>
      <c r="F106">
        <v>261.86975000000001</v>
      </c>
      <c r="G106">
        <v>23186958912</v>
      </c>
      <c r="H106" t="s">
        <v>14</v>
      </c>
    </row>
    <row r="107" spans="1:8" x14ac:dyDescent="0.3">
      <c r="A107" t="s">
        <v>37</v>
      </c>
      <c r="B107" t="s">
        <v>15</v>
      </c>
      <c r="C107">
        <v>3.29867</v>
      </c>
      <c r="D107">
        <v>3.29867</v>
      </c>
      <c r="E107">
        <v>3.0726800000000001</v>
      </c>
      <c r="F107">
        <v>3.2740200000000002</v>
      </c>
      <c r="G107">
        <v>11851170238</v>
      </c>
      <c r="H107" t="s">
        <v>16</v>
      </c>
    </row>
    <row r="108" spans="1:8" x14ac:dyDescent="0.3">
      <c r="A108" t="s">
        <v>37</v>
      </c>
      <c r="B108" t="s">
        <v>17</v>
      </c>
      <c r="C108">
        <v>3473.5637200000001</v>
      </c>
      <c r="D108">
        <v>3493.0600599999998</v>
      </c>
      <c r="E108">
        <v>3228.33374</v>
      </c>
      <c r="F108">
        <v>3305.78955</v>
      </c>
      <c r="G108">
        <v>32420094038</v>
      </c>
      <c r="H108" t="s">
        <v>18</v>
      </c>
    </row>
    <row r="109" spans="1:8" x14ac:dyDescent="0.3">
      <c r="A109" t="s">
        <v>37</v>
      </c>
      <c r="B109" t="s">
        <v>19</v>
      </c>
      <c r="C109">
        <v>721.75049000000001</v>
      </c>
      <c r="D109">
        <v>723.09320000000002</v>
      </c>
      <c r="E109">
        <v>695.21642999999995</v>
      </c>
      <c r="F109">
        <v>709.42498999999998</v>
      </c>
      <c r="G109">
        <v>2200623289</v>
      </c>
      <c r="H109" t="s">
        <v>20</v>
      </c>
    </row>
    <row r="110" spans="1:8" x14ac:dyDescent="0.3">
      <c r="A110" t="s">
        <v>38</v>
      </c>
      <c r="B110" t="s">
        <v>9</v>
      </c>
      <c r="C110">
        <v>1.10205</v>
      </c>
      <c r="D110">
        <v>1.1474599999999999</v>
      </c>
      <c r="E110">
        <v>0.97811000000000003</v>
      </c>
      <c r="F110">
        <v>0.99119000000000002</v>
      </c>
      <c r="G110">
        <v>2978644563</v>
      </c>
      <c r="H110" t="s">
        <v>10</v>
      </c>
    </row>
    <row r="111" spans="1:8" x14ac:dyDescent="0.3">
      <c r="A111" t="s">
        <v>38</v>
      </c>
      <c r="B111" t="s">
        <v>11</v>
      </c>
      <c r="C111">
        <v>104411.28909999999</v>
      </c>
      <c r="D111">
        <v>106299.7969</v>
      </c>
      <c r="E111">
        <v>99570.53125</v>
      </c>
      <c r="F111">
        <v>101089.6094</v>
      </c>
      <c r="G111">
        <v>76789928525</v>
      </c>
      <c r="H111" t="s">
        <v>12</v>
      </c>
    </row>
    <row r="112" spans="1:8" x14ac:dyDescent="0.3">
      <c r="A112" t="s">
        <v>38</v>
      </c>
      <c r="B112" t="s">
        <v>13</v>
      </c>
      <c r="C112">
        <v>261.87243999999998</v>
      </c>
      <c r="D112">
        <v>294.33496000000002</v>
      </c>
      <c r="E112">
        <v>239.61058</v>
      </c>
      <c r="F112">
        <v>250.58636000000001</v>
      </c>
      <c r="G112">
        <v>33172955667</v>
      </c>
      <c r="H112" t="s">
        <v>14</v>
      </c>
    </row>
    <row r="113" spans="1:8" x14ac:dyDescent="0.3">
      <c r="A113" t="s">
        <v>38</v>
      </c>
      <c r="B113" t="s">
        <v>15</v>
      </c>
      <c r="C113">
        <v>3.2739799999999999</v>
      </c>
      <c r="D113">
        <v>3.2853400000000001</v>
      </c>
      <c r="E113">
        <v>2.9045399999999999</v>
      </c>
      <c r="F113">
        <v>2.95472</v>
      </c>
      <c r="G113">
        <v>14986676962</v>
      </c>
      <c r="H113" t="s">
        <v>16</v>
      </c>
    </row>
    <row r="114" spans="1:8" x14ac:dyDescent="0.3">
      <c r="A114" t="s">
        <v>38</v>
      </c>
      <c r="B114" t="s">
        <v>17</v>
      </c>
      <c r="C114">
        <v>3305.39795</v>
      </c>
      <c r="D114">
        <v>3444.2065400000001</v>
      </c>
      <c r="E114">
        <v>3127.6230500000001</v>
      </c>
      <c r="F114">
        <v>3208.9643599999999</v>
      </c>
      <c r="G114">
        <v>57242875399</v>
      </c>
      <c r="H114" t="s">
        <v>18</v>
      </c>
    </row>
    <row r="115" spans="1:8" x14ac:dyDescent="0.3">
      <c r="A115" t="s">
        <v>38</v>
      </c>
      <c r="B115" t="s">
        <v>19</v>
      </c>
      <c r="C115">
        <v>709.4248</v>
      </c>
      <c r="D115">
        <v>713.46893</v>
      </c>
      <c r="E115">
        <v>676.84729000000004</v>
      </c>
      <c r="F115">
        <v>682.20398</v>
      </c>
      <c r="G115">
        <v>2841079952</v>
      </c>
      <c r="H115" t="s">
        <v>20</v>
      </c>
    </row>
    <row r="116" spans="1:8" x14ac:dyDescent="0.3">
      <c r="A116" t="s">
        <v>39</v>
      </c>
      <c r="B116" t="s">
        <v>9</v>
      </c>
      <c r="C116">
        <v>0.99117</v>
      </c>
      <c r="D116">
        <v>1.0967</v>
      </c>
      <c r="E116">
        <v>0.96884999999999999</v>
      </c>
      <c r="F116">
        <v>1.00864</v>
      </c>
      <c r="G116">
        <v>2754988266</v>
      </c>
      <c r="H116" t="s">
        <v>10</v>
      </c>
    </row>
    <row r="117" spans="1:8" x14ac:dyDescent="0.3">
      <c r="A117" t="s">
        <v>39</v>
      </c>
      <c r="B117" t="s">
        <v>11</v>
      </c>
      <c r="C117">
        <v>101083.75</v>
      </c>
      <c r="D117">
        <v>109114.88280000001</v>
      </c>
      <c r="E117">
        <v>99471.359379999994</v>
      </c>
      <c r="F117">
        <v>102016.66409999999</v>
      </c>
      <c r="G117">
        <v>126000000000</v>
      </c>
      <c r="H117" t="s">
        <v>12</v>
      </c>
    </row>
    <row r="118" spans="1:8" x14ac:dyDescent="0.3">
      <c r="A118" t="s">
        <v>39</v>
      </c>
      <c r="B118" t="s">
        <v>13</v>
      </c>
      <c r="C118">
        <v>250.62496999999999</v>
      </c>
      <c r="D118">
        <v>272.15305000000001</v>
      </c>
      <c r="E118">
        <v>231.63454999999999</v>
      </c>
      <c r="F118">
        <v>242.25022999999999</v>
      </c>
      <c r="G118">
        <v>22690757561</v>
      </c>
      <c r="H118" t="s">
        <v>14</v>
      </c>
    </row>
    <row r="119" spans="1:8" x14ac:dyDescent="0.3">
      <c r="A119" t="s">
        <v>39</v>
      </c>
      <c r="B119" t="s">
        <v>15</v>
      </c>
      <c r="C119">
        <v>2.9543499999999998</v>
      </c>
      <c r="D119">
        <v>3.3472400000000002</v>
      </c>
      <c r="E119">
        <v>2.9291299999999998</v>
      </c>
      <c r="F119">
        <v>3.0998299999999999</v>
      </c>
      <c r="G119">
        <v>21508103946</v>
      </c>
      <c r="H119" t="s">
        <v>16</v>
      </c>
    </row>
    <row r="120" spans="1:8" x14ac:dyDescent="0.3">
      <c r="A120" t="s">
        <v>39</v>
      </c>
      <c r="B120" t="s">
        <v>17</v>
      </c>
      <c r="C120">
        <v>3208.9338400000001</v>
      </c>
      <c r="D120">
        <v>3444.2827200000002</v>
      </c>
      <c r="E120">
        <v>3147.52295</v>
      </c>
      <c r="F120">
        <v>3278.0354000000002</v>
      </c>
      <c r="G120">
        <v>52383187336</v>
      </c>
      <c r="H120" t="s">
        <v>18</v>
      </c>
    </row>
    <row r="121" spans="1:8" x14ac:dyDescent="0.3">
      <c r="A121" t="s">
        <v>39</v>
      </c>
      <c r="B121" t="s">
        <v>19</v>
      </c>
      <c r="C121">
        <v>682.20489999999995</v>
      </c>
      <c r="D121">
        <v>707.57636000000002</v>
      </c>
      <c r="E121">
        <v>672.18939</v>
      </c>
      <c r="F121">
        <v>681.80334000000005</v>
      </c>
      <c r="G121">
        <v>2865652878</v>
      </c>
      <c r="H121" t="s">
        <v>20</v>
      </c>
    </row>
    <row r="122" spans="1:8" x14ac:dyDescent="0.3">
      <c r="A122" t="s">
        <v>40</v>
      </c>
      <c r="B122" t="s">
        <v>9</v>
      </c>
      <c r="C122">
        <v>1.0086599999999999</v>
      </c>
      <c r="D122">
        <v>1.0269299999999999</v>
      </c>
      <c r="E122">
        <v>0.95509999999999995</v>
      </c>
      <c r="F122">
        <v>1.00465</v>
      </c>
      <c r="G122">
        <v>1689540931</v>
      </c>
      <c r="H122" t="s">
        <v>10</v>
      </c>
    </row>
    <row r="123" spans="1:8" x14ac:dyDescent="0.3">
      <c r="A123" t="s">
        <v>40</v>
      </c>
      <c r="B123" t="s">
        <v>11</v>
      </c>
      <c r="C123">
        <v>102052.5781</v>
      </c>
      <c r="D123">
        <v>107180.9219</v>
      </c>
      <c r="E123">
        <v>100103.9531</v>
      </c>
      <c r="F123">
        <v>106146.2656</v>
      </c>
      <c r="G123">
        <v>88733878242</v>
      </c>
      <c r="H123" t="s">
        <v>12</v>
      </c>
    </row>
    <row r="124" spans="1:8" x14ac:dyDescent="0.3">
      <c r="A124" t="s">
        <v>40</v>
      </c>
      <c r="B124" t="s">
        <v>13</v>
      </c>
      <c r="C124">
        <v>242.23652999999999</v>
      </c>
      <c r="D124">
        <v>259.82934999999998</v>
      </c>
      <c r="E124">
        <v>231.67591999999999</v>
      </c>
      <c r="F124">
        <v>250.41379000000001</v>
      </c>
      <c r="G124">
        <v>10694802909</v>
      </c>
      <c r="H124" t="s">
        <v>14</v>
      </c>
    </row>
    <row r="125" spans="1:8" x14ac:dyDescent="0.3">
      <c r="A125" t="s">
        <v>40</v>
      </c>
      <c r="B125" t="s">
        <v>15</v>
      </c>
      <c r="C125">
        <v>3.0998299999999999</v>
      </c>
      <c r="D125">
        <v>3.2345899999999999</v>
      </c>
      <c r="E125">
        <v>3.0221499999999999</v>
      </c>
      <c r="F125">
        <v>3.1694</v>
      </c>
      <c r="G125">
        <v>10358506190</v>
      </c>
      <c r="H125" t="s">
        <v>16</v>
      </c>
    </row>
    <row r="126" spans="1:8" x14ac:dyDescent="0.3">
      <c r="A126" t="s">
        <v>40</v>
      </c>
      <c r="B126" t="s">
        <v>17</v>
      </c>
      <c r="C126">
        <v>3278.43604</v>
      </c>
      <c r="D126">
        <v>3365.77808</v>
      </c>
      <c r="E126">
        <v>3202.4926799999998</v>
      </c>
      <c r="F126">
        <v>3327.40625</v>
      </c>
      <c r="G126">
        <v>32804001146</v>
      </c>
      <c r="H126" t="s">
        <v>18</v>
      </c>
    </row>
    <row r="127" spans="1:8" x14ac:dyDescent="0.3">
      <c r="A127" t="s">
        <v>40</v>
      </c>
      <c r="B127" t="s">
        <v>19</v>
      </c>
      <c r="C127">
        <v>681.80334000000005</v>
      </c>
      <c r="D127">
        <v>696.91754000000003</v>
      </c>
      <c r="E127">
        <v>675.44568000000004</v>
      </c>
      <c r="F127">
        <v>691.81659000000002</v>
      </c>
      <c r="G127">
        <v>2008007873</v>
      </c>
      <c r="H127" t="s">
        <v>20</v>
      </c>
    </row>
    <row r="128" spans="1:8" x14ac:dyDescent="0.3">
      <c r="A128" t="s">
        <v>41</v>
      </c>
      <c r="B128" t="s">
        <v>9</v>
      </c>
      <c r="C128">
        <v>1.00465</v>
      </c>
      <c r="D128">
        <v>1.0159899999999999</v>
      </c>
      <c r="E128">
        <v>0.97943000000000002</v>
      </c>
      <c r="F128">
        <v>0.98163999999999996</v>
      </c>
      <c r="G128">
        <v>973043309</v>
      </c>
      <c r="H128" t="s">
        <v>10</v>
      </c>
    </row>
    <row r="129" spans="1:8" x14ac:dyDescent="0.3">
      <c r="A129" t="s">
        <v>41</v>
      </c>
      <c r="B129" t="s">
        <v>11</v>
      </c>
      <c r="C129">
        <v>106136.38280000001</v>
      </c>
      <c r="D129">
        <v>106294.3438</v>
      </c>
      <c r="E129">
        <v>103360.2656</v>
      </c>
      <c r="F129">
        <v>103653.07030000001</v>
      </c>
      <c r="G129">
        <v>53878181052</v>
      </c>
      <c r="H129" t="s">
        <v>12</v>
      </c>
    </row>
    <row r="130" spans="1:8" x14ac:dyDescent="0.3">
      <c r="A130" t="s">
        <v>41</v>
      </c>
      <c r="B130" t="s">
        <v>13</v>
      </c>
      <c r="C130">
        <v>250.41379000000001</v>
      </c>
      <c r="D130">
        <v>271.53003000000001</v>
      </c>
      <c r="E130">
        <v>248.7516</v>
      </c>
      <c r="F130">
        <v>257.23737</v>
      </c>
      <c r="G130">
        <v>8880832578</v>
      </c>
      <c r="H130" t="s">
        <v>14</v>
      </c>
    </row>
    <row r="131" spans="1:8" x14ac:dyDescent="0.3">
      <c r="A131" t="s">
        <v>41</v>
      </c>
      <c r="B131" t="s">
        <v>15</v>
      </c>
      <c r="C131">
        <v>3.1694100000000001</v>
      </c>
      <c r="D131">
        <v>3.2742399999999998</v>
      </c>
      <c r="E131">
        <v>3.1457000000000002</v>
      </c>
      <c r="F131">
        <v>3.1711</v>
      </c>
      <c r="G131">
        <v>8091948884</v>
      </c>
      <c r="H131" t="s">
        <v>16</v>
      </c>
    </row>
    <row r="132" spans="1:8" x14ac:dyDescent="0.3">
      <c r="A132" t="s">
        <v>41</v>
      </c>
      <c r="B132" t="s">
        <v>17</v>
      </c>
      <c r="C132">
        <v>3327.23731</v>
      </c>
      <c r="D132">
        <v>3364.7460900000001</v>
      </c>
      <c r="E132">
        <v>3223.3859900000002</v>
      </c>
      <c r="F132">
        <v>3240.2246100000002</v>
      </c>
      <c r="G132">
        <v>22171220981</v>
      </c>
      <c r="H132" t="s">
        <v>18</v>
      </c>
    </row>
    <row r="133" spans="1:8" x14ac:dyDescent="0.3">
      <c r="A133" t="s">
        <v>41</v>
      </c>
      <c r="B133" t="s">
        <v>19</v>
      </c>
      <c r="C133">
        <v>691.81659000000002</v>
      </c>
      <c r="D133">
        <v>703.27026000000001</v>
      </c>
      <c r="E133">
        <v>690.27454</v>
      </c>
      <c r="F133">
        <v>694.98321999999996</v>
      </c>
      <c r="G133">
        <v>1762077789</v>
      </c>
      <c r="H133" t="s">
        <v>20</v>
      </c>
    </row>
    <row r="134" spans="1:8" x14ac:dyDescent="0.3">
      <c r="A134" t="s">
        <v>42</v>
      </c>
      <c r="B134" t="s">
        <v>9</v>
      </c>
      <c r="C134">
        <v>0.98163999999999996</v>
      </c>
      <c r="D134">
        <v>1.00664</v>
      </c>
      <c r="E134">
        <v>0.95374999999999999</v>
      </c>
      <c r="F134">
        <v>0.98748999999999998</v>
      </c>
      <c r="G134">
        <v>1176052467</v>
      </c>
      <c r="H134" t="s">
        <v>10</v>
      </c>
    </row>
    <row r="135" spans="1:8" x14ac:dyDescent="0.3">
      <c r="A135" t="s">
        <v>42</v>
      </c>
      <c r="B135" t="s">
        <v>11</v>
      </c>
      <c r="C135">
        <v>103657.6719</v>
      </c>
      <c r="D135">
        <v>106820.3281</v>
      </c>
      <c r="E135">
        <v>101257.80469999999</v>
      </c>
      <c r="F135">
        <v>103960.1719</v>
      </c>
      <c r="G135">
        <v>104000000000</v>
      </c>
      <c r="H135" t="s">
        <v>12</v>
      </c>
    </row>
    <row r="136" spans="1:8" x14ac:dyDescent="0.3">
      <c r="A136" t="s">
        <v>42</v>
      </c>
      <c r="B136" t="s">
        <v>13</v>
      </c>
      <c r="C136">
        <v>257.23624000000001</v>
      </c>
      <c r="D136">
        <v>258.12914999999998</v>
      </c>
      <c r="E136">
        <v>242.49619000000001</v>
      </c>
      <c r="F136">
        <v>253.45519999999999</v>
      </c>
      <c r="G136">
        <v>9264528949</v>
      </c>
      <c r="H136" t="s">
        <v>14</v>
      </c>
    </row>
    <row r="137" spans="1:8" x14ac:dyDescent="0.3">
      <c r="A137" t="s">
        <v>42</v>
      </c>
      <c r="B137" t="s">
        <v>15</v>
      </c>
      <c r="C137">
        <v>3.1710600000000002</v>
      </c>
      <c r="D137">
        <v>3.1779899999999999</v>
      </c>
      <c r="E137">
        <v>3.0408400000000002</v>
      </c>
      <c r="F137">
        <v>3.1198899999999998</v>
      </c>
      <c r="G137">
        <v>8450732276</v>
      </c>
      <c r="H137" t="s">
        <v>16</v>
      </c>
    </row>
    <row r="138" spans="1:8" x14ac:dyDescent="0.3">
      <c r="A138" t="s">
        <v>42</v>
      </c>
      <c r="B138" t="s">
        <v>17</v>
      </c>
      <c r="C138">
        <v>3240.47534</v>
      </c>
      <c r="D138">
        <v>3346.7324199999998</v>
      </c>
      <c r="E138">
        <v>3184.0668999999998</v>
      </c>
      <c r="F138">
        <v>3334.7141099999999</v>
      </c>
      <c r="G138">
        <v>32419520084</v>
      </c>
      <c r="H138" t="s">
        <v>18</v>
      </c>
    </row>
    <row r="139" spans="1:8" x14ac:dyDescent="0.3">
      <c r="A139" t="s">
        <v>42</v>
      </c>
      <c r="B139" t="s">
        <v>19</v>
      </c>
      <c r="C139">
        <v>694.96483999999998</v>
      </c>
      <c r="D139">
        <v>697.00145999999995</v>
      </c>
      <c r="E139">
        <v>681.05768</v>
      </c>
      <c r="F139">
        <v>690.20374000000004</v>
      </c>
      <c r="G139">
        <v>2277458782</v>
      </c>
      <c r="H139" t="s">
        <v>20</v>
      </c>
    </row>
    <row r="140" spans="1:8" x14ac:dyDescent="0.3">
      <c r="A140" t="s">
        <v>43</v>
      </c>
      <c r="B140" t="s">
        <v>9</v>
      </c>
      <c r="C140">
        <v>0.98746</v>
      </c>
      <c r="D140">
        <v>1.0071099999999999</v>
      </c>
      <c r="E140">
        <v>0.96619999999999995</v>
      </c>
      <c r="F140">
        <v>0.97148999999999996</v>
      </c>
      <c r="G140">
        <v>899623660</v>
      </c>
      <c r="H140" t="s">
        <v>10</v>
      </c>
    </row>
    <row r="141" spans="1:8" x14ac:dyDescent="0.3">
      <c r="A141" t="s">
        <v>43</v>
      </c>
      <c r="B141" t="s">
        <v>11</v>
      </c>
      <c r="C141">
        <v>103965.6719</v>
      </c>
      <c r="D141">
        <v>107098.5469</v>
      </c>
      <c r="E141">
        <v>102772.125</v>
      </c>
      <c r="F141">
        <v>104819.4844</v>
      </c>
      <c r="G141">
        <v>52388229265</v>
      </c>
      <c r="H141" t="s">
        <v>12</v>
      </c>
    </row>
    <row r="142" spans="1:8" x14ac:dyDescent="0.3">
      <c r="A142" t="s">
        <v>43</v>
      </c>
      <c r="B142" t="s">
        <v>13</v>
      </c>
      <c r="C142">
        <v>253.45519999999999</v>
      </c>
      <c r="D142">
        <v>269.80579</v>
      </c>
      <c r="E142">
        <v>247.63147000000001</v>
      </c>
      <c r="F142">
        <v>253.36122</v>
      </c>
      <c r="G142">
        <v>7483041553</v>
      </c>
      <c r="H142" t="s">
        <v>14</v>
      </c>
    </row>
    <row r="143" spans="1:8" x14ac:dyDescent="0.3">
      <c r="A143" t="s">
        <v>43</v>
      </c>
      <c r="B143" t="s">
        <v>15</v>
      </c>
      <c r="C143">
        <v>3.1198899999999998</v>
      </c>
      <c r="D143">
        <v>3.2007599999999998</v>
      </c>
      <c r="E143">
        <v>3.0572499999999998</v>
      </c>
      <c r="F143">
        <v>3.1034799999999998</v>
      </c>
      <c r="G143">
        <v>6847580394</v>
      </c>
      <c r="H143" t="s">
        <v>16</v>
      </c>
    </row>
    <row r="144" spans="1:8" x14ac:dyDescent="0.3">
      <c r="A144" t="s">
        <v>43</v>
      </c>
      <c r="B144" t="s">
        <v>17</v>
      </c>
      <c r="C144">
        <v>3334.8083499999998</v>
      </c>
      <c r="D144">
        <v>3424.8998999999999</v>
      </c>
      <c r="E144">
        <v>3277.3232400000002</v>
      </c>
      <c r="F144">
        <v>3309.5549299999998</v>
      </c>
      <c r="G144">
        <v>25578325671</v>
      </c>
      <c r="H144" t="s">
        <v>18</v>
      </c>
    </row>
    <row r="145" spans="1:8" x14ac:dyDescent="0.3">
      <c r="A145" t="s">
        <v>43</v>
      </c>
      <c r="B145" t="s">
        <v>19</v>
      </c>
      <c r="C145">
        <v>690.20374000000004</v>
      </c>
      <c r="D145">
        <v>690.83801000000005</v>
      </c>
      <c r="E145">
        <v>679.08672999999999</v>
      </c>
      <c r="F145">
        <v>680.21320000000003</v>
      </c>
      <c r="G145">
        <v>1730218663</v>
      </c>
      <c r="H145" t="s">
        <v>20</v>
      </c>
    </row>
    <row r="146" spans="1:8" x14ac:dyDescent="0.3">
      <c r="A146" t="s">
        <v>44</v>
      </c>
      <c r="B146" t="s">
        <v>9</v>
      </c>
      <c r="C146">
        <v>0.97150000000000003</v>
      </c>
      <c r="D146">
        <v>0.99021000000000003</v>
      </c>
      <c r="E146">
        <v>0.96618000000000004</v>
      </c>
      <c r="F146">
        <v>0.97726999999999997</v>
      </c>
      <c r="G146">
        <v>518321010</v>
      </c>
      <c r="H146" t="s">
        <v>10</v>
      </c>
    </row>
    <row r="147" spans="1:8" x14ac:dyDescent="0.3">
      <c r="A147" t="s">
        <v>44</v>
      </c>
      <c r="B147" t="s">
        <v>11</v>
      </c>
      <c r="C147">
        <v>104824.0313</v>
      </c>
      <c r="D147">
        <v>105243.78909999999</v>
      </c>
      <c r="E147">
        <v>104120.375</v>
      </c>
      <c r="F147">
        <v>104714.64840000001</v>
      </c>
      <c r="G147">
        <v>23888996502</v>
      </c>
      <c r="H147" t="s">
        <v>12</v>
      </c>
    </row>
    <row r="148" spans="1:8" x14ac:dyDescent="0.3">
      <c r="A148" t="s">
        <v>44</v>
      </c>
      <c r="B148" t="s">
        <v>13</v>
      </c>
      <c r="C148">
        <v>253.36632</v>
      </c>
      <c r="D148">
        <v>260.58249000000001</v>
      </c>
      <c r="E148">
        <v>246.65912</v>
      </c>
      <c r="F148">
        <v>256.07357999999999</v>
      </c>
      <c r="G148">
        <v>5035419721</v>
      </c>
      <c r="H148" t="s">
        <v>14</v>
      </c>
    </row>
    <row r="149" spans="1:8" x14ac:dyDescent="0.3">
      <c r="A149" t="s">
        <v>44</v>
      </c>
      <c r="B149" t="s">
        <v>15</v>
      </c>
      <c r="C149">
        <v>3.1034299999999999</v>
      </c>
      <c r="D149">
        <v>3.1417099999999998</v>
      </c>
      <c r="E149">
        <v>3.0827200000000001</v>
      </c>
      <c r="F149">
        <v>3.1097100000000002</v>
      </c>
      <c r="G149">
        <v>3304586596</v>
      </c>
      <c r="H149" t="s">
        <v>16</v>
      </c>
    </row>
    <row r="150" spans="1:8" x14ac:dyDescent="0.3">
      <c r="A150" t="s">
        <v>44</v>
      </c>
      <c r="B150" t="s">
        <v>17</v>
      </c>
      <c r="C150">
        <v>3309.7116700000001</v>
      </c>
      <c r="D150">
        <v>3349.2983399999998</v>
      </c>
      <c r="E150">
        <v>3270.2731899999999</v>
      </c>
      <c r="F150">
        <v>3317.26953</v>
      </c>
      <c r="G150">
        <v>13744316078</v>
      </c>
      <c r="H150" t="s">
        <v>18</v>
      </c>
    </row>
    <row r="151" spans="1:8" x14ac:dyDescent="0.3">
      <c r="A151" t="s">
        <v>44</v>
      </c>
      <c r="B151" t="s">
        <v>19</v>
      </c>
      <c r="C151">
        <v>680.21416999999997</v>
      </c>
      <c r="D151">
        <v>689.45971999999995</v>
      </c>
      <c r="E151">
        <v>678.11162999999999</v>
      </c>
      <c r="F151">
        <v>686.26849000000004</v>
      </c>
      <c r="G151">
        <v>1457363671</v>
      </c>
      <c r="H151" t="s">
        <v>20</v>
      </c>
    </row>
    <row r="152" spans="1:8" x14ac:dyDescent="0.3">
      <c r="A152" t="s">
        <v>45</v>
      </c>
      <c r="B152" t="s">
        <v>9</v>
      </c>
      <c r="C152">
        <v>0.97726999999999997</v>
      </c>
      <c r="D152">
        <v>0.99921000000000004</v>
      </c>
      <c r="E152">
        <v>0.95486000000000004</v>
      </c>
      <c r="F152">
        <v>0.95486000000000004</v>
      </c>
      <c r="G152">
        <v>558478883</v>
      </c>
      <c r="H152" t="s">
        <v>10</v>
      </c>
    </row>
    <row r="153" spans="1:8" x14ac:dyDescent="0.3">
      <c r="A153" t="s">
        <v>45</v>
      </c>
      <c r="B153" t="s">
        <v>11</v>
      </c>
      <c r="C153">
        <v>104713.21090000001</v>
      </c>
      <c r="D153">
        <v>105438.64840000001</v>
      </c>
      <c r="E153">
        <v>102507.71090000001</v>
      </c>
      <c r="F153">
        <v>102682.5</v>
      </c>
      <c r="G153">
        <v>22543395879</v>
      </c>
      <c r="H153" t="s">
        <v>12</v>
      </c>
    </row>
    <row r="154" spans="1:8" x14ac:dyDescent="0.3">
      <c r="A154" t="s">
        <v>45</v>
      </c>
      <c r="B154" t="s">
        <v>13</v>
      </c>
      <c r="C154">
        <v>256.07387999999997</v>
      </c>
      <c r="D154">
        <v>259.63449000000003</v>
      </c>
      <c r="E154">
        <v>240.85243</v>
      </c>
      <c r="F154">
        <v>240.88345000000001</v>
      </c>
      <c r="G154">
        <v>4178231600</v>
      </c>
      <c r="H154" t="s">
        <v>14</v>
      </c>
    </row>
    <row r="155" spans="1:8" x14ac:dyDescent="0.3">
      <c r="A155" t="s">
        <v>45</v>
      </c>
      <c r="B155" t="s">
        <v>15</v>
      </c>
      <c r="C155">
        <v>3.1097000000000001</v>
      </c>
      <c r="D155">
        <v>3.1410900000000002</v>
      </c>
      <c r="E155">
        <v>3.0234000000000001</v>
      </c>
      <c r="F155">
        <v>3.02623</v>
      </c>
      <c r="G155">
        <v>3480601702</v>
      </c>
      <c r="H155" t="s">
        <v>16</v>
      </c>
    </row>
    <row r="156" spans="1:8" x14ac:dyDescent="0.3">
      <c r="A156" t="s">
        <v>45</v>
      </c>
      <c r="B156" t="s">
        <v>17</v>
      </c>
      <c r="C156">
        <v>3317.2914999999998</v>
      </c>
      <c r="D156">
        <v>3359.3125</v>
      </c>
      <c r="E156">
        <v>3233.9221200000002</v>
      </c>
      <c r="F156">
        <v>3236.1342800000002</v>
      </c>
      <c r="G156">
        <v>14471528757</v>
      </c>
      <c r="H156" t="s">
        <v>18</v>
      </c>
    </row>
    <row r="157" spans="1:8" x14ac:dyDescent="0.3">
      <c r="A157" t="s">
        <v>45</v>
      </c>
      <c r="B157" t="s">
        <v>19</v>
      </c>
      <c r="C157">
        <v>686.26917000000003</v>
      </c>
      <c r="D157">
        <v>690.31500000000005</v>
      </c>
      <c r="E157">
        <v>665.04102</v>
      </c>
      <c r="F157">
        <v>666.76378999999997</v>
      </c>
      <c r="G157">
        <v>1529267261</v>
      </c>
      <c r="H157" t="s">
        <v>20</v>
      </c>
    </row>
    <row r="158" spans="1:8" x14ac:dyDescent="0.3">
      <c r="A158" t="s">
        <v>46</v>
      </c>
      <c r="B158" t="s">
        <v>9</v>
      </c>
      <c r="C158">
        <v>0.95482</v>
      </c>
      <c r="D158">
        <v>0.95681000000000005</v>
      </c>
      <c r="E158">
        <v>0.86877000000000004</v>
      </c>
      <c r="F158">
        <v>0.93293999999999999</v>
      </c>
      <c r="G158">
        <v>1388103697</v>
      </c>
      <c r="H158" t="s">
        <v>10</v>
      </c>
    </row>
    <row r="159" spans="1:8" x14ac:dyDescent="0.3">
      <c r="A159" t="s">
        <v>46</v>
      </c>
      <c r="B159" t="s">
        <v>11</v>
      </c>
      <c r="C159">
        <v>102680.30469999999</v>
      </c>
      <c r="D159">
        <v>103214.1094</v>
      </c>
      <c r="E159">
        <v>97795.9375</v>
      </c>
      <c r="F159">
        <v>102087.6875</v>
      </c>
      <c r="G159">
        <v>89006608428</v>
      </c>
      <c r="H159" t="s">
        <v>12</v>
      </c>
    </row>
    <row r="160" spans="1:8" x14ac:dyDescent="0.3">
      <c r="A160" t="s">
        <v>46</v>
      </c>
      <c r="B160" t="s">
        <v>13</v>
      </c>
      <c r="C160">
        <v>240.88533000000001</v>
      </c>
      <c r="D160">
        <v>242.42902000000001</v>
      </c>
      <c r="E160">
        <v>221.97533000000001</v>
      </c>
      <c r="F160">
        <v>235.07445000000001</v>
      </c>
      <c r="G160">
        <v>10736630238</v>
      </c>
      <c r="H160" t="s">
        <v>14</v>
      </c>
    </row>
    <row r="161" spans="1:8" x14ac:dyDescent="0.3">
      <c r="A161" t="s">
        <v>46</v>
      </c>
      <c r="B161" t="s">
        <v>15</v>
      </c>
      <c r="C161">
        <v>3.0262799999999999</v>
      </c>
      <c r="D161">
        <v>3.0536699999999999</v>
      </c>
      <c r="E161">
        <v>2.7084800000000002</v>
      </c>
      <c r="F161">
        <v>3.0531799999999998</v>
      </c>
      <c r="G161">
        <v>15974106216</v>
      </c>
      <c r="H161" t="s">
        <v>16</v>
      </c>
    </row>
    <row r="162" spans="1:8" x14ac:dyDescent="0.3">
      <c r="A162" t="s">
        <v>46</v>
      </c>
      <c r="B162" t="s">
        <v>17</v>
      </c>
      <c r="C162">
        <v>3235.8552300000001</v>
      </c>
      <c r="D162">
        <v>3250.3964799999999</v>
      </c>
      <c r="E162">
        <v>3024.0915500000001</v>
      </c>
      <c r="F162">
        <v>3178.9204100000002</v>
      </c>
      <c r="G162">
        <v>39412486482</v>
      </c>
      <c r="H162" t="s">
        <v>18</v>
      </c>
    </row>
    <row r="163" spans="1:8" x14ac:dyDescent="0.3">
      <c r="A163" t="s">
        <v>46</v>
      </c>
      <c r="B163" t="s">
        <v>19</v>
      </c>
      <c r="C163">
        <v>666.76378999999997</v>
      </c>
      <c r="D163">
        <v>679.91332999999997</v>
      </c>
      <c r="E163">
        <v>639.95599000000004</v>
      </c>
      <c r="F163">
        <v>679.79333999999994</v>
      </c>
      <c r="G163">
        <v>2295184879</v>
      </c>
      <c r="H163" t="s">
        <v>20</v>
      </c>
    </row>
    <row r="164" spans="1:8" x14ac:dyDescent="0.3">
      <c r="A164" t="s">
        <v>47</v>
      </c>
      <c r="B164" t="s">
        <v>9</v>
      </c>
      <c r="C164">
        <v>0.93294999999999995</v>
      </c>
      <c r="D164">
        <v>0.96706999999999999</v>
      </c>
      <c r="E164">
        <v>0.90505000000000002</v>
      </c>
      <c r="F164">
        <v>0.91610999999999998</v>
      </c>
      <c r="G164">
        <v>768281216</v>
      </c>
      <c r="H164" t="s">
        <v>10</v>
      </c>
    </row>
    <row r="165" spans="1:8" x14ac:dyDescent="0.3">
      <c r="A165" t="s">
        <v>47</v>
      </c>
      <c r="B165" t="s">
        <v>11</v>
      </c>
      <c r="C165">
        <v>102095.41409999999</v>
      </c>
      <c r="D165">
        <v>103730.82030000001</v>
      </c>
      <c r="E165">
        <v>100238.1875</v>
      </c>
      <c r="F165">
        <v>101332.47659999999</v>
      </c>
      <c r="G165">
        <v>47180685494</v>
      </c>
      <c r="H165" t="s">
        <v>12</v>
      </c>
    </row>
    <row r="166" spans="1:8" x14ac:dyDescent="0.3">
      <c r="A166" t="s">
        <v>47</v>
      </c>
      <c r="B166" t="s">
        <v>13</v>
      </c>
      <c r="C166">
        <v>235.07297</v>
      </c>
      <c r="D166">
        <v>243.89478</v>
      </c>
      <c r="E166">
        <v>225.25986</v>
      </c>
      <c r="F166">
        <v>227.20396</v>
      </c>
      <c r="G166">
        <v>5105320114</v>
      </c>
      <c r="H166" t="s">
        <v>14</v>
      </c>
    </row>
    <row r="167" spans="1:8" x14ac:dyDescent="0.3">
      <c r="A167" t="s">
        <v>47</v>
      </c>
      <c r="B167" t="s">
        <v>15</v>
      </c>
      <c r="C167">
        <v>3.0532300000000001</v>
      </c>
      <c r="D167">
        <v>3.2090900000000002</v>
      </c>
      <c r="E167">
        <v>3.01139</v>
      </c>
      <c r="F167">
        <v>3.0611199999999998</v>
      </c>
      <c r="G167">
        <v>9497347683</v>
      </c>
      <c r="H167" t="s">
        <v>16</v>
      </c>
    </row>
    <row r="168" spans="1:8" x14ac:dyDescent="0.3">
      <c r="A168" t="s">
        <v>47</v>
      </c>
      <c r="B168" t="s">
        <v>17</v>
      </c>
      <c r="C168">
        <v>3179.08691</v>
      </c>
      <c r="D168">
        <v>3222.73731</v>
      </c>
      <c r="E168">
        <v>3040.09229</v>
      </c>
      <c r="F168">
        <v>3077.1125499999998</v>
      </c>
      <c r="G168">
        <v>20718206194</v>
      </c>
      <c r="H168" t="s">
        <v>18</v>
      </c>
    </row>
    <row r="169" spans="1:8" x14ac:dyDescent="0.3">
      <c r="A169" t="s">
        <v>47</v>
      </c>
      <c r="B169" t="s">
        <v>19</v>
      </c>
      <c r="C169">
        <v>679.79333999999994</v>
      </c>
      <c r="D169">
        <v>682.85668999999996</v>
      </c>
      <c r="E169">
        <v>659.58214999999996</v>
      </c>
      <c r="F169">
        <v>661.42456000000004</v>
      </c>
      <c r="G169">
        <v>1659082131</v>
      </c>
      <c r="H169" t="s">
        <v>20</v>
      </c>
    </row>
    <row r="170" spans="1:8" x14ac:dyDescent="0.3">
      <c r="A170" t="s">
        <v>48</v>
      </c>
      <c r="B170" t="s">
        <v>9</v>
      </c>
      <c r="C170">
        <v>0.91610999999999998</v>
      </c>
      <c r="D170">
        <v>0.95835999999999999</v>
      </c>
      <c r="E170">
        <v>0.90522000000000002</v>
      </c>
      <c r="F170">
        <v>0.94113000000000002</v>
      </c>
      <c r="G170">
        <v>819481985</v>
      </c>
      <c r="H170" t="s">
        <v>10</v>
      </c>
    </row>
    <row r="171" spans="1:8" x14ac:dyDescent="0.3">
      <c r="A171" t="s">
        <v>48</v>
      </c>
      <c r="B171" t="s">
        <v>11</v>
      </c>
      <c r="C171">
        <v>101317.52340000001</v>
      </c>
      <c r="D171">
        <v>104750.80469999999</v>
      </c>
      <c r="E171">
        <v>101283.82030000001</v>
      </c>
      <c r="F171">
        <v>103703.21090000001</v>
      </c>
      <c r="G171">
        <v>47432049818</v>
      </c>
      <c r="H171" t="s">
        <v>12</v>
      </c>
    </row>
    <row r="172" spans="1:8" x14ac:dyDescent="0.3">
      <c r="A172" t="s">
        <v>48</v>
      </c>
      <c r="B172" t="s">
        <v>13</v>
      </c>
      <c r="C172">
        <v>227.20278999999999</v>
      </c>
      <c r="D172">
        <v>237.70975999999999</v>
      </c>
      <c r="E172">
        <v>222.92350999999999</v>
      </c>
      <c r="F172">
        <v>227.94493</v>
      </c>
      <c r="G172">
        <v>5385638692</v>
      </c>
      <c r="H172" t="s">
        <v>14</v>
      </c>
    </row>
    <row r="173" spans="1:8" x14ac:dyDescent="0.3">
      <c r="A173" t="s">
        <v>48</v>
      </c>
      <c r="B173" t="s">
        <v>15</v>
      </c>
      <c r="C173">
        <v>3.0611000000000002</v>
      </c>
      <c r="D173">
        <v>3.1274299999999999</v>
      </c>
      <c r="E173">
        <v>2.9767600000000001</v>
      </c>
      <c r="F173">
        <v>3.0682900000000002</v>
      </c>
      <c r="G173">
        <v>6882287654</v>
      </c>
      <c r="H173" t="s">
        <v>16</v>
      </c>
    </row>
    <row r="174" spans="1:8" x14ac:dyDescent="0.3">
      <c r="A174" t="s">
        <v>48</v>
      </c>
      <c r="B174" t="s">
        <v>17</v>
      </c>
      <c r="C174">
        <v>3076.38013</v>
      </c>
      <c r="D174">
        <v>3177.98047</v>
      </c>
      <c r="E174">
        <v>3055.1816399999998</v>
      </c>
      <c r="F174">
        <v>3112.9990200000002</v>
      </c>
      <c r="G174">
        <v>22727786058</v>
      </c>
      <c r="H174" t="s">
        <v>18</v>
      </c>
    </row>
    <row r="175" spans="1:8" x14ac:dyDescent="0.3">
      <c r="A175" t="s">
        <v>48</v>
      </c>
      <c r="B175" t="s">
        <v>19</v>
      </c>
      <c r="C175">
        <v>661.42602999999997</v>
      </c>
      <c r="D175">
        <v>678.99207000000001</v>
      </c>
      <c r="E175">
        <v>660.23199</v>
      </c>
      <c r="F175">
        <v>667.68573000000004</v>
      </c>
      <c r="G175">
        <v>1716776649</v>
      </c>
      <c r="H175" t="s">
        <v>20</v>
      </c>
    </row>
    <row r="176" spans="1:8" x14ac:dyDescent="0.3">
      <c r="A176" t="s">
        <v>49</v>
      </c>
      <c r="B176" t="s">
        <v>9</v>
      </c>
      <c r="C176">
        <v>0.94113999999999998</v>
      </c>
      <c r="D176">
        <v>0.98624999999999996</v>
      </c>
      <c r="E176">
        <v>0.93869999999999998</v>
      </c>
      <c r="F176">
        <v>0.96101000000000003</v>
      </c>
      <c r="G176">
        <v>626612172</v>
      </c>
      <c r="H176" t="s">
        <v>10</v>
      </c>
    </row>
    <row r="177" spans="1:8" x14ac:dyDescent="0.3">
      <c r="A177" t="s">
        <v>49</v>
      </c>
      <c r="B177" t="s">
        <v>11</v>
      </c>
      <c r="C177">
        <v>103709.33590000001</v>
      </c>
      <c r="D177">
        <v>106418.7656</v>
      </c>
      <c r="E177">
        <v>103321.64840000001</v>
      </c>
      <c r="F177">
        <v>104735.30469999999</v>
      </c>
      <c r="G177">
        <v>41915744521</v>
      </c>
      <c r="H177" t="s">
        <v>12</v>
      </c>
    </row>
    <row r="178" spans="1:8" x14ac:dyDescent="0.3">
      <c r="A178" t="s">
        <v>49</v>
      </c>
      <c r="B178" t="s">
        <v>13</v>
      </c>
      <c r="C178">
        <v>227.95304999999999</v>
      </c>
      <c r="D178">
        <v>244.32596000000001</v>
      </c>
      <c r="E178">
        <v>227.13762</v>
      </c>
      <c r="F178">
        <v>239.02314999999999</v>
      </c>
      <c r="G178">
        <v>4636567306</v>
      </c>
      <c r="H178" t="s">
        <v>14</v>
      </c>
    </row>
    <row r="179" spans="1:8" x14ac:dyDescent="0.3">
      <c r="A179" t="s">
        <v>49</v>
      </c>
      <c r="B179" t="s">
        <v>15</v>
      </c>
      <c r="C179">
        <v>3.0684</v>
      </c>
      <c r="D179">
        <v>3.1513300000000002</v>
      </c>
      <c r="E179">
        <v>3.0533100000000002</v>
      </c>
      <c r="F179">
        <v>3.1310699999999998</v>
      </c>
      <c r="G179">
        <v>4868674752</v>
      </c>
      <c r="H179" t="s">
        <v>16</v>
      </c>
    </row>
    <row r="180" spans="1:8" x14ac:dyDescent="0.3">
      <c r="A180" t="s">
        <v>49</v>
      </c>
      <c r="B180" t="s">
        <v>17</v>
      </c>
      <c r="C180">
        <v>3113.2898</v>
      </c>
      <c r="D180">
        <v>3282.9863300000002</v>
      </c>
      <c r="E180">
        <v>3093.1237799999999</v>
      </c>
      <c r="F180">
        <v>3247.7800299999999</v>
      </c>
      <c r="G180">
        <v>19958405782</v>
      </c>
      <c r="H180" t="s">
        <v>18</v>
      </c>
    </row>
    <row r="181" spans="1:8" x14ac:dyDescent="0.3">
      <c r="A181" t="s">
        <v>49</v>
      </c>
      <c r="B181" t="s">
        <v>19</v>
      </c>
      <c r="C181">
        <v>667.72986000000003</v>
      </c>
      <c r="D181">
        <v>682.32470999999998</v>
      </c>
      <c r="E181">
        <v>666.64917000000003</v>
      </c>
      <c r="F181">
        <v>677.55358999999999</v>
      </c>
      <c r="G181">
        <v>1506319921</v>
      </c>
      <c r="H181" t="s">
        <v>20</v>
      </c>
    </row>
    <row r="182" spans="1:8" x14ac:dyDescent="0.3">
      <c r="A182" t="s">
        <v>50</v>
      </c>
      <c r="B182" t="s">
        <v>9</v>
      </c>
      <c r="C182">
        <v>0.96101000000000003</v>
      </c>
      <c r="D182">
        <v>0.9819</v>
      </c>
      <c r="E182">
        <v>0.93686000000000003</v>
      </c>
      <c r="F182">
        <v>0.94223000000000001</v>
      </c>
      <c r="G182">
        <v>700669655</v>
      </c>
      <c r="H182" t="s">
        <v>10</v>
      </c>
    </row>
    <row r="183" spans="1:8" x14ac:dyDescent="0.3">
      <c r="A183" t="s">
        <v>50</v>
      </c>
      <c r="B183" t="s">
        <v>11</v>
      </c>
      <c r="C183">
        <v>104737.5625</v>
      </c>
      <c r="D183">
        <v>106026.35159999999</v>
      </c>
      <c r="E183">
        <v>101543.88280000001</v>
      </c>
      <c r="F183">
        <v>102405.02340000001</v>
      </c>
      <c r="G183">
        <v>45732764360</v>
      </c>
      <c r="H183" t="s">
        <v>12</v>
      </c>
    </row>
    <row r="184" spans="1:8" x14ac:dyDescent="0.3">
      <c r="A184" t="s">
        <v>50</v>
      </c>
      <c r="B184" t="s">
        <v>13</v>
      </c>
      <c r="C184">
        <v>239.01669000000001</v>
      </c>
      <c r="D184">
        <v>241.66659999999999</v>
      </c>
      <c r="E184">
        <v>228.47883999999999</v>
      </c>
      <c r="F184">
        <v>231.63791000000001</v>
      </c>
      <c r="G184">
        <v>4043216055</v>
      </c>
      <c r="H184" t="s">
        <v>14</v>
      </c>
    </row>
    <row r="185" spans="1:8" x14ac:dyDescent="0.3">
      <c r="A185" t="s">
        <v>50</v>
      </c>
      <c r="B185" t="s">
        <v>15</v>
      </c>
      <c r="C185">
        <v>3.1310500000000001</v>
      </c>
      <c r="D185">
        <v>3.1311300000000002</v>
      </c>
      <c r="E185">
        <v>3.0064799999999998</v>
      </c>
      <c r="F185">
        <v>3.0354199999999998</v>
      </c>
      <c r="G185">
        <v>4520254155</v>
      </c>
      <c r="H185" t="s">
        <v>16</v>
      </c>
    </row>
    <row r="186" spans="1:8" x14ac:dyDescent="0.3">
      <c r="A186" t="s">
        <v>50</v>
      </c>
      <c r="B186" t="s">
        <v>17</v>
      </c>
      <c r="C186">
        <v>3247.8671899999999</v>
      </c>
      <c r="D186">
        <v>3437.56909</v>
      </c>
      <c r="E186">
        <v>3214.9355500000001</v>
      </c>
      <c r="F186">
        <v>3298.26514</v>
      </c>
      <c r="G186">
        <v>30128115902</v>
      </c>
      <c r="H186" t="s">
        <v>18</v>
      </c>
    </row>
    <row r="187" spans="1:8" x14ac:dyDescent="0.3">
      <c r="A187" t="s">
        <v>50</v>
      </c>
      <c r="B187" t="s">
        <v>19</v>
      </c>
      <c r="C187">
        <v>677.55724999999995</v>
      </c>
      <c r="D187">
        <v>689.21514999999999</v>
      </c>
      <c r="E187">
        <v>673.79345999999998</v>
      </c>
      <c r="F187">
        <v>677.37536999999998</v>
      </c>
      <c r="G187">
        <v>1589542506</v>
      </c>
      <c r="H187" t="s">
        <v>20</v>
      </c>
    </row>
    <row r="188" spans="1:8" x14ac:dyDescent="0.3">
      <c r="A188" t="s">
        <v>51</v>
      </c>
      <c r="B188" t="s">
        <v>9</v>
      </c>
      <c r="C188">
        <v>0.94223000000000001</v>
      </c>
      <c r="D188">
        <v>0.95604999999999996</v>
      </c>
      <c r="E188">
        <v>0.89093999999999995</v>
      </c>
      <c r="F188">
        <v>0.89793999999999996</v>
      </c>
      <c r="G188">
        <v>576044613</v>
      </c>
      <c r="H188" t="s">
        <v>10</v>
      </c>
    </row>
    <row r="189" spans="1:8" x14ac:dyDescent="0.3">
      <c r="A189" t="s">
        <v>51</v>
      </c>
      <c r="B189" t="s">
        <v>11</v>
      </c>
      <c r="C189">
        <v>102402.7969</v>
      </c>
      <c r="D189">
        <v>102755.72659999999</v>
      </c>
      <c r="E189">
        <v>100297.71090000001</v>
      </c>
      <c r="F189">
        <v>100655.9063</v>
      </c>
      <c r="G189">
        <v>27757944848</v>
      </c>
      <c r="H189" t="s">
        <v>12</v>
      </c>
    </row>
    <row r="190" spans="1:8" x14ac:dyDescent="0.3">
      <c r="A190" t="s">
        <v>51</v>
      </c>
      <c r="B190" t="s">
        <v>13</v>
      </c>
      <c r="C190">
        <v>231.64061000000001</v>
      </c>
      <c r="D190">
        <v>233.86383000000001</v>
      </c>
      <c r="E190">
        <v>213.43639999999999</v>
      </c>
      <c r="F190">
        <v>213.78502</v>
      </c>
      <c r="G190">
        <v>3546350864</v>
      </c>
      <c r="H190" t="s">
        <v>14</v>
      </c>
    </row>
    <row r="191" spans="1:8" x14ac:dyDescent="0.3">
      <c r="A191" t="s">
        <v>51</v>
      </c>
      <c r="B191" t="s">
        <v>15</v>
      </c>
      <c r="C191">
        <v>3.0354000000000001</v>
      </c>
      <c r="D191">
        <v>3.0685099999999998</v>
      </c>
      <c r="E191">
        <v>2.8381400000000001</v>
      </c>
      <c r="F191">
        <v>2.8844699999999999</v>
      </c>
      <c r="G191">
        <v>4886927800</v>
      </c>
      <c r="H191" t="s">
        <v>16</v>
      </c>
    </row>
    <row r="192" spans="1:8" x14ac:dyDescent="0.3">
      <c r="A192" t="s">
        <v>51</v>
      </c>
      <c r="B192" t="s">
        <v>17</v>
      </c>
      <c r="C192">
        <v>3298.8222700000001</v>
      </c>
      <c r="D192">
        <v>3329.6552700000002</v>
      </c>
      <c r="E192">
        <v>3103.9189500000002</v>
      </c>
      <c r="F192">
        <v>3118.32861</v>
      </c>
      <c r="G192">
        <v>19917507079</v>
      </c>
      <c r="H192" t="s">
        <v>18</v>
      </c>
    </row>
    <row r="193" spans="1:8" x14ac:dyDescent="0.3">
      <c r="A193" t="s">
        <v>51</v>
      </c>
      <c r="B193" t="s">
        <v>19</v>
      </c>
      <c r="C193">
        <v>677.33989999999994</v>
      </c>
      <c r="D193">
        <v>681.21960000000001</v>
      </c>
      <c r="E193">
        <v>651.12621999999999</v>
      </c>
      <c r="F193">
        <v>653.43291999999997</v>
      </c>
      <c r="G193">
        <v>1544346912</v>
      </c>
      <c r="H193" t="s">
        <v>20</v>
      </c>
    </row>
    <row r="194" spans="1:8" x14ac:dyDescent="0.3">
      <c r="A194" t="s">
        <v>52</v>
      </c>
      <c r="B194" t="s">
        <v>9</v>
      </c>
      <c r="C194">
        <v>0.89793000000000001</v>
      </c>
      <c r="D194">
        <v>0.90973000000000004</v>
      </c>
      <c r="E194">
        <v>0.77107999999999999</v>
      </c>
      <c r="F194">
        <v>0.80174000000000001</v>
      </c>
      <c r="G194">
        <v>1554294076</v>
      </c>
      <c r="H194" t="s">
        <v>10</v>
      </c>
    </row>
    <row r="195" spans="1:8" x14ac:dyDescent="0.3">
      <c r="A195" t="s">
        <v>52</v>
      </c>
      <c r="B195" t="s">
        <v>11</v>
      </c>
      <c r="C195">
        <v>100661.53909999999</v>
      </c>
      <c r="D195">
        <v>101430.66409999999</v>
      </c>
      <c r="E195">
        <v>96216.078129999994</v>
      </c>
      <c r="F195">
        <v>97688.976559999996</v>
      </c>
      <c r="G195">
        <v>63091816853</v>
      </c>
      <c r="H195" t="s">
        <v>12</v>
      </c>
    </row>
    <row r="196" spans="1:8" x14ac:dyDescent="0.3">
      <c r="A196" t="s">
        <v>52</v>
      </c>
      <c r="B196" t="s">
        <v>13</v>
      </c>
      <c r="C196">
        <v>213.78093999999999</v>
      </c>
      <c r="D196">
        <v>218.38437999999999</v>
      </c>
      <c r="E196">
        <v>195.44923</v>
      </c>
      <c r="F196">
        <v>203.11963</v>
      </c>
      <c r="G196">
        <v>8432593480</v>
      </c>
      <c r="H196" t="s">
        <v>14</v>
      </c>
    </row>
    <row r="197" spans="1:8" x14ac:dyDescent="0.3">
      <c r="A197" t="s">
        <v>52</v>
      </c>
      <c r="B197" t="s">
        <v>15</v>
      </c>
      <c r="C197">
        <v>2.8844599999999998</v>
      </c>
      <c r="D197">
        <v>2.9528699999999999</v>
      </c>
      <c r="E197">
        <v>2.4869300000000001</v>
      </c>
      <c r="F197">
        <v>2.57979</v>
      </c>
      <c r="G197">
        <v>15654662798</v>
      </c>
      <c r="H197" t="s">
        <v>16</v>
      </c>
    </row>
    <row r="198" spans="1:8" x14ac:dyDescent="0.3">
      <c r="A198" t="s">
        <v>52</v>
      </c>
      <c r="B198" t="s">
        <v>17</v>
      </c>
      <c r="C198">
        <v>3118.61157</v>
      </c>
      <c r="D198">
        <v>3161.8942900000002</v>
      </c>
      <c r="E198">
        <v>2755.4746100000002</v>
      </c>
      <c r="F198">
        <v>2868.6928699999999</v>
      </c>
      <c r="G198">
        <v>42060930305</v>
      </c>
      <c r="H198" t="s">
        <v>18</v>
      </c>
    </row>
    <row r="199" spans="1:8" x14ac:dyDescent="0.3">
      <c r="A199" t="s">
        <v>52</v>
      </c>
      <c r="B199" t="s">
        <v>19</v>
      </c>
      <c r="C199">
        <v>653.43255999999997</v>
      </c>
      <c r="D199">
        <v>662.63373000000001</v>
      </c>
      <c r="E199">
        <v>602.76116999999999</v>
      </c>
      <c r="F199">
        <v>617.60064999999997</v>
      </c>
      <c r="G199">
        <v>2282982721</v>
      </c>
      <c r="H199" t="s">
        <v>20</v>
      </c>
    </row>
    <row r="200" spans="1:8" x14ac:dyDescent="0.3">
      <c r="A200" t="s">
        <v>53</v>
      </c>
      <c r="B200" t="s">
        <v>9</v>
      </c>
      <c r="C200">
        <v>0.80174999999999996</v>
      </c>
      <c r="D200">
        <v>0.82299999999999995</v>
      </c>
      <c r="E200">
        <v>0.56484000000000001</v>
      </c>
      <c r="F200">
        <v>0.81155999999999995</v>
      </c>
      <c r="G200">
        <v>4694160143</v>
      </c>
      <c r="H200" t="s">
        <v>10</v>
      </c>
    </row>
    <row r="201" spans="1:8" x14ac:dyDescent="0.3">
      <c r="A201" t="s">
        <v>53</v>
      </c>
      <c r="B201" t="s">
        <v>11</v>
      </c>
      <c r="C201">
        <v>97681.101559999996</v>
      </c>
      <c r="D201">
        <v>102514.1719</v>
      </c>
      <c r="E201">
        <v>91242.890629999994</v>
      </c>
      <c r="F201">
        <v>101405.4219</v>
      </c>
      <c r="G201">
        <v>115000000000</v>
      </c>
      <c r="H201" t="s">
        <v>12</v>
      </c>
    </row>
    <row r="202" spans="1:8" x14ac:dyDescent="0.3">
      <c r="A202" t="s">
        <v>53</v>
      </c>
      <c r="B202" t="s">
        <v>13</v>
      </c>
      <c r="C202">
        <v>203.12151</v>
      </c>
      <c r="D202">
        <v>218.64769000000001</v>
      </c>
      <c r="E202">
        <v>180.4093</v>
      </c>
      <c r="F202">
        <v>216.14957999999999</v>
      </c>
      <c r="G202">
        <v>15260840772</v>
      </c>
      <c r="H202" t="s">
        <v>14</v>
      </c>
    </row>
    <row r="203" spans="1:8" x14ac:dyDescent="0.3">
      <c r="A203" t="s">
        <v>53</v>
      </c>
      <c r="B203" t="s">
        <v>15</v>
      </c>
      <c r="C203">
        <v>2.57979</v>
      </c>
      <c r="D203">
        <v>2.7798500000000002</v>
      </c>
      <c r="E203">
        <v>1.94862</v>
      </c>
      <c r="F203">
        <v>2.7011599999999998</v>
      </c>
      <c r="G203">
        <v>36745099581</v>
      </c>
      <c r="H203" t="s">
        <v>16</v>
      </c>
    </row>
    <row r="204" spans="1:8" x14ac:dyDescent="0.3">
      <c r="A204" t="s">
        <v>53</v>
      </c>
      <c r="B204" t="s">
        <v>17</v>
      </c>
      <c r="C204">
        <v>2868.07861</v>
      </c>
      <c r="D204">
        <v>2919.4773</v>
      </c>
      <c r="E204">
        <v>2159.2805199999998</v>
      </c>
      <c r="F204">
        <v>2884.5666500000002</v>
      </c>
      <c r="G204">
        <v>92453553253</v>
      </c>
      <c r="H204" t="s">
        <v>18</v>
      </c>
    </row>
    <row r="205" spans="1:8" x14ac:dyDescent="0.3">
      <c r="A205" t="s">
        <v>53</v>
      </c>
      <c r="B205" t="s">
        <v>19</v>
      </c>
      <c r="C205">
        <v>617.60064999999997</v>
      </c>
      <c r="D205">
        <v>619.10797000000002</v>
      </c>
      <c r="E205">
        <v>519.19226000000003</v>
      </c>
      <c r="F205">
        <v>617.12079000000006</v>
      </c>
      <c r="G205">
        <v>3960962742</v>
      </c>
      <c r="H205" t="s">
        <v>20</v>
      </c>
    </row>
    <row r="206" spans="1:8" x14ac:dyDescent="0.3">
      <c r="A206" t="s">
        <v>54</v>
      </c>
      <c r="B206" t="s">
        <v>9</v>
      </c>
      <c r="C206">
        <v>0.81155999999999995</v>
      </c>
      <c r="D206">
        <v>0.81842999999999999</v>
      </c>
      <c r="E206">
        <v>0.71902999999999995</v>
      </c>
      <c r="F206">
        <v>0.74634</v>
      </c>
      <c r="G206">
        <v>1601678503</v>
      </c>
      <c r="H206" t="s">
        <v>10</v>
      </c>
    </row>
    <row r="207" spans="1:8" x14ac:dyDescent="0.3">
      <c r="A207" t="s">
        <v>54</v>
      </c>
      <c r="B207" t="s">
        <v>11</v>
      </c>
      <c r="C207">
        <v>101398.7188</v>
      </c>
      <c r="D207">
        <v>101745.61719999999</v>
      </c>
      <c r="E207">
        <v>96208.109379999994</v>
      </c>
      <c r="F207">
        <v>97871.820309999996</v>
      </c>
      <c r="G207">
        <v>73002130211</v>
      </c>
      <c r="H207" t="s">
        <v>12</v>
      </c>
    </row>
    <row r="208" spans="1:8" x14ac:dyDescent="0.3">
      <c r="A208" t="s">
        <v>54</v>
      </c>
      <c r="B208" t="s">
        <v>13</v>
      </c>
      <c r="C208">
        <v>216.15051</v>
      </c>
      <c r="D208">
        <v>219.99588</v>
      </c>
      <c r="E208">
        <v>202.84885</v>
      </c>
      <c r="F208">
        <v>207.09198000000001</v>
      </c>
      <c r="G208">
        <v>7328632702</v>
      </c>
      <c r="H208" t="s">
        <v>14</v>
      </c>
    </row>
    <row r="209" spans="1:8" x14ac:dyDescent="0.3">
      <c r="A209" t="s">
        <v>54</v>
      </c>
      <c r="B209" t="s">
        <v>15</v>
      </c>
      <c r="C209">
        <v>2.7013099999999999</v>
      </c>
      <c r="D209">
        <v>2.77664</v>
      </c>
      <c r="E209">
        <v>2.43554</v>
      </c>
      <c r="F209">
        <v>2.5354199999999998</v>
      </c>
      <c r="G209">
        <v>14154535566</v>
      </c>
      <c r="H209" t="s">
        <v>16</v>
      </c>
    </row>
    <row r="210" spans="1:8" x14ac:dyDescent="0.3">
      <c r="A210" t="s">
        <v>54</v>
      </c>
      <c r="B210" t="s">
        <v>17</v>
      </c>
      <c r="C210">
        <v>2883.8183600000002</v>
      </c>
      <c r="D210">
        <v>2888.25</v>
      </c>
      <c r="E210">
        <v>2636.1657700000001</v>
      </c>
      <c r="F210">
        <v>2735.0512699999999</v>
      </c>
      <c r="G210">
        <v>48795275985</v>
      </c>
      <c r="H210" t="s">
        <v>18</v>
      </c>
    </row>
    <row r="211" spans="1:8" x14ac:dyDescent="0.3">
      <c r="A211" t="s">
        <v>54</v>
      </c>
      <c r="B211" t="s">
        <v>19</v>
      </c>
      <c r="C211">
        <v>617.12079000000006</v>
      </c>
      <c r="D211">
        <v>619.34436000000005</v>
      </c>
      <c r="E211">
        <v>559.26349000000005</v>
      </c>
      <c r="F211">
        <v>573.32781999999997</v>
      </c>
      <c r="G211">
        <v>2336864401</v>
      </c>
      <c r="H211" t="s">
        <v>20</v>
      </c>
    </row>
    <row r="212" spans="1:8" x14ac:dyDescent="0.3">
      <c r="A212" t="s">
        <v>55</v>
      </c>
      <c r="B212" t="s">
        <v>9</v>
      </c>
      <c r="C212">
        <v>0.74633000000000005</v>
      </c>
      <c r="D212">
        <v>0.77408999999999994</v>
      </c>
      <c r="E212">
        <v>0.72894999999999999</v>
      </c>
      <c r="F212">
        <v>0.73321000000000003</v>
      </c>
      <c r="G212">
        <v>840128547</v>
      </c>
      <c r="H212" t="s">
        <v>10</v>
      </c>
    </row>
    <row r="213" spans="1:8" x14ac:dyDescent="0.3">
      <c r="A213" t="s">
        <v>55</v>
      </c>
      <c r="B213" t="s">
        <v>11</v>
      </c>
      <c r="C213">
        <v>97878.007809999996</v>
      </c>
      <c r="D213">
        <v>99113.210940000004</v>
      </c>
      <c r="E213">
        <v>96174.828129999994</v>
      </c>
      <c r="F213">
        <v>96615.445309999996</v>
      </c>
      <c r="G213">
        <v>49125911241</v>
      </c>
      <c r="H213" t="s">
        <v>12</v>
      </c>
    </row>
    <row r="214" spans="1:8" x14ac:dyDescent="0.3">
      <c r="A214" t="s">
        <v>55</v>
      </c>
      <c r="B214" t="s">
        <v>13</v>
      </c>
      <c r="C214">
        <v>207.0771</v>
      </c>
      <c r="D214">
        <v>209.31876</v>
      </c>
      <c r="E214">
        <v>195.39058</v>
      </c>
      <c r="F214">
        <v>195.98813999999999</v>
      </c>
      <c r="G214">
        <v>3826498437</v>
      </c>
      <c r="H214" t="s">
        <v>14</v>
      </c>
    </row>
    <row r="215" spans="1:8" x14ac:dyDescent="0.3">
      <c r="A215" t="s">
        <v>55</v>
      </c>
      <c r="B215" t="s">
        <v>15</v>
      </c>
      <c r="C215">
        <v>2.5353699999999999</v>
      </c>
      <c r="D215">
        <v>2.5671599999999999</v>
      </c>
      <c r="E215">
        <v>2.3566500000000001</v>
      </c>
      <c r="F215">
        <v>2.3823099999999999</v>
      </c>
      <c r="G215">
        <v>7724989243</v>
      </c>
      <c r="H215" t="s">
        <v>16</v>
      </c>
    </row>
    <row r="216" spans="1:8" x14ac:dyDescent="0.3">
      <c r="A216" t="s">
        <v>55</v>
      </c>
      <c r="B216" t="s">
        <v>17</v>
      </c>
      <c r="C216">
        <v>2735.2258299999999</v>
      </c>
      <c r="D216">
        <v>2824.4001499999999</v>
      </c>
      <c r="E216">
        <v>2701.1049800000001</v>
      </c>
      <c r="F216">
        <v>2787.7790500000001</v>
      </c>
      <c r="G216">
        <v>31960764447</v>
      </c>
      <c r="H216" t="s">
        <v>18</v>
      </c>
    </row>
    <row r="217" spans="1:8" x14ac:dyDescent="0.3">
      <c r="A217" t="s">
        <v>55</v>
      </c>
      <c r="B217" t="s">
        <v>19</v>
      </c>
      <c r="C217">
        <v>573.32781999999997</v>
      </c>
      <c r="D217">
        <v>578.9624</v>
      </c>
      <c r="E217">
        <v>562.06926999999996</v>
      </c>
      <c r="F217">
        <v>569.74689000000001</v>
      </c>
      <c r="G217">
        <v>1494467850</v>
      </c>
      <c r="H217" t="s">
        <v>20</v>
      </c>
    </row>
    <row r="218" spans="1:8" x14ac:dyDescent="0.3">
      <c r="A218" t="s">
        <v>56</v>
      </c>
      <c r="B218" t="s">
        <v>9</v>
      </c>
      <c r="C218">
        <v>0.73312999999999995</v>
      </c>
      <c r="D218">
        <v>0.76465000000000005</v>
      </c>
      <c r="E218">
        <v>0.70213000000000003</v>
      </c>
      <c r="F218">
        <v>0.70506000000000002</v>
      </c>
      <c r="G218">
        <v>844784492</v>
      </c>
      <c r="H218" t="s">
        <v>10</v>
      </c>
    </row>
    <row r="219" spans="1:8" x14ac:dyDescent="0.3">
      <c r="A219" t="s">
        <v>56</v>
      </c>
      <c r="B219" t="s">
        <v>11</v>
      </c>
      <c r="C219">
        <v>96610.640629999994</v>
      </c>
      <c r="D219">
        <v>99168.609379999994</v>
      </c>
      <c r="E219">
        <v>95707.351559999996</v>
      </c>
      <c r="F219">
        <v>96593.296879999994</v>
      </c>
      <c r="G219">
        <v>45302471947</v>
      </c>
      <c r="H219" t="s">
        <v>12</v>
      </c>
    </row>
    <row r="220" spans="1:8" x14ac:dyDescent="0.3">
      <c r="A220" t="s">
        <v>56</v>
      </c>
      <c r="B220" t="s">
        <v>13</v>
      </c>
      <c r="C220">
        <v>195.98639</v>
      </c>
      <c r="D220">
        <v>203.88782</v>
      </c>
      <c r="E220">
        <v>188.16552999999999</v>
      </c>
      <c r="F220">
        <v>189.77249</v>
      </c>
      <c r="G220">
        <v>3936545265</v>
      </c>
      <c r="H220" t="s">
        <v>14</v>
      </c>
    </row>
    <row r="221" spans="1:8" x14ac:dyDescent="0.3">
      <c r="A221" t="s">
        <v>56</v>
      </c>
      <c r="B221" t="s">
        <v>15</v>
      </c>
      <c r="C221">
        <v>2.38226</v>
      </c>
      <c r="D221">
        <v>2.46469</v>
      </c>
      <c r="E221">
        <v>2.2923300000000002</v>
      </c>
      <c r="F221">
        <v>2.3268800000000001</v>
      </c>
      <c r="G221">
        <v>7292152784</v>
      </c>
      <c r="H221" t="s">
        <v>16</v>
      </c>
    </row>
    <row r="222" spans="1:8" x14ac:dyDescent="0.3">
      <c r="A222" t="s">
        <v>56</v>
      </c>
      <c r="B222" t="s">
        <v>17</v>
      </c>
      <c r="C222">
        <v>2787.6586900000002</v>
      </c>
      <c r="D222">
        <v>2857.1420899999998</v>
      </c>
      <c r="E222">
        <v>2662.4458</v>
      </c>
      <c r="F222">
        <v>2688.4008800000001</v>
      </c>
      <c r="G222">
        <v>29500645692</v>
      </c>
      <c r="H222" t="s">
        <v>18</v>
      </c>
    </row>
    <row r="223" spans="1:8" x14ac:dyDescent="0.3">
      <c r="A223" t="s">
        <v>56</v>
      </c>
      <c r="B223" t="s">
        <v>19</v>
      </c>
      <c r="C223">
        <v>569.74689000000001</v>
      </c>
      <c r="D223">
        <v>589.00635</v>
      </c>
      <c r="E223">
        <v>569.59740999999997</v>
      </c>
      <c r="F223">
        <v>572.27404999999999</v>
      </c>
      <c r="G223">
        <v>1722558011</v>
      </c>
      <c r="H223" t="s">
        <v>20</v>
      </c>
    </row>
    <row r="224" spans="1:8" x14ac:dyDescent="0.3">
      <c r="A224" t="s">
        <v>57</v>
      </c>
      <c r="B224" t="s">
        <v>9</v>
      </c>
      <c r="C224">
        <v>0.70504999999999995</v>
      </c>
      <c r="D224">
        <v>0.75002000000000002</v>
      </c>
      <c r="E224">
        <v>0.69247999999999998</v>
      </c>
      <c r="F224">
        <v>0.70709</v>
      </c>
      <c r="G224">
        <v>940384129</v>
      </c>
      <c r="H224" t="s">
        <v>10</v>
      </c>
    </row>
    <row r="225" spans="1:8" x14ac:dyDescent="0.3">
      <c r="A225" t="s">
        <v>57</v>
      </c>
      <c r="B225" t="s">
        <v>11</v>
      </c>
      <c r="C225">
        <v>96581.320309999996</v>
      </c>
      <c r="D225">
        <v>100154.1406</v>
      </c>
      <c r="E225">
        <v>95653.882809999996</v>
      </c>
      <c r="F225">
        <v>96529.085940000004</v>
      </c>
      <c r="G225">
        <v>55741290456</v>
      </c>
      <c r="H225" t="s">
        <v>12</v>
      </c>
    </row>
    <row r="226" spans="1:8" x14ac:dyDescent="0.3">
      <c r="A226" t="s">
        <v>57</v>
      </c>
      <c r="B226" t="s">
        <v>13</v>
      </c>
      <c r="C226">
        <v>189.75771</v>
      </c>
      <c r="D226">
        <v>203.15053</v>
      </c>
      <c r="E226">
        <v>188.48074</v>
      </c>
      <c r="F226">
        <v>192.20464999999999</v>
      </c>
      <c r="G226">
        <v>4593806344</v>
      </c>
      <c r="H226" t="s">
        <v>14</v>
      </c>
    </row>
    <row r="227" spans="1:8" x14ac:dyDescent="0.3">
      <c r="A227" t="s">
        <v>57</v>
      </c>
      <c r="B227" t="s">
        <v>15</v>
      </c>
      <c r="C227">
        <v>2.3269000000000002</v>
      </c>
      <c r="D227">
        <v>2.5338699999999998</v>
      </c>
      <c r="E227">
        <v>2.2839900000000002</v>
      </c>
      <c r="F227">
        <v>2.39358</v>
      </c>
      <c r="G227">
        <v>9288664505</v>
      </c>
      <c r="H227" t="s">
        <v>16</v>
      </c>
    </row>
    <row r="228" spans="1:8" x14ac:dyDescent="0.3">
      <c r="A228" t="s">
        <v>57</v>
      </c>
      <c r="B228" t="s">
        <v>17</v>
      </c>
      <c r="C228">
        <v>2688.8974600000001</v>
      </c>
      <c r="D228">
        <v>2798.0288099999998</v>
      </c>
      <c r="E228">
        <v>2564.9682600000001</v>
      </c>
      <c r="F228">
        <v>2622.2111799999998</v>
      </c>
      <c r="G228">
        <v>29526663418</v>
      </c>
      <c r="H228" t="s">
        <v>18</v>
      </c>
    </row>
    <row r="229" spans="1:8" x14ac:dyDescent="0.3">
      <c r="A229" t="s">
        <v>57</v>
      </c>
      <c r="B229" t="s">
        <v>19</v>
      </c>
      <c r="C229">
        <v>572.27472</v>
      </c>
      <c r="D229">
        <v>589.62432999999999</v>
      </c>
      <c r="E229">
        <v>571.27752999999996</v>
      </c>
      <c r="F229">
        <v>578.06682999999998</v>
      </c>
      <c r="G229">
        <v>1583843573</v>
      </c>
      <c r="H229" t="s">
        <v>20</v>
      </c>
    </row>
    <row r="230" spans="1:8" x14ac:dyDescent="0.3">
      <c r="A230" t="s">
        <v>58</v>
      </c>
      <c r="B230" t="s">
        <v>9</v>
      </c>
      <c r="C230">
        <v>0.70709999999999995</v>
      </c>
      <c r="D230">
        <v>0.71486000000000005</v>
      </c>
      <c r="E230">
        <v>0.68474999999999997</v>
      </c>
      <c r="F230">
        <v>0.70184999999999997</v>
      </c>
      <c r="G230">
        <v>553879408</v>
      </c>
      <c r="H230" t="s">
        <v>10</v>
      </c>
    </row>
    <row r="231" spans="1:8" x14ac:dyDescent="0.3">
      <c r="A231" t="s">
        <v>58</v>
      </c>
      <c r="B231" t="s">
        <v>11</v>
      </c>
      <c r="C231">
        <v>96533.257809999996</v>
      </c>
      <c r="D231">
        <v>96877.804690000004</v>
      </c>
      <c r="E231">
        <v>95702.492190000004</v>
      </c>
      <c r="F231">
        <v>96482.453129999994</v>
      </c>
      <c r="G231">
        <v>22447526395</v>
      </c>
      <c r="H231" t="s">
        <v>12</v>
      </c>
    </row>
    <row r="232" spans="1:8" x14ac:dyDescent="0.3">
      <c r="A232" t="s">
        <v>58</v>
      </c>
      <c r="B232" t="s">
        <v>13</v>
      </c>
      <c r="C232">
        <v>192.20255</v>
      </c>
      <c r="D232">
        <v>200.83197000000001</v>
      </c>
      <c r="E232">
        <v>190.12877</v>
      </c>
      <c r="F232">
        <v>199.59989999999999</v>
      </c>
      <c r="G232">
        <v>2387525186</v>
      </c>
      <c r="H232" t="s">
        <v>14</v>
      </c>
    </row>
    <row r="233" spans="1:8" x14ac:dyDescent="0.3">
      <c r="A233" t="s">
        <v>58</v>
      </c>
      <c r="B233" t="s">
        <v>15</v>
      </c>
      <c r="C233">
        <v>2.3936299999999999</v>
      </c>
      <c r="D233">
        <v>2.4338500000000001</v>
      </c>
      <c r="E233">
        <v>2.3557399999999999</v>
      </c>
      <c r="F233">
        <v>2.4243800000000002</v>
      </c>
      <c r="G233">
        <v>3995500228</v>
      </c>
      <c r="H233" t="s">
        <v>16</v>
      </c>
    </row>
    <row r="234" spans="1:8" x14ac:dyDescent="0.3">
      <c r="A234" t="s">
        <v>58</v>
      </c>
      <c r="B234" t="s">
        <v>17</v>
      </c>
      <c r="C234">
        <v>2623.0019499999999</v>
      </c>
      <c r="D234">
        <v>2665.4846200000002</v>
      </c>
      <c r="E234">
        <v>2591.7785600000002</v>
      </c>
      <c r="F234">
        <v>2632.3083499999998</v>
      </c>
      <c r="G234">
        <v>17059263074</v>
      </c>
      <c r="H234" t="s">
        <v>18</v>
      </c>
    </row>
    <row r="235" spans="1:8" x14ac:dyDescent="0.3">
      <c r="A235" t="s">
        <v>58</v>
      </c>
      <c r="B235" t="s">
        <v>19</v>
      </c>
      <c r="C235">
        <v>578.06682999999998</v>
      </c>
      <c r="D235">
        <v>633.05524000000003</v>
      </c>
      <c r="E235">
        <v>574.04187000000002</v>
      </c>
      <c r="F235">
        <v>613.32421999999997</v>
      </c>
      <c r="G235">
        <v>2087349099</v>
      </c>
      <c r="H235" t="s">
        <v>20</v>
      </c>
    </row>
    <row r="236" spans="1:8" x14ac:dyDescent="0.3">
      <c r="A236" t="s">
        <v>59</v>
      </c>
      <c r="B236" t="s">
        <v>9</v>
      </c>
      <c r="C236">
        <v>0.70177999999999996</v>
      </c>
      <c r="D236">
        <v>0.71264000000000005</v>
      </c>
      <c r="E236">
        <v>0.65405999999999997</v>
      </c>
      <c r="F236">
        <v>0.68269999999999997</v>
      </c>
      <c r="G236">
        <v>679645670</v>
      </c>
      <c r="H236" t="s">
        <v>10</v>
      </c>
    </row>
    <row r="237" spans="1:8" x14ac:dyDescent="0.3">
      <c r="A237" t="s">
        <v>59</v>
      </c>
      <c r="B237" t="s">
        <v>11</v>
      </c>
      <c r="C237">
        <v>96481.3125</v>
      </c>
      <c r="D237">
        <v>97325.28125</v>
      </c>
      <c r="E237">
        <v>94745.257809999996</v>
      </c>
      <c r="F237">
        <v>96500.09375</v>
      </c>
      <c r="G237">
        <v>27732901800</v>
      </c>
      <c r="H237" t="s">
        <v>12</v>
      </c>
    </row>
    <row r="238" spans="1:8" x14ac:dyDescent="0.3">
      <c r="A238" t="s">
        <v>59</v>
      </c>
      <c r="B238" t="s">
        <v>13</v>
      </c>
      <c r="C238">
        <v>199.5898</v>
      </c>
      <c r="D238">
        <v>207.27464000000001</v>
      </c>
      <c r="E238">
        <v>194.24132</v>
      </c>
      <c r="F238">
        <v>200.49755999999999</v>
      </c>
      <c r="G238">
        <v>3380872965</v>
      </c>
      <c r="H238" t="s">
        <v>14</v>
      </c>
    </row>
    <row r="239" spans="1:8" x14ac:dyDescent="0.3">
      <c r="A239" t="s">
        <v>59</v>
      </c>
      <c r="B239" t="s">
        <v>15</v>
      </c>
      <c r="C239">
        <v>2.42435</v>
      </c>
      <c r="D239">
        <v>2.5043799999999998</v>
      </c>
      <c r="E239">
        <v>2.3182299999999998</v>
      </c>
      <c r="F239">
        <v>2.3969399999999998</v>
      </c>
      <c r="G239">
        <v>4806376236</v>
      </c>
      <c r="H239" t="s">
        <v>16</v>
      </c>
    </row>
    <row r="240" spans="1:8" x14ac:dyDescent="0.3">
      <c r="A240" t="s">
        <v>59</v>
      </c>
      <c r="B240" t="s">
        <v>17</v>
      </c>
      <c r="C240">
        <v>2632.5781299999999</v>
      </c>
      <c r="D240">
        <v>2695.2224099999999</v>
      </c>
      <c r="E240">
        <v>2530.43579</v>
      </c>
      <c r="F240">
        <v>2628.7211900000002</v>
      </c>
      <c r="G240">
        <v>17517088276</v>
      </c>
      <c r="H240" t="s">
        <v>18</v>
      </c>
    </row>
    <row r="241" spans="1:8" x14ac:dyDescent="0.3">
      <c r="A241" t="s">
        <v>59</v>
      </c>
      <c r="B241" t="s">
        <v>19</v>
      </c>
      <c r="C241">
        <v>613.32421999999997</v>
      </c>
      <c r="D241">
        <v>647.78765999999996</v>
      </c>
      <c r="E241">
        <v>603.40386999999998</v>
      </c>
      <c r="F241">
        <v>616.64209000000005</v>
      </c>
      <c r="G241">
        <v>2630256614</v>
      </c>
      <c r="H241" t="s">
        <v>20</v>
      </c>
    </row>
    <row r="242" spans="1:8" x14ac:dyDescent="0.3">
      <c r="A242" t="s">
        <v>60</v>
      </c>
      <c r="B242" t="s">
        <v>9</v>
      </c>
      <c r="C242">
        <v>0.68276999999999999</v>
      </c>
      <c r="D242">
        <v>0.71628000000000003</v>
      </c>
      <c r="E242">
        <v>0.66559999999999997</v>
      </c>
      <c r="F242">
        <v>0.71069000000000004</v>
      </c>
      <c r="G242">
        <v>751114200</v>
      </c>
      <c r="H242" t="s">
        <v>10</v>
      </c>
    </row>
    <row r="243" spans="1:8" x14ac:dyDescent="0.3">
      <c r="A243" t="s">
        <v>60</v>
      </c>
      <c r="B243" t="s">
        <v>11</v>
      </c>
      <c r="C243">
        <v>96499.460940000004</v>
      </c>
      <c r="D243">
        <v>98333.21875</v>
      </c>
      <c r="E243">
        <v>95320.84375</v>
      </c>
      <c r="F243">
        <v>97437.554690000004</v>
      </c>
      <c r="G243">
        <v>40078962391</v>
      </c>
      <c r="H243" t="s">
        <v>12</v>
      </c>
    </row>
    <row r="244" spans="1:8" x14ac:dyDescent="0.3">
      <c r="A244" t="s">
        <v>60</v>
      </c>
      <c r="B244" t="s">
        <v>13</v>
      </c>
      <c r="C244">
        <v>200.49825000000001</v>
      </c>
      <c r="D244">
        <v>208.82749999999999</v>
      </c>
      <c r="E244">
        <v>196.38077000000001</v>
      </c>
      <c r="F244">
        <v>200.35634999999999</v>
      </c>
      <c r="G244">
        <v>4106376694</v>
      </c>
      <c r="H244" t="s">
        <v>14</v>
      </c>
    </row>
    <row r="245" spans="1:8" x14ac:dyDescent="0.3">
      <c r="A245" t="s">
        <v>60</v>
      </c>
      <c r="B245" t="s">
        <v>15</v>
      </c>
      <c r="C245">
        <v>2.3969100000000001</v>
      </c>
      <c r="D245">
        <v>2.4694400000000001</v>
      </c>
      <c r="E245">
        <v>2.3302100000000001</v>
      </c>
      <c r="F245">
        <v>2.4226999999999999</v>
      </c>
      <c r="G245">
        <v>4740495321</v>
      </c>
      <c r="H245" t="s">
        <v>16</v>
      </c>
    </row>
    <row r="246" spans="1:8" x14ac:dyDescent="0.3">
      <c r="A246" t="s">
        <v>60</v>
      </c>
      <c r="B246" t="s">
        <v>17</v>
      </c>
      <c r="C246">
        <v>2628.6501499999999</v>
      </c>
      <c r="D246">
        <v>2692.8085900000001</v>
      </c>
      <c r="E246">
        <v>2564.01856</v>
      </c>
      <c r="F246">
        <v>2661.1667499999999</v>
      </c>
      <c r="G246">
        <v>19414208113</v>
      </c>
      <c r="H246" t="s">
        <v>18</v>
      </c>
    </row>
    <row r="247" spans="1:8" x14ac:dyDescent="0.3">
      <c r="A247" t="s">
        <v>60</v>
      </c>
      <c r="B247" t="s">
        <v>19</v>
      </c>
      <c r="C247">
        <v>616.64209000000005</v>
      </c>
      <c r="D247">
        <v>621.42034999999998</v>
      </c>
      <c r="E247">
        <v>597.06482000000005</v>
      </c>
      <c r="F247">
        <v>618.31451000000004</v>
      </c>
      <c r="G247">
        <v>1860480297</v>
      </c>
      <c r="H247" t="s">
        <v>20</v>
      </c>
    </row>
    <row r="248" spans="1:8" x14ac:dyDescent="0.3">
      <c r="A248" t="s">
        <v>61</v>
      </c>
      <c r="B248" t="s">
        <v>9</v>
      </c>
      <c r="C248">
        <v>0.71074000000000004</v>
      </c>
      <c r="D248">
        <v>0.81591999999999998</v>
      </c>
      <c r="E248">
        <v>0.71074000000000004</v>
      </c>
      <c r="F248">
        <v>0.77939999999999998</v>
      </c>
      <c r="G248">
        <v>1813731044</v>
      </c>
      <c r="H248" t="s">
        <v>10</v>
      </c>
    </row>
    <row r="249" spans="1:8" x14ac:dyDescent="0.3">
      <c r="A249" t="s">
        <v>61</v>
      </c>
      <c r="B249" t="s">
        <v>11</v>
      </c>
      <c r="C249">
        <v>97438.132809999996</v>
      </c>
      <c r="D249">
        <v>98492.898440000004</v>
      </c>
      <c r="E249">
        <v>94875.039059999996</v>
      </c>
      <c r="F249">
        <v>95747.429690000004</v>
      </c>
      <c r="G249">
        <v>37488783272</v>
      </c>
      <c r="H249" t="s">
        <v>12</v>
      </c>
    </row>
    <row r="250" spans="1:8" x14ac:dyDescent="0.3">
      <c r="A250" t="s">
        <v>61</v>
      </c>
      <c r="B250" t="s">
        <v>13</v>
      </c>
      <c r="C250">
        <v>200.35892000000001</v>
      </c>
      <c r="D250">
        <v>205.92419000000001</v>
      </c>
      <c r="E250">
        <v>195.32149999999999</v>
      </c>
      <c r="F250">
        <v>197.98236</v>
      </c>
      <c r="G250">
        <v>3907611299</v>
      </c>
      <c r="H250" t="s">
        <v>14</v>
      </c>
    </row>
    <row r="251" spans="1:8" x14ac:dyDescent="0.3">
      <c r="A251" t="s">
        <v>61</v>
      </c>
      <c r="B251" t="s">
        <v>15</v>
      </c>
      <c r="C251">
        <v>2.4227500000000002</v>
      </c>
      <c r="D251">
        <v>2.5253899999999998</v>
      </c>
      <c r="E251">
        <v>2.37636</v>
      </c>
      <c r="F251">
        <v>2.4142199999999998</v>
      </c>
      <c r="G251">
        <v>5368991525</v>
      </c>
      <c r="H251" t="s">
        <v>16</v>
      </c>
    </row>
    <row r="252" spans="1:8" x14ac:dyDescent="0.3">
      <c r="A252" t="s">
        <v>61</v>
      </c>
      <c r="B252" t="s">
        <v>17</v>
      </c>
      <c r="C252">
        <v>2661.31567</v>
      </c>
      <c r="D252">
        <v>2724.9023400000001</v>
      </c>
      <c r="E252">
        <v>2565.3972199999998</v>
      </c>
      <c r="F252">
        <v>2602.7819800000002</v>
      </c>
      <c r="G252">
        <v>21156550492</v>
      </c>
      <c r="H252" t="s">
        <v>18</v>
      </c>
    </row>
    <row r="253" spans="1:8" x14ac:dyDescent="0.3">
      <c r="A253" t="s">
        <v>61</v>
      </c>
      <c r="B253" t="s">
        <v>19</v>
      </c>
      <c r="C253">
        <v>618.31451000000004</v>
      </c>
      <c r="D253">
        <v>646.09929999999997</v>
      </c>
      <c r="E253">
        <v>615.69164999999998</v>
      </c>
      <c r="F253">
        <v>642.58727999999996</v>
      </c>
      <c r="G253">
        <v>2162944541</v>
      </c>
      <c r="H253" t="s">
        <v>20</v>
      </c>
    </row>
    <row r="254" spans="1:8" x14ac:dyDescent="0.3">
      <c r="A254" t="s">
        <v>62</v>
      </c>
      <c r="B254" t="s">
        <v>9</v>
      </c>
      <c r="C254">
        <v>0.77939000000000003</v>
      </c>
      <c r="D254">
        <v>0.80506999999999995</v>
      </c>
      <c r="E254">
        <v>0.75280000000000002</v>
      </c>
      <c r="F254">
        <v>0.79922000000000004</v>
      </c>
      <c r="G254">
        <v>1231175669</v>
      </c>
      <c r="H254" t="s">
        <v>10</v>
      </c>
    </row>
    <row r="255" spans="1:8" x14ac:dyDescent="0.3">
      <c r="A255" t="s">
        <v>62</v>
      </c>
      <c r="B255" t="s">
        <v>11</v>
      </c>
      <c r="C255">
        <v>95745.695309999996</v>
      </c>
      <c r="D255">
        <v>98151.023440000004</v>
      </c>
      <c r="E255">
        <v>94101.203129999994</v>
      </c>
      <c r="F255">
        <v>97885.859379999994</v>
      </c>
      <c r="G255">
        <v>49340445530</v>
      </c>
      <c r="H255" t="s">
        <v>12</v>
      </c>
    </row>
    <row r="256" spans="1:8" x14ac:dyDescent="0.3">
      <c r="A256" t="s">
        <v>62</v>
      </c>
      <c r="B256" t="s">
        <v>13</v>
      </c>
      <c r="C256">
        <v>197.98385999999999</v>
      </c>
      <c r="D256">
        <v>198.44981000000001</v>
      </c>
      <c r="E256">
        <v>189.60843</v>
      </c>
      <c r="F256">
        <v>196.77379999999999</v>
      </c>
      <c r="G256">
        <v>4290836657</v>
      </c>
      <c r="H256" t="s">
        <v>14</v>
      </c>
    </row>
    <row r="257" spans="1:8" x14ac:dyDescent="0.3">
      <c r="A257" t="s">
        <v>62</v>
      </c>
      <c r="B257" t="s">
        <v>15</v>
      </c>
      <c r="C257">
        <v>2.4142199999999998</v>
      </c>
      <c r="D257">
        <v>2.49058</v>
      </c>
      <c r="E257">
        <v>2.34944</v>
      </c>
      <c r="F257">
        <v>2.4728400000000001</v>
      </c>
      <c r="G257">
        <v>5462469809</v>
      </c>
      <c r="H257" t="s">
        <v>16</v>
      </c>
    </row>
    <row r="258" spans="1:8" x14ac:dyDescent="0.3">
      <c r="A258" t="s">
        <v>62</v>
      </c>
      <c r="B258" t="s">
        <v>17</v>
      </c>
      <c r="C258">
        <v>2602.8281299999999</v>
      </c>
      <c r="D258">
        <v>2794.8674299999998</v>
      </c>
      <c r="E258">
        <v>2551.1745599999999</v>
      </c>
      <c r="F258">
        <v>2736.9020999999998</v>
      </c>
      <c r="G258">
        <v>26919387954</v>
      </c>
      <c r="H258" t="s">
        <v>18</v>
      </c>
    </row>
    <row r="259" spans="1:8" x14ac:dyDescent="0.3">
      <c r="A259" t="s">
        <v>62</v>
      </c>
      <c r="B259" t="s">
        <v>19</v>
      </c>
      <c r="C259">
        <v>642.58727999999996</v>
      </c>
      <c r="D259">
        <v>704.70203000000004</v>
      </c>
      <c r="E259">
        <v>627.57135000000005</v>
      </c>
      <c r="F259">
        <v>698.03734999999995</v>
      </c>
      <c r="G259">
        <v>3007130370</v>
      </c>
      <c r="H259" t="s">
        <v>20</v>
      </c>
    </row>
    <row r="260" spans="1:8" x14ac:dyDescent="0.3">
      <c r="A260" t="s">
        <v>63</v>
      </c>
      <c r="B260" t="s">
        <v>9</v>
      </c>
      <c r="C260">
        <v>0.79923999999999995</v>
      </c>
      <c r="D260">
        <v>0.82689999999999997</v>
      </c>
      <c r="E260">
        <v>0.77202000000000004</v>
      </c>
      <c r="F260">
        <v>0.81074000000000002</v>
      </c>
      <c r="G260">
        <v>840300501</v>
      </c>
      <c r="H260" t="s">
        <v>10</v>
      </c>
    </row>
    <row r="261" spans="1:8" x14ac:dyDescent="0.3">
      <c r="A261" t="s">
        <v>63</v>
      </c>
      <c r="B261" t="s">
        <v>11</v>
      </c>
      <c r="C261">
        <v>97888.75</v>
      </c>
      <c r="D261">
        <v>98111.085940000004</v>
      </c>
      <c r="E261">
        <v>95269.710940000004</v>
      </c>
      <c r="F261">
        <v>96623.867190000004</v>
      </c>
      <c r="G261">
        <v>37147280860</v>
      </c>
      <c r="H261" t="s">
        <v>12</v>
      </c>
    </row>
    <row r="262" spans="1:8" x14ac:dyDescent="0.3">
      <c r="A262" t="s">
        <v>63</v>
      </c>
      <c r="B262" t="s">
        <v>13</v>
      </c>
      <c r="C262">
        <v>196.77379999999999</v>
      </c>
      <c r="D262">
        <v>198.26076</v>
      </c>
      <c r="E262">
        <v>189.42771999999999</v>
      </c>
      <c r="F262">
        <v>194.46095</v>
      </c>
      <c r="G262">
        <v>2755407329</v>
      </c>
      <c r="H262" t="s">
        <v>14</v>
      </c>
    </row>
    <row r="263" spans="1:8" x14ac:dyDescent="0.3">
      <c r="A263" t="s">
        <v>63</v>
      </c>
      <c r="B263" t="s">
        <v>15</v>
      </c>
      <c r="C263">
        <v>2.4728400000000001</v>
      </c>
      <c r="D263">
        <v>2.59613</v>
      </c>
      <c r="E263">
        <v>2.4246500000000002</v>
      </c>
      <c r="F263">
        <v>2.5625200000000001</v>
      </c>
      <c r="G263">
        <v>5041669574</v>
      </c>
      <c r="H263" t="s">
        <v>16</v>
      </c>
    </row>
    <row r="264" spans="1:8" x14ac:dyDescent="0.3">
      <c r="A264" t="s">
        <v>63</v>
      </c>
      <c r="B264" t="s">
        <v>17</v>
      </c>
      <c r="C264">
        <v>2737.0285600000002</v>
      </c>
      <c r="D264">
        <v>2756.4433600000002</v>
      </c>
      <c r="E264">
        <v>2615.6677300000001</v>
      </c>
      <c r="F264">
        <v>2675.9025900000001</v>
      </c>
      <c r="G264">
        <v>19481004625</v>
      </c>
      <c r="H264" t="s">
        <v>18</v>
      </c>
    </row>
    <row r="265" spans="1:8" x14ac:dyDescent="0.3">
      <c r="A265" t="s">
        <v>63</v>
      </c>
      <c r="B265" t="s">
        <v>19</v>
      </c>
      <c r="C265">
        <v>698.03734999999995</v>
      </c>
      <c r="D265">
        <v>730.83471999999995</v>
      </c>
      <c r="E265">
        <v>660.64673000000005</v>
      </c>
      <c r="F265">
        <v>668.27752999999996</v>
      </c>
      <c r="G265">
        <v>5139846836</v>
      </c>
      <c r="H265" t="s">
        <v>20</v>
      </c>
    </row>
    <row r="266" spans="1:8" x14ac:dyDescent="0.3">
      <c r="A266" t="s">
        <v>64</v>
      </c>
      <c r="B266" t="s">
        <v>9</v>
      </c>
      <c r="C266">
        <v>0.81071000000000004</v>
      </c>
      <c r="D266">
        <v>0.82708000000000004</v>
      </c>
      <c r="E266">
        <v>0.79313999999999996</v>
      </c>
      <c r="F266">
        <v>0.80051000000000005</v>
      </c>
      <c r="G266">
        <v>787635175</v>
      </c>
      <c r="H266" t="s">
        <v>10</v>
      </c>
    </row>
    <row r="267" spans="1:8" x14ac:dyDescent="0.3">
      <c r="A267" t="s">
        <v>64</v>
      </c>
      <c r="B267" t="s">
        <v>11</v>
      </c>
      <c r="C267">
        <v>96623.367190000004</v>
      </c>
      <c r="D267">
        <v>98819.46875</v>
      </c>
      <c r="E267">
        <v>96342.804690000004</v>
      </c>
      <c r="F267">
        <v>97508.96875</v>
      </c>
      <c r="G267">
        <v>32697987277</v>
      </c>
      <c r="H267" t="s">
        <v>12</v>
      </c>
    </row>
    <row r="268" spans="1:8" x14ac:dyDescent="0.3">
      <c r="A268" t="s">
        <v>64</v>
      </c>
      <c r="B268" t="s">
        <v>13</v>
      </c>
      <c r="C268">
        <v>194.45455999999999</v>
      </c>
      <c r="D268">
        <v>205.12502000000001</v>
      </c>
      <c r="E268">
        <v>194.35405</v>
      </c>
      <c r="F268">
        <v>199.93566999999999</v>
      </c>
      <c r="G268">
        <v>3732334277</v>
      </c>
      <c r="H268" t="s">
        <v>14</v>
      </c>
    </row>
    <row r="269" spans="1:8" x14ac:dyDescent="0.3">
      <c r="A269" t="s">
        <v>64</v>
      </c>
      <c r="B269" t="s">
        <v>15</v>
      </c>
      <c r="C269">
        <v>2.5625</v>
      </c>
      <c r="D269">
        <v>2.8282699999999998</v>
      </c>
      <c r="E269">
        <v>2.5352600000000001</v>
      </c>
      <c r="F269">
        <v>2.7402000000000002</v>
      </c>
      <c r="G269">
        <v>8841598608</v>
      </c>
      <c r="H269" t="s">
        <v>16</v>
      </c>
    </row>
    <row r="270" spans="1:8" x14ac:dyDescent="0.3">
      <c r="A270" t="s">
        <v>64</v>
      </c>
      <c r="B270" t="s">
        <v>17</v>
      </c>
      <c r="C270">
        <v>2675.9394499999999</v>
      </c>
      <c r="D270">
        <v>2790.0236799999998</v>
      </c>
      <c r="E270">
        <v>2666.2680700000001</v>
      </c>
      <c r="F270">
        <v>2726.0915500000001</v>
      </c>
      <c r="G270">
        <v>17732289901</v>
      </c>
      <c r="H270" t="s">
        <v>18</v>
      </c>
    </row>
    <row r="271" spans="1:8" x14ac:dyDescent="0.3">
      <c r="A271" t="s">
        <v>64</v>
      </c>
      <c r="B271" t="s">
        <v>19</v>
      </c>
      <c r="C271">
        <v>668.27752999999996</v>
      </c>
      <c r="D271">
        <v>683.99994000000004</v>
      </c>
      <c r="E271">
        <v>652.46758999999997</v>
      </c>
      <c r="F271">
        <v>658.04363999999998</v>
      </c>
      <c r="G271">
        <v>2581045409</v>
      </c>
      <c r="H271" t="s">
        <v>20</v>
      </c>
    </row>
    <row r="272" spans="1:8" x14ac:dyDescent="0.3">
      <c r="A272" t="s">
        <v>65</v>
      </c>
      <c r="B272" t="s">
        <v>9</v>
      </c>
      <c r="C272">
        <v>0.80051000000000005</v>
      </c>
      <c r="D272">
        <v>0.81294</v>
      </c>
      <c r="E272">
        <v>0.7772</v>
      </c>
      <c r="F272">
        <v>0.78110999999999997</v>
      </c>
      <c r="G272">
        <v>493874835</v>
      </c>
      <c r="H272" t="s">
        <v>10</v>
      </c>
    </row>
    <row r="273" spans="1:8" x14ac:dyDescent="0.3">
      <c r="A273" t="s">
        <v>65</v>
      </c>
      <c r="B273" t="s">
        <v>11</v>
      </c>
      <c r="C273">
        <v>97508.382809999996</v>
      </c>
      <c r="D273">
        <v>97975.039059999996</v>
      </c>
      <c r="E273">
        <v>97240.195309999996</v>
      </c>
      <c r="F273">
        <v>97580.351559999996</v>
      </c>
      <c r="G273">
        <v>17047266288</v>
      </c>
      <c r="H273" t="s">
        <v>12</v>
      </c>
    </row>
    <row r="274" spans="1:8" x14ac:dyDescent="0.3">
      <c r="A274" t="s">
        <v>65</v>
      </c>
      <c r="B274" t="s">
        <v>13</v>
      </c>
      <c r="C274">
        <v>199.88677999999999</v>
      </c>
      <c r="D274">
        <v>200.05339000000001</v>
      </c>
      <c r="E274">
        <v>192.81378000000001</v>
      </c>
      <c r="F274">
        <v>194.48209</v>
      </c>
      <c r="G274">
        <v>1869221857</v>
      </c>
      <c r="H274" t="s">
        <v>14</v>
      </c>
    </row>
    <row r="275" spans="1:8" x14ac:dyDescent="0.3">
      <c r="A275" t="s">
        <v>65</v>
      </c>
      <c r="B275" t="s">
        <v>15</v>
      </c>
      <c r="C275">
        <v>2.7400899999999999</v>
      </c>
      <c r="D275">
        <v>2.8273100000000002</v>
      </c>
      <c r="E275">
        <v>2.7218499999999999</v>
      </c>
      <c r="F275">
        <v>2.7615799999999999</v>
      </c>
      <c r="G275">
        <v>4633704309</v>
      </c>
      <c r="H275" t="s">
        <v>16</v>
      </c>
    </row>
    <row r="276" spans="1:8" x14ac:dyDescent="0.3">
      <c r="A276" t="s">
        <v>65</v>
      </c>
      <c r="B276" t="s">
        <v>17</v>
      </c>
      <c r="C276">
        <v>2726.0747099999999</v>
      </c>
      <c r="D276">
        <v>2738.6811499999999</v>
      </c>
      <c r="E276">
        <v>2668.5317399999999</v>
      </c>
      <c r="F276">
        <v>2693.5598100000002</v>
      </c>
      <c r="G276">
        <v>10803019357</v>
      </c>
      <c r="H276" t="s">
        <v>18</v>
      </c>
    </row>
    <row r="277" spans="1:8" x14ac:dyDescent="0.3">
      <c r="A277" t="s">
        <v>65</v>
      </c>
      <c r="B277" t="s">
        <v>19</v>
      </c>
      <c r="C277">
        <v>658.04363999999998</v>
      </c>
      <c r="D277">
        <v>670.76233000000002</v>
      </c>
      <c r="E277">
        <v>654.47028</v>
      </c>
      <c r="F277">
        <v>662.32770000000005</v>
      </c>
      <c r="G277">
        <v>1794465917</v>
      </c>
      <c r="H277" t="s">
        <v>20</v>
      </c>
    </row>
    <row r="278" spans="1:8" x14ac:dyDescent="0.3">
      <c r="A278" t="s">
        <v>66</v>
      </c>
      <c r="B278" t="s">
        <v>9</v>
      </c>
      <c r="C278">
        <v>0.78110999999999997</v>
      </c>
      <c r="D278">
        <v>0.78680000000000005</v>
      </c>
      <c r="E278">
        <v>0.76473999999999998</v>
      </c>
      <c r="F278">
        <v>0.77200999999999997</v>
      </c>
      <c r="G278">
        <v>448477194</v>
      </c>
      <c r="H278" t="s">
        <v>10</v>
      </c>
    </row>
    <row r="279" spans="1:8" x14ac:dyDescent="0.3">
      <c r="A279" t="s">
        <v>66</v>
      </c>
      <c r="B279" t="s">
        <v>11</v>
      </c>
      <c r="C279">
        <v>97580.492190000004</v>
      </c>
      <c r="D279">
        <v>97725.59375</v>
      </c>
      <c r="E279">
        <v>96060.976559999996</v>
      </c>
      <c r="F279">
        <v>96175.03125</v>
      </c>
      <c r="G279">
        <v>16536755396</v>
      </c>
      <c r="H279" t="s">
        <v>12</v>
      </c>
    </row>
    <row r="280" spans="1:8" x14ac:dyDescent="0.3">
      <c r="A280" t="s">
        <v>66</v>
      </c>
      <c r="B280" t="s">
        <v>13</v>
      </c>
      <c r="C280">
        <v>194.48115999999999</v>
      </c>
      <c r="D280">
        <v>196.07031000000001</v>
      </c>
      <c r="E280">
        <v>186.97987000000001</v>
      </c>
      <c r="F280">
        <v>188.4864</v>
      </c>
      <c r="G280">
        <v>2160799161</v>
      </c>
      <c r="H280" t="s">
        <v>14</v>
      </c>
    </row>
    <row r="281" spans="1:8" x14ac:dyDescent="0.3">
      <c r="A281" t="s">
        <v>66</v>
      </c>
      <c r="B281" t="s">
        <v>15</v>
      </c>
      <c r="C281">
        <v>2.7615500000000002</v>
      </c>
      <c r="D281">
        <v>2.8022800000000001</v>
      </c>
      <c r="E281">
        <v>2.7002100000000002</v>
      </c>
      <c r="F281">
        <v>2.7278199999999999</v>
      </c>
      <c r="G281">
        <v>3431117272</v>
      </c>
      <c r="H281" t="s">
        <v>16</v>
      </c>
    </row>
    <row r="282" spans="1:8" x14ac:dyDescent="0.3">
      <c r="A282" t="s">
        <v>66</v>
      </c>
      <c r="B282" t="s">
        <v>17</v>
      </c>
      <c r="C282">
        <v>2693.5625</v>
      </c>
      <c r="D282">
        <v>2724.0964399999998</v>
      </c>
      <c r="E282">
        <v>2655.2976100000001</v>
      </c>
      <c r="F282">
        <v>2663.31592</v>
      </c>
      <c r="G282">
        <v>10593602117</v>
      </c>
      <c r="H282" t="s">
        <v>18</v>
      </c>
    </row>
    <row r="283" spans="1:8" x14ac:dyDescent="0.3">
      <c r="A283" t="s">
        <v>66</v>
      </c>
      <c r="B283" t="s">
        <v>19</v>
      </c>
      <c r="C283">
        <v>662.32758000000001</v>
      </c>
      <c r="D283">
        <v>685.08587999999997</v>
      </c>
      <c r="E283">
        <v>654.38103999999998</v>
      </c>
      <c r="F283">
        <v>674.10082999999997</v>
      </c>
      <c r="G283">
        <v>2009553142</v>
      </c>
      <c r="H283" t="s">
        <v>20</v>
      </c>
    </row>
    <row r="284" spans="1:8" x14ac:dyDescent="0.3">
      <c r="A284" t="s">
        <v>67</v>
      </c>
      <c r="B284" t="s">
        <v>9</v>
      </c>
      <c r="C284">
        <v>0.77200000000000002</v>
      </c>
      <c r="D284">
        <v>0.82691999999999999</v>
      </c>
      <c r="E284">
        <v>0.77185999999999999</v>
      </c>
      <c r="F284">
        <v>0.80803000000000003</v>
      </c>
      <c r="G284">
        <v>1041802036</v>
      </c>
      <c r="H284" t="s">
        <v>10</v>
      </c>
    </row>
    <row r="285" spans="1:8" x14ac:dyDescent="0.3">
      <c r="A285" t="s">
        <v>67</v>
      </c>
      <c r="B285" t="s">
        <v>11</v>
      </c>
      <c r="C285">
        <v>96179.007809999996</v>
      </c>
      <c r="D285">
        <v>97032.234379999994</v>
      </c>
      <c r="E285">
        <v>95243.546879999994</v>
      </c>
      <c r="F285">
        <v>95773.382809999996</v>
      </c>
      <c r="G285">
        <v>27336550690</v>
      </c>
      <c r="H285" t="s">
        <v>12</v>
      </c>
    </row>
    <row r="286" spans="1:8" x14ac:dyDescent="0.3">
      <c r="A286" t="s">
        <v>67</v>
      </c>
      <c r="B286" t="s">
        <v>13</v>
      </c>
      <c r="C286">
        <v>188.48521</v>
      </c>
      <c r="D286">
        <v>189.50649999999999</v>
      </c>
      <c r="E286">
        <v>175.26355000000001</v>
      </c>
      <c r="F286">
        <v>177.68974</v>
      </c>
      <c r="G286">
        <v>4345262539</v>
      </c>
      <c r="H286" t="s">
        <v>14</v>
      </c>
    </row>
    <row r="287" spans="1:8" x14ac:dyDescent="0.3">
      <c r="A287" t="s">
        <v>67</v>
      </c>
      <c r="B287" t="s">
        <v>15</v>
      </c>
      <c r="C287">
        <v>2.7280600000000002</v>
      </c>
      <c r="D287">
        <v>2.76145</v>
      </c>
      <c r="E287">
        <v>2.6134599999999999</v>
      </c>
      <c r="F287">
        <v>2.6582699999999999</v>
      </c>
      <c r="G287">
        <v>4782836287</v>
      </c>
      <c r="H287" t="s">
        <v>16</v>
      </c>
    </row>
    <row r="288" spans="1:8" x14ac:dyDescent="0.3">
      <c r="A288" t="s">
        <v>67</v>
      </c>
      <c r="B288" t="s">
        <v>17</v>
      </c>
      <c r="C288">
        <v>2663.2294900000002</v>
      </c>
      <c r="D288">
        <v>2848.7841800000001</v>
      </c>
      <c r="E288">
        <v>2640.1821300000001</v>
      </c>
      <c r="F288">
        <v>2743.1997099999999</v>
      </c>
      <c r="G288">
        <v>24170425078</v>
      </c>
      <c r="H288" t="s">
        <v>18</v>
      </c>
    </row>
    <row r="289" spans="1:8" x14ac:dyDescent="0.3">
      <c r="A289" t="s">
        <v>67</v>
      </c>
      <c r="B289" t="s">
        <v>19</v>
      </c>
      <c r="C289">
        <v>674.10082999999997</v>
      </c>
      <c r="D289">
        <v>681.62554999999998</v>
      </c>
      <c r="E289">
        <v>659.29309000000001</v>
      </c>
      <c r="F289">
        <v>667.22906</v>
      </c>
      <c r="G289">
        <v>1942930816</v>
      </c>
      <c r="H289" t="s">
        <v>20</v>
      </c>
    </row>
    <row r="290" spans="1:8" x14ac:dyDescent="0.3">
      <c r="A290" t="s">
        <v>68</v>
      </c>
      <c r="B290" t="s">
        <v>9</v>
      </c>
      <c r="C290">
        <v>0.80810999999999999</v>
      </c>
      <c r="D290">
        <v>0.81254000000000004</v>
      </c>
      <c r="E290">
        <v>0.73817999999999995</v>
      </c>
      <c r="F290">
        <v>0.75236000000000003</v>
      </c>
      <c r="G290">
        <v>905917139</v>
      </c>
      <c r="H290" t="s">
        <v>10</v>
      </c>
    </row>
    <row r="291" spans="1:8" x14ac:dyDescent="0.3">
      <c r="A291" t="s">
        <v>68</v>
      </c>
      <c r="B291" t="s">
        <v>11</v>
      </c>
      <c r="C291">
        <v>95773.8125</v>
      </c>
      <c r="D291">
        <v>96695.375</v>
      </c>
      <c r="E291">
        <v>93388.835940000004</v>
      </c>
      <c r="F291">
        <v>95539.546879999994</v>
      </c>
      <c r="G291">
        <v>37325720482</v>
      </c>
      <c r="H291" t="s">
        <v>12</v>
      </c>
    </row>
    <row r="292" spans="1:8" x14ac:dyDescent="0.3">
      <c r="A292" t="s">
        <v>68</v>
      </c>
      <c r="B292" t="s">
        <v>13</v>
      </c>
      <c r="C292">
        <v>177.68861000000001</v>
      </c>
      <c r="D292">
        <v>178.94607999999999</v>
      </c>
      <c r="E292">
        <v>161.30545000000001</v>
      </c>
      <c r="F292">
        <v>169.08429000000001</v>
      </c>
      <c r="G292">
        <v>6684824301</v>
      </c>
      <c r="H292" t="s">
        <v>14</v>
      </c>
    </row>
    <row r="293" spans="1:8" x14ac:dyDescent="0.3">
      <c r="A293" t="s">
        <v>68</v>
      </c>
      <c r="B293" t="s">
        <v>15</v>
      </c>
      <c r="C293">
        <v>2.6582499999999998</v>
      </c>
      <c r="D293">
        <v>2.6666699999999999</v>
      </c>
      <c r="E293">
        <v>2.4733299999999998</v>
      </c>
      <c r="F293">
        <v>2.5588799999999998</v>
      </c>
      <c r="G293">
        <v>5357974219</v>
      </c>
      <c r="H293" t="s">
        <v>16</v>
      </c>
    </row>
    <row r="294" spans="1:8" x14ac:dyDescent="0.3">
      <c r="A294" t="s">
        <v>68</v>
      </c>
      <c r="B294" t="s">
        <v>17</v>
      </c>
      <c r="C294">
        <v>2743.02295</v>
      </c>
      <c r="D294">
        <v>2754.6767599999998</v>
      </c>
      <c r="E294">
        <v>2606.9003899999998</v>
      </c>
      <c r="F294">
        <v>2669.33887</v>
      </c>
      <c r="G294">
        <v>23004152928</v>
      </c>
      <c r="H294" t="s">
        <v>18</v>
      </c>
    </row>
    <row r="295" spans="1:8" x14ac:dyDescent="0.3">
      <c r="A295" t="s">
        <v>68</v>
      </c>
      <c r="B295" t="s">
        <v>19</v>
      </c>
      <c r="C295">
        <v>667.23621000000003</v>
      </c>
      <c r="D295">
        <v>667.75951999999995</v>
      </c>
      <c r="E295">
        <v>630.65526999999997</v>
      </c>
      <c r="F295">
        <v>647.44335999999998</v>
      </c>
      <c r="G295">
        <v>1985512627</v>
      </c>
      <c r="H295" t="s">
        <v>20</v>
      </c>
    </row>
    <row r="296" spans="1:8" x14ac:dyDescent="0.3">
      <c r="A296" t="s">
        <v>69</v>
      </c>
      <c r="B296" t="s">
        <v>9</v>
      </c>
      <c r="C296">
        <v>0.75236000000000003</v>
      </c>
      <c r="D296">
        <v>0.77471999999999996</v>
      </c>
      <c r="E296">
        <v>0.73724999999999996</v>
      </c>
      <c r="F296">
        <v>0.77293999999999996</v>
      </c>
      <c r="G296">
        <v>706077594</v>
      </c>
      <c r="H296" t="s">
        <v>10</v>
      </c>
    </row>
    <row r="297" spans="1:8" x14ac:dyDescent="0.3">
      <c r="A297" t="s">
        <v>69</v>
      </c>
      <c r="B297" t="s">
        <v>11</v>
      </c>
      <c r="C297">
        <v>95532.53125</v>
      </c>
      <c r="D297">
        <v>96855.59375</v>
      </c>
      <c r="E297">
        <v>95011.96875</v>
      </c>
      <c r="F297">
        <v>96635.609379999994</v>
      </c>
      <c r="G297">
        <v>28990872862</v>
      </c>
      <c r="H297" t="s">
        <v>12</v>
      </c>
    </row>
    <row r="298" spans="1:8" x14ac:dyDescent="0.3">
      <c r="A298" t="s">
        <v>69</v>
      </c>
      <c r="B298" t="s">
        <v>13</v>
      </c>
      <c r="C298">
        <v>169.08543</v>
      </c>
      <c r="D298">
        <v>174.12147999999999</v>
      </c>
      <c r="E298">
        <v>163.95939999999999</v>
      </c>
      <c r="F298">
        <v>169.01079999999999</v>
      </c>
      <c r="G298">
        <v>3717681436</v>
      </c>
      <c r="H298" t="s">
        <v>14</v>
      </c>
    </row>
    <row r="299" spans="1:8" x14ac:dyDescent="0.3">
      <c r="A299" t="s">
        <v>69</v>
      </c>
      <c r="B299" t="s">
        <v>15</v>
      </c>
      <c r="C299">
        <v>2.5589499999999998</v>
      </c>
      <c r="D299">
        <v>2.7440099999999998</v>
      </c>
      <c r="E299">
        <v>2.5173899999999998</v>
      </c>
      <c r="F299">
        <v>2.7408000000000001</v>
      </c>
      <c r="G299">
        <v>5175151198</v>
      </c>
      <c r="H299" t="s">
        <v>16</v>
      </c>
    </row>
    <row r="300" spans="1:8" x14ac:dyDescent="0.3">
      <c r="A300" t="s">
        <v>69</v>
      </c>
      <c r="B300" t="s">
        <v>17</v>
      </c>
      <c r="C300">
        <v>2669.2133800000001</v>
      </c>
      <c r="D300">
        <v>2735.9177300000001</v>
      </c>
      <c r="E300">
        <v>2656.3757300000002</v>
      </c>
      <c r="F300">
        <v>2715.7710000000002</v>
      </c>
      <c r="G300">
        <v>15272401903</v>
      </c>
      <c r="H300" t="s">
        <v>18</v>
      </c>
    </row>
    <row r="301" spans="1:8" x14ac:dyDescent="0.3">
      <c r="A301" t="s">
        <v>69</v>
      </c>
      <c r="B301" t="s">
        <v>19</v>
      </c>
      <c r="C301">
        <v>647.44359999999995</v>
      </c>
      <c r="D301">
        <v>659.98859000000004</v>
      </c>
      <c r="E301">
        <v>638.14086999999995</v>
      </c>
      <c r="F301">
        <v>653.51471000000004</v>
      </c>
      <c r="G301">
        <v>1916599180</v>
      </c>
      <c r="H301" t="s">
        <v>20</v>
      </c>
    </row>
    <row r="302" spans="1:8" x14ac:dyDescent="0.3">
      <c r="A302" t="s">
        <v>70</v>
      </c>
      <c r="B302" t="s">
        <v>9</v>
      </c>
      <c r="C302">
        <v>0.77293999999999996</v>
      </c>
      <c r="D302">
        <v>0.81042999999999998</v>
      </c>
      <c r="E302">
        <v>0.77171999999999996</v>
      </c>
      <c r="F302">
        <v>0.80447000000000002</v>
      </c>
      <c r="G302">
        <v>688006862</v>
      </c>
      <c r="H302" t="s">
        <v>10</v>
      </c>
    </row>
    <row r="303" spans="1:8" x14ac:dyDescent="0.3">
      <c r="A303" t="s">
        <v>70</v>
      </c>
      <c r="B303" t="s">
        <v>11</v>
      </c>
      <c r="C303">
        <v>96632.679690000004</v>
      </c>
      <c r="D303">
        <v>98767.195309999996</v>
      </c>
      <c r="E303">
        <v>96442.671879999994</v>
      </c>
      <c r="F303">
        <v>98333.9375</v>
      </c>
      <c r="G303">
        <v>31668022771</v>
      </c>
      <c r="H303" t="s">
        <v>12</v>
      </c>
    </row>
    <row r="304" spans="1:8" x14ac:dyDescent="0.3">
      <c r="A304" t="s">
        <v>70</v>
      </c>
      <c r="B304" t="s">
        <v>13</v>
      </c>
      <c r="C304">
        <v>169.00533999999999</v>
      </c>
      <c r="D304">
        <v>176.58813000000001</v>
      </c>
      <c r="E304">
        <v>167.87345999999999</v>
      </c>
      <c r="F304">
        <v>176.04889</v>
      </c>
      <c r="G304">
        <v>3347070717</v>
      </c>
      <c r="H304" t="s">
        <v>14</v>
      </c>
    </row>
    <row r="305" spans="1:8" x14ac:dyDescent="0.3">
      <c r="A305" t="s">
        <v>70</v>
      </c>
      <c r="B305" t="s">
        <v>15</v>
      </c>
      <c r="C305">
        <v>2.7408100000000002</v>
      </c>
      <c r="D305">
        <v>2.74491</v>
      </c>
      <c r="E305">
        <v>2.67361</v>
      </c>
      <c r="F305">
        <v>2.6908300000000001</v>
      </c>
      <c r="G305">
        <v>4310522382</v>
      </c>
      <c r="H305" t="s">
        <v>16</v>
      </c>
    </row>
    <row r="306" spans="1:8" x14ac:dyDescent="0.3">
      <c r="A306" t="s">
        <v>70</v>
      </c>
      <c r="B306" t="s">
        <v>17</v>
      </c>
      <c r="C306">
        <v>2715.68262</v>
      </c>
      <c r="D306">
        <v>2770.0305199999998</v>
      </c>
      <c r="E306">
        <v>2708.2160600000002</v>
      </c>
      <c r="F306">
        <v>2740.3864800000001</v>
      </c>
      <c r="G306">
        <v>15917259320</v>
      </c>
      <c r="H306" t="s">
        <v>18</v>
      </c>
    </row>
    <row r="307" spans="1:8" x14ac:dyDescent="0.3">
      <c r="A307" t="s">
        <v>70</v>
      </c>
      <c r="B307" t="s">
        <v>19</v>
      </c>
      <c r="C307">
        <v>653.51471000000004</v>
      </c>
      <c r="D307">
        <v>658.92913999999996</v>
      </c>
      <c r="E307">
        <v>646.67034999999998</v>
      </c>
      <c r="F307">
        <v>657.20099000000005</v>
      </c>
      <c r="G307">
        <v>1709065792</v>
      </c>
      <c r="H307" t="s">
        <v>20</v>
      </c>
    </row>
    <row r="308" spans="1:8" x14ac:dyDescent="0.3">
      <c r="A308" t="s">
        <v>71</v>
      </c>
      <c r="B308" t="s">
        <v>9</v>
      </c>
      <c r="C308">
        <v>0.80445999999999995</v>
      </c>
      <c r="D308">
        <v>0.81694</v>
      </c>
      <c r="E308">
        <v>0.75212000000000001</v>
      </c>
      <c r="F308">
        <v>0.76136999999999999</v>
      </c>
      <c r="G308">
        <v>951661847</v>
      </c>
      <c r="H308" t="s">
        <v>10</v>
      </c>
    </row>
    <row r="309" spans="1:8" x14ac:dyDescent="0.3">
      <c r="A309" t="s">
        <v>71</v>
      </c>
      <c r="B309" t="s">
        <v>11</v>
      </c>
      <c r="C309">
        <v>98340.671879999994</v>
      </c>
      <c r="D309">
        <v>99497.96875</v>
      </c>
      <c r="E309">
        <v>94852.960940000004</v>
      </c>
      <c r="F309">
        <v>96125.546879999994</v>
      </c>
      <c r="G309">
        <v>49608706470</v>
      </c>
      <c r="H309" t="s">
        <v>12</v>
      </c>
    </row>
    <row r="310" spans="1:8" x14ac:dyDescent="0.3">
      <c r="A310" t="s">
        <v>71</v>
      </c>
      <c r="B310" t="s">
        <v>13</v>
      </c>
      <c r="C310">
        <v>176.035</v>
      </c>
      <c r="D310">
        <v>180.43396000000001</v>
      </c>
      <c r="E310">
        <v>167.30507</v>
      </c>
      <c r="F310">
        <v>168.89162999999999</v>
      </c>
      <c r="G310">
        <v>4684370707</v>
      </c>
      <c r="H310" t="s">
        <v>14</v>
      </c>
    </row>
    <row r="311" spans="1:8" x14ac:dyDescent="0.3">
      <c r="A311" t="s">
        <v>71</v>
      </c>
      <c r="B311" t="s">
        <v>15</v>
      </c>
      <c r="C311">
        <v>2.6907899999999998</v>
      </c>
      <c r="D311">
        <v>2.7090100000000001</v>
      </c>
      <c r="E311">
        <v>2.5124900000000001</v>
      </c>
      <c r="F311">
        <v>2.5701399999999999</v>
      </c>
      <c r="G311">
        <v>5895816750</v>
      </c>
      <c r="H311" t="s">
        <v>16</v>
      </c>
    </row>
    <row r="312" spans="1:8" x14ac:dyDescent="0.3">
      <c r="A312" t="s">
        <v>71</v>
      </c>
      <c r="B312" t="s">
        <v>17</v>
      </c>
      <c r="C312">
        <v>2740.0222199999998</v>
      </c>
      <c r="D312">
        <v>2842.8271500000001</v>
      </c>
      <c r="E312">
        <v>2616.9194299999999</v>
      </c>
      <c r="F312">
        <v>2659.6555199999998</v>
      </c>
      <c r="G312">
        <v>31441524621</v>
      </c>
      <c r="H312" t="s">
        <v>18</v>
      </c>
    </row>
    <row r="313" spans="1:8" x14ac:dyDescent="0.3">
      <c r="A313" t="s">
        <v>71</v>
      </c>
      <c r="B313" t="s">
        <v>19</v>
      </c>
      <c r="C313">
        <v>657.20099000000005</v>
      </c>
      <c r="D313">
        <v>668.00329999999997</v>
      </c>
      <c r="E313">
        <v>635.33989999999994</v>
      </c>
      <c r="F313">
        <v>646.89954</v>
      </c>
      <c r="G313">
        <v>1926193637</v>
      </c>
      <c r="H313" t="s">
        <v>20</v>
      </c>
    </row>
    <row r="314" spans="1:8" x14ac:dyDescent="0.3">
      <c r="A314" t="s">
        <v>72</v>
      </c>
      <c r="B314" t="s">
        <v>9</v>
      </c>
      <c r="C314">
        <v>0.76136999999999999</v>
      </c>
      <c r="D314">
        <v>0.78266000000000002</v>
      </c>
      <c r="E314">
        <v>0.75858999999999999</v>
      </c>
      <c r="F314">
        <v>0.77444999999999997</v>
      </c>
      <c r="G314">
        <v>530696926</v>
      </c>
      <c r="H314" t="s">
        <v>10</v>
      </c>
    </row>
    <row r="315" spans="1:8" x14ac:dyDescent="0.3">
      <c r="A315" t="s">
        <v>72</v>
      </c>
      <c r="B315" t="s">
        <v>11</v>
      </c>
      <c r="C315">
        <v>96134.203129999994</v>
      </c>
      <c r="D315">
        <v>96950.15625</v>
      </c>
      <c r="E315">
        <v>95765.34375</v>
      </c>
      <c r="F315">
        <v>96577.757809999996</v>
      </c>
      <c r="G315">
        <v>18353824477</v>
      </c>
      <c r="H315" t="s">
        <v>12</v>
      </c>
    </row>
    <row r="316" spans="1:8" x14ac:dyDescent="0.3">
      <c r="A316" t="s">
        <v>72</v>
      </c>
      <c r="B316" t="s">
        <v>13</v>
      </c>
      <c r="C316">
        <v>168.89162999999999</v>
      </c>
      <c r="D316">
        <v>174.46558999999999</v>
      </c>
      <c r="E316">
        <v>168.36743000000001</v>
      </c>
      <c r="F316">
        <v>172.16285999999999</v>
      </c>
      <c r="G316">
        <v>2026581266</v>
      </c>
      <c r="H316" t="s">
        <v>14</v>
      </c>
    </row>
    <row r="317" spans="1:8" x14ac:dyDescent="0.3">
      <c r="A317" t="s">
        <v>72</v>
      </c>
      <c r="B317" t="s">
        <v>15</v>
      </c>
      <c r="C317">
        <v>2.5701499999999999</v>
      </c>
      <c r="D317">
        <v>2.6074700000000002</v>
      </c>
      <c r="E317">
        <v>2.5561799999999999</v>
      </c>
      <c r="F317">
        <v>2.5757099999999999</v>
      </c>
      <c r="G317">
        <v>2384435690</v>
      </c>
      <c r="H317" t="s">
        <v>16</v>
      </c>
    </row>
    <row r="318" spans="1:8" x14ac:dyDescent="0.3">
      <c r="A318" t="s">
        <v>72</v>
      </c>
      <c r="B318" t="s">
        <v>17</v>
      </c>
      <c r="C318">
        <v>2660.0358900000001</v>
      </c>
      <c r="D318">
        <v>2797.0578599999999</v>
      </c>
      <c r="E318">
        <v>2653.8674299999998</v>
      </c>
      <c r="F318">
        <v>2764.0293000000001</v>
      </c>
      <c r="G318">
        <v>16403164397</v>
      </c>
      <c r="H318" t="s">
        <v>18</v>
      </c>
    </row>
    <row r="319" spans="1:8" x14ac:dyDescent="0.3">
      <c r="A319" t="s">
        <v>72</v>
      </c>
      <c r="B319" t="s">
        <v>19</v>
      </c>
      <c r="C319">
        <v>646.89954</v>
      </c>
      <c r="D319">
        <v>679.12329</v>
      </c>
      <c r="E319">
        <v>645.65337999999997</v>
      </c>
      <c r="F319">
        <v>668.57476999999994</v>
      </c>
      <c r="G319">
        <v>1899367077</v>
      </c>
      <c r="H319" t="s">
        <v>20</v>
      </c>
    </row>
    <row r="320" spans="1:8" x14ac:dyDescent="0.3">
      <c r="A320" t="s">
        <v>73</v>
      </c>
      <c r="B320" t="s">
        <v>9</v>
      </c>
      <c r="C320">
        <v>0.77444999999999997</v>
      </c>
      <c r="D320">
        <v>0.78700000000000003</v>
      </c>
      <c r="E320">
        <v>0.76146999999999998</v>
      </c>
      <c r="F320">
        <v>0.77003999999999995</v>
      </c>
      <c r="G320">
        <v>495111534</v>
      </c>
      <c r="H320" t="s">
        <v>10</v>
      </c>
    </row>
    <row r="321" spans="1:8" x14ac:dyDescent="0.3">
      <c r="A321" t="s">
        <v>73</v>
      </c>
      <c r="B321" t="s">
        <v>11</v>
      </c>
      <c r="C321">
        <v>96577.804690000004</v>
      </c>
      <c r="D321">
        <v>96671.875</v>
      </c>
      <c r="E321">
        <v>95270.453129999994</v>
      </c>
      <c r="F321">
        <v>96273.921879999994</v>
      </c>
      <c r="G321">
        <v>16999478976</v>
      </c>
      <c r="H321" t="s">
        <v>12</v>
      </c>
    </row>
    <row r="322" spans="1:8" x14ac:dyDescent="0.3">
      <c r="A322" t="s">
        <v>73</v>
      </c>
      <c r="B322" t="s">
        <v>13</v>
      </c>
      <c r="C322">
        <v>172.16346999999999</v>
      </c>
      <c r="D322">
        <v>173.03605999999999</v>
      </c>
      <c r="E322">
        <v>166.62765999999999</v>
      </c>
      <c r="F322">
        <v>168.03811999999999</v>
      </c>
      <c r="G322">
        <v>1621130854</v>
      </c>
      <c r="H322" t="s">
        <v>14</v>
      </c>
    </row>
    <row r="323" spans="1:8" x14ac:dyDescent="0.3">
      <c r="A323" t="s">
        <v>73</v>
      </c>
      <c r="B323" t="s">
        <v>15</v>
      </c>
      <c r="C323">
        <v>2.5757099999999999</v>
      </c>
      <c r="D323">
        <v>2.5969799999999998</v>
      </c>
      <c r="E323">
        <v>2.5236900000000002</v>
      </c>
      <c r="F323">
        <v>2.5770200000000001</v>
      </c>
      <c r="G323">
        <v>2469949788</v>
      </c>
      <c r="H323" t="s">
        <v>16</v>
      </c>
    </row>
    <row r="324" spans="1:8" x14ac:dyDescent="0.3">
      <c r="A324" t="s">
        <v>73</v>
      </c>
      <c r="B324" t="s">
        <v>17</v>
      </c>
      <c r="C324">
        <v>2764.0310100000002</v>
      </c>
      <c r="D324">
        <v>2850.6103499999999</v>
      </c>
      <c r="E324">
        <v>2746.7736799999998</v>
      </c>
      <c r="F324">
        <v>2821.3103000000001</v>
      </c>
      <c r="G324">
        <v>20493767269</v>
      </c>
      <c r="H324" t="s">
        <v>18</v>
      </c>
    </row>
    <row r="325" spans="1:8" x14ac:dyDescent="0.3">
      <c r="A325" t="s">
        <v>73</v>
      </c>
      <c r="B325" t="s">
        <v>19</v>
      </c>
      <c r="C325">
        <v>668.57446000000004</v>
      </c>
      <c r="D325">
        <v>671.07195999999999</v>
      </c>
      <c r="E325">
        <v>648.97991999999999</v>
      </c>
      <c r="F325">
        <v>657.90368999999998</v>
      </c>
      <c r="G325">
        <v>1502735946</v>
      </c>
      <c r="H325" t="s">
        <v>20</v>
      </c>
    </row>
    <row r="326" spans="1:8" x14ac:dyDescent="0.3">
      <c r="A326" t="s">
        <v>74</v>
      </c>
      <c r="B326" t="s">
        <v>9</v>
      </c>
      <c r="C326">
        <v>0.77003999999999995</v>
      </c>
      <c r="D326">
        <v>0.77559</v>
      </c>
      <c r="E326">
        <v>0.68067</v>
      </c>
      <c r="F326">
        <v>0.68220000000000003</v>
      </c>
      <c r="G326">
        <v>960897545</v>
      </c>
      <c r="H326" t="s">
        <v>10</v>
      </c>
    </row>
    <row r="327" spans="1:8" x14ac:dyDescent="0.3">
      <c r="A327" t="s">
        <v>74</v>
      </c>
      <c r="B327" t="s">
        <v>11</v>
      </c>
      <c r="C327">
        <v>96277.960940000004</v>
      </c>
      <c r="D327">
        <v>96503.453129999994</v>
      </c>
      <c r="E327">
        <v>91371.742190000004</v>
      </c>
      <c r="F327">
        <v>91418.171879999994</v>
      </c>
      <c r="G327">
        <v>44046480529</v>
      </c>
      <c r="H327" t="s">
        <v>12</v>
      </c>
    </row>
    <row r="328" spans="1:8" x14ac:dyDescent="0.3">
      <c r="A328" t="s">
        <v>74</v>
      </c>
      <c r="B328" t="s">
        <v>13</v>
      </c>
      <c r="C328">
        <v>168.03811999999999</v>
      </c>
      <c r="D328">
        <v>169.56247999999999</v>
      </c>
      <c r="E328">
        <v>140.56650999999999</v>
      </c>
      <c r="F328">
        <v>141.98948999999999</v>
      </c>
      <c r="G328">
        <v>7062261489</v>
      </c>
      <c r="H328" t="s">
        <v>14</v>
      </c>
    </row>
    <row r="329" spans="1:8" x14ac:dyDescent="0.3">
      <c r="A329" t="s">
        <v>74</v>
      </c>
      <c r="B329" t="s">
        <v>15</v>
      </c>
      <c r="C329">
        <v>2.57701</v>
      </c>
      <c r="D329">
        <v>2.60046</v>
      </c>
      <c r="E329">
        <v>2.27054</v>
      </c>
      <c r="F329">
        <v>2.27793</v>
      </c>
      <c r="G329">
        <v>7075894526</v>
      </c>
      <c r="H329" t="s">
        <v>16</v>
      </c>
    </row>
    <row r="330" spans="1:8" x14ac:dyDescent="0.3">
      <c r="A330" t="s">
        <v>74</v>
      </c>
      <c r="B330" t="s">
        <v>17</v>
      </c>
      <c r="C330">
        <v>2820.4562999999998</v>
      </c>
      <c r="D330">
        <v>2839.01001</v>
      </c>
      <c r="E330">
        <v>2478.89941</v>
      </c>
      <c r="F330">
        <v>2513.8212899999999</v>
      </c>
      <c r="G330">
        <v>29127380459</v>
      </c>
      <c r="H330" t="s">
        <v>18</v>
      </c>
    </row>
    <row r="331" spans="1:8" x14ac:dyDescent="0.3">
      <c r="A331" t="s">
        <v>74</v>
      </c>
      <c r="B331" t="s">
        <v>19</v>
      </c>
      <c r="C331">
        <v>657.90368999999998</v>
      </c>
      <c r="D331">
        <v>659.14832000000001</v>
      </c>
      <c r="E331">
        <v>612.82123000000001</v>
      </c>
      <c r="F331">
        <v>613.96301000000005</v>
      </c>
      <c r="G331">
        <v>1901201673</v>
      </c>
      <c r="H331" t="s">
        <v>20</v>
      </c>
    </row>
    <row r="332" spans="1:8" x14ac:dyDescent="0.3">
      <c r="A332" t="s">
        <v>75</v>
      </c>
      <c r="B332" t="s">
        <v>9</v>
      </c>
      <c r="C332">
        <v>0.68220999999999998</v>
      </c>
      <c r="D332">
        <v>0.69303999999999999</v>
      </c>
      <c r="E332">
        <v>0.63380999999999998</v>
      </c>
      <c r="F332">
        <v>0.68257999999999996</v>
      </c>
      <c r="G332">
        <v>1317817123</v>
      </c>
      <c r="H332" t="s">
        <v>10</v>
      </c>
    </row>
    <row r="333" spans="1:8" x14ac:dyDescent="0.3">
      <c r="A333" t="s">
        <v>75</v>
      </c>
      <c r="B333" t="s">
        <v>11</v>
      </c>
      <c r="C333">
        <v>91437.117190000004</v>
      </c>
      <c r="D333">
        <v>92511.078129999994</v>
      </c>
      <c r="E333">
        <v>86008.234379999994</v>
      </c>
      <c r="F333">
        <v>88736.171879999994</v>
      </c>
      <c r="G333">
        <v>92139104128</v>
      </c>
      <c r="H333" t="s">
        <v>12</v>
      </c>
    </row>
    <row r="334" spans="1:8" x14ac:dyDescent="0.3">
      <c r="A334" t="s">
        <v>75</v>
      </c>
      <c r="B334" t="s">
        <v>13</v>
      </c>
      <c r="C334">
        <v>141.99234000000001</v>
      </c>
      <c r="D334">
        <v>146.73987</v>
      </c>
      <c r="E334">
        <v>132.48584</v>
      </c>
      <c r="F334">
        <v>144.10776000000001</v>
      </c>
      <c r="G334">
        <v>9341433919</v>
      </c>
      <c r="H334" t="s">
        <v>14</v>
      </c>
    </row>
    <row r="335" spans="1:8" x14ac:dyDescent="0.3">
      <c r="A335" t="s">
        <v>75</v>
      </c>
      <c r="B335" t="s">
        <v>15</v>
      </c>
      <c r="C335">
        <v>2.2779500000000001</v>
      </c>
      <c r="D335">
        <v>2.35791</v>
      </c>
      <c r="E335">
        <v>2.0751900000000001</v>
      </c>
      <c r="F335">
        <v>2.3207200000000001</v>
      </c>
      <c r="G335">
        <v>13317860642</v>
      </c>
      <c r="H335" t="s">
        <v>16</v>
      </c>
    </row>
    <row r="336" spans="1:8" x14ac:dyDescent="0.3">
      <c r="A336" t="s">
        <v>75</v>
      </c>
      <c r="B336" t="s">
        <v>17</v>
      </c>
      <c r="C336">
        <v>2514.2109399999999</v>
      </c>
      <c r="D336">
        <v>2529.6691900000001</v>
      </c>
      <c r="E336">
        <v>2326.6320799999999</v>
      </c>
      <c r="F336">
        <v>2493.5925299999999</v>
      </c>
      <c r="G336">
        <v>40044790246</v>
      </c>
      <c r="H336" t="s">
        <v>18</v>
      </c>
    </row>
    <row r="337" spans="1:8" x14ac:dyDescent="0.3">
      <c r="A337" t="s">
        <v>75</v>
      </c>
      <c r="B337" t="s">
        <v>19</v>
      </c>
      <c r="C337">
        <v>613.96301000000005</v>
      </c>
      <c r="D337">
        <v>627.24401999999998</v>
      </c>
      <c r="E337">
        <v>589.26984000000004</v>
      </c>
      <c r="F337">
        <v>622.94079999999997</v>
      </c>
      <c r="G337">
        <v>2591258749</v>
      </c>
      <c r="H337" t="s">
        <v>20</v>
      </c>
    </row>
    <row r="338" spans="1:8" x14ac:dyDescent="0.3">
      <c r="A338" t="s">
        <v>76</v>
      </c>
      <c r="B338" t="s">
        <v>9</v>
      </c>
      <c r="C338">
        <v>0.68259000000000003</v>
      </c>
      <c r="D338">
        <v>0.69357999999999997</v>
      </c>
      <c r="E338">
        <v>0.63497999999999999</v>
      </c>
      <c r="F338">
        <v>0.64503999999999995</v>
      </c>
      <c r="G338">
        <v>869010894</v>
      </c>
      <c r="H338" t="s">
        <v>10</v>
      </c>
    </row>
    <row r="339" spans="1:8" x14ac:dyDescent="0.3">
      <c r="A339" t="s">
        <v>76</v>
      </c>
      <c r="B339" t="s">
        <v>11</v>
      </c>
      <c r="C339">
        <v>88638.890629999994</v>
      </c>
      <c r="D339">
        <v>89286.25</v>
      </c>
      <c r="E339">
        <v>82131.898440000004</v>
      </c>
      <c r="F339">
        <v>84347.023440000004</v>
      </c>
      <c r="G339">
        <v>64597492134</v>
      </c>
      <c r="H339" t="s">
        <v>12</v>
      </c>
    </row>
    <row r="340" spans="1:8" x14ac:dyDescent="0.3">
      <c r="A340" t="s">
        <v>76</v>
      </c>
      <c r="B340" t="s">
        <v>13</v>
      </c>
      <c r="C340">
        <v>144.09996000000001</v>
      </c>
      <c r="D340">
        <v>144.87468000000001</v>
      </c>
      <c r="E340">
        <v>130.69107</v>
      </c>
      <c r="F340">
        <v>134.83133000000001</v>
      </c>
      <c r="G340">
        <v>4916419994</v>
      </c>
      <c r="H340" t="s">
        <v>14</v>
      </c>
    </row>
    <row r="341" spans="1:8" x14ac:dyDescent="0.3">
      <c r="A341" t="s">
        <v>76</v>
      </c>
      <c r="B341" t="s">
        <v>15</v>
      </c>
      <c r="C341">
        <v>2.3207300000000002</v>
      </c>
      <c r="D341">
        <v>2.3249200000000001</v>
      </c>
      <c r="E341">
        <v>2.15401</v>
      </c>
      <c r="F341">
        <v>2.1924399999999999</v>
      </c>
      <c r="G341">
        <v>6752125996</v>
      </c>
      <c r="H341" t="s">
        <v>16</v>
      </c>
    </row>
    <row r="342" spans="1:8" x14ac:dyDescent="0.3">
      <c r="A342" t="s">
        <v>76</v>
      </c>
      <c r="B342" t="s">
        <v>17</v>
      </c>
      <c r="C342">
        <v>2493.38159</v>
      </c>
      <c r="D342">
        <v>2503.4221200000002</v>
      </c>
      <c r="E342">
        <v>2255.0549299999998</v>
      </c>
      <c r="F342">
        <v>2331.45264</v>
      </c>
      <c r="G342">
        <v>28815111323</v>
      </c>
      <c r="H342" t="s">
        <v>18</v>
      </c>
    </row>
    <row r="343" spans="1:8" x14ac:dyDescent="0.3">
      <c r="A343" t="s">
        <v>76</v>
      </c>
      <c r="B343" t="s">
        <v>19</v>
      </c>
      <c r="C343">
        <v>622.94079999999997</v>
      </c>
      <c r="D343">
        <v>630.81975999999997</v>
      </c>
      <c r="E343">
        <v>595.26500999999996</v>
      </c>
      <c r="F343">
        <v>610.69304999999997</v>
      </c>
      <c r="G343">
        <v>1996066325</v>
      </c>
      <c r="H343" t="s">
        <v>20</v>
      </c>
    </row>
    <row r="344" spans="1:8" x14ac:dyDescent="0.3">
      <c r="A344" t="s">
        <v>77</v>
      </c>
      <c r="B344" t="s">
        <v>9</v>
      </c>
      <c r="C344">
        <v>0.64505000000000001</v>
      </c>
      <c r="D344">
        <v>0.67810999999999999</v>
      </c>
      <c r="E344">
        <v>0.62841999999999998</v>
      </c>
      <c r="F344">
        <v>0.64559</v>
      </c>
      <c r="G344">
        <v>683537664</v>
      </c>
      <c r="H344" t="s">
        <v>10</v>
      </c>
    </row>
    <row r="345" spans="1:8" x14ac:dyDescent="0.3">
      <c r="A345" t="s">
        <v>77</v>
      </c>
      <c r="B345" t="s">
        <v>11</v>
      </c>
      <c r="C345">
        <v>84076.859379999994</v>
      </c>
      <c r="D345">
        <v>87000.78125</v>
      </c>
      <c r="E345">
        <v>83144.960940000004</v>
      </c>
      <c r="F345">
        <v>84704.226559999996</v>
      </c>
      <c r="G345">
        <v>52659591954</v>
      </c>
      <c r="H345" t="s">
        <v>12</v>
      </c>
    </row>
    <row r="346" spans="1:8" x14ac:dyDescent="0.3">
      <c r="A346" t="s">
        <v>77</v>
      </c>
      <c r="B346" t="s">
        <v>13</v>
      </c>
      <c r="C346">
        <v>134.83160000000001</v>
      </c>
      <c r="D346">
        <v>142.18146999999999</v>
      </c>
      <c r="E346">
        <v>134.72973999999999</v>
      </c>
      <c r="F346">
        <v>137.6208</v>
      </c>
      <c r="G346">
        <v>3723520943</v>
      </c>
      <c r="H346" t="s">
        <v>14</v>
      </c>
    </row>
    <row r="347" spans="1:8" x14ac:dyDescent="0.3">
      <c r="A347" t="s">
        <v>77</v>
      </c>
      <c r="B347" t="s">
        <v>15</v>
      </c>
      <c r="C347">
        <v>2.19245</v>
      </c>
      <c r="D347">
        <v>2.25386</v>
      </c>
      <c r="E347">
        <v>2.1490100000000001</v>
      </c>
      <c r="F347">
        <v>2.1986500000000002</v>
      </c>
      <c r="G347">
        <v>4837539998</v>
      </c>
      <c r="H347" t="s">
        <v>16</v>
      </c>
    </row>
    <row r="348" spans="1:8" x14ac:dyDescent="0.3">
      <c r="A348" t="s">
        <v>77</v>
      </c>
      <c r="B348" t="s">
        <v>17</v>
      </c>
      <c r="C348">
        <v>2331.5102499999998</v>
      </c>
      <c r="D348">
        <v>2378.0873999999999</v>
      </c>
      <c r="E348">
        <v>2230.4482400000002</v>
      </c>
      <c r="F348">
        <v>2305.4843799999999</v>
      </c>
      <c r="G348">
        <v>24286213447</v>
      </c>
      <c r="H348" t="s">
        <v>18</v>
      </c>
    </row>
    <row r="349" spans="1:8" x14ac:dyDescent="0.3">
      <c r="A349" t="s">
        <v>77</v>
      </c>
      <c r="B349" t="s">
        <v>19</v>
      </c>
      <c r="C349">
        <v>610.69304999999997</v>
      </c>
      <c r="D349">
        <v>618.62823000000003</v>
      </c>
      <c r="E349">
        <v>595.80029000000002</v>
      </c>
      <c r="F349">
        <v>605.12365999999997</v>
      </c>
      <c r="G349">
        <v>1866447677</v>
      </c>
      <c r="H349" t="s">
        <v>20</v>
      </c>
    </row>
    <row r="350" spans="1:8" x14ac:dyDescent="0.3">
      <c r="A350" t="s">
        <v>78</v>
      </c>
      <c r="B350" t="s">
        <v>9</v>
      </c>
      <c r="C350">
        <v>0.64558000000000004</v>
      </c>
      <c r="D350">
        <v>0.64561000000000002</v>
      </c>
      <c r="E350">
        <v>0.58218999999999999</v>
      </c>
      <c r="F350">
        <v>0.63305</v>
      </c>
      <c r="G350">
        <v>1102255137</v>
      </c>
      <c r="H350" t="s">
        <v>10</v>
      </c>
    </row>
    <row r="351" spans="1:8" x14ac:dyDescent="0.3">
      <c r="A351" t="s">
        <v>78</v>
      </c>
      <c r="B351" t="s">
        <v>11</v>
      </c>
      <c r="C351">
        <v>84705.625</v>
      </c>
      <c r="D351">
        <v>85036.320309999996</v>
      </c>
      <c r="E351">
        <v>78248.914059999996</v>
      </c>
      <c r="F351">
        <v>84373.007809999996</v>
      </c>
      <c r="G351">
        <v>83610570576</v>
      </c>
      <c r="H351" t="s">
        <v>12</v>
      </c>
    </row>
    <row r="352" spans="1:8" x14ac:dyDescent="0.3">
      <c r="A352" t="s">
        <v>78</v>
      </c>
      <c r="B352" t="s">
        <v>13</v>
      </c>
      <c r="C352">
        <v>137.62076999999999</v>
      </c>
      <c r="D352">
        <v>148.18384</v>
      </c>
      <c r="E352">
        <v>125.74222</v>
      </c>
      <c r="F352">
        <v>148.03001</v>
      </c>
      <c r="G352">
        <v>7544673033</v>
      </c>
      <c r="H352" t="s">
        <v>14</v>
      </c>
    </row>
    <row r="353" spans="1:8" x14ac:dyDescent="0.3">
      <c r="A353" t="s">
        <v>78</v>
      </c>
      <c r="B353" t="s">
        <v>15</v>
      </c>
      <c r="C353">
        <v>2.1986400000000001</v>
      </c>
      <c r="D353">
        <v>2.1986400000000001</v>
      </c>
      <c r="E353">
        <v>1.9574100000000001</v>
      </c>
      <c r="F353">
        <v>2.1456</v>
      </c>
      <c r="G353">
        <v>8544047699</v>
      </c>
      <c r="H353" t="s">
        <v>16</v>
      </c>
    </row>
    <row r="354" spans="1:8" x14ac:dyDescent="0.3">
      <c r="A354" t="s">
        <v>78</v>
      </c>
      <c r="B354" t="s">
        <v>17</v>
      </c>
      <c r="C354">
        <v>2305.5600599999998</v>
      </c>
      <c r="D354">
        <v>2310.94922</v>
      </c>
      <c r="E354">
        <v>2076.1699199999998</v>
      </c>
      <c r="F354">
        <v>2237.9052700000002</v>
      </c>
      <c r="G354">
        <v>35737904667</v>
      </c>
      <c r="H354" t="s">
        <v>18</v>
      </c>
    </row>
    <row r="355" spans="1:8" x14ac:dyDescent="0.3">
      <c r="A355" t="s">
        <v>78</v>
      </c>
      <c r="B355" t="s">
        <v>19</v>
      </c>
      <c r="C355">
        <v>605.12365999999997</v>
      </c>
      <c r="D355">
        <v>605.40125</v>
      </c>
      <c r="E355">
        <v>559.97046</v>
      </c>
      <c r="F355">
        <v>587.45159999999998</v>
      </c>
      <c r="G355">
        <v>2166029990</v>
      </c>
      <c r="H355" t="s">
        <v>20</v>
      </c>
    </row>
    <row r="356" spans="1:8" x14ac:dyDescent="0.3">
      <c r="A356" t="s">
        <v>79</v>
      </c>
      <c r="B356" t="s">
        <v>9</v>
      </c>
      <c r="C356">
        <v>0.63305</v>
      </c>
      <c r="D356">
        <v>0.67464999999999997</v>
      </c>
      <c r="E356">
        <v>0.62673000000000001</v>
      </c>
      <c r="F356">
        <v>0.65925999999999996</v>
      </c>
      <c r="G356">
        <v>585631597</v>
      </c>
      <c r="H356" t="s">
        <v>10</v>
      </c>
    </row>
    <row r="357" spans="1:8" x14ac:dyDescent="0.3">
      <c r="A357" t="s">
        <v>79</v>
      </c>
      <c r="B357" t="s">
        <v>11</v>
      </c>
      <c r="C357">
        <v>84373.867190000004</v>
      </c>
      <c r="D357">
        <v>86522.304690000004</v>
      </c>
      <c r="E357">
        <v>83794.234379999994</v>
      </c>
      <c r="F357">
        <v>86031.914059999996</v>
      </c>
      <c r="G357">
        <v>29190628396</v>
      </c>
      <c r="H357" t="s">
        <v>12</v>
      </c>
    </row>
    <row r="358" spans="1:8" x14ac:dyDescent="0.3">
      <c r="A358" t="s">
        <v>79</v>
      </c>
      <c r="B358" t="s">
        <v>13</v>
      </c>
      <c r="C358">
        <v>148.03021000000001</v>
      </c>
      <c r="D358">
        <v>150.78716</v>
      </c>
      <c r="E358">
        <v>138.68467999999999</v>
      </c>
      <c r="F358">
        <v>143.67571000000001</v>
      </c>
      <c r="G358">
        <v>3305410077</v>
      </c>
      <c r="H358" t="s">
        <v>14</v>
      </c>
    </row>
    <row r="359" spans="1:8" x14ac:dyDescent="0.3">
      <c r="A359" t="s">
        <v>79</v>
      </c>
      <c r="B359" t="s">
        <v>15</v>
      </c>
      <c r="C359">
        <v>2.14561</v>
      </c>
      <c r="D359">
        <v>2.2123900000000001</v>
      </c>
      <c r="E359">
        <v>2.1229200000000001</v>
      </c>
      <c r="F359">
        <v>2.1905999999999999</v>
      </c>
      <c r="G359">
        <v>3300928949</v>
      </c>
      <c r="H359" t="s">
        <v>16</v>
      </c>
    </row>
    <row r="360" spans="1:8" x14ac:dyDescent="0.3">
      <c r="A360" t="s">
        <v>79</v>
      </c>
      <c r="B360" t="s">
        <v>17</v>
      </c>
      <c r="C360">
        <v>2237.9421400000001</v>
      </c>
      <c r="D360">
        <v>2279.8730500000001</v>
      </c>
      <c r="E360">
        <v>2144.0900900000001</v>
      </c>
      <c r="F360">
        <v>2216.6433099999999</v>
      </c>
      <c r="G360">
        <v>16135258239</v>
      </c>
      <c r="H360" t="s">
        <v>18</v>
      </c>
    </row>
    <row r="361" spans="1:8" x14ac:dyDescent="0.3">
      <c r="A361" t="s">
        <v>79</v>
      </c>
      <c r="B361" t="s">
        <v>19</v>
      </c>
      <c r="C361">
        <v>587.44579999999996</v>
      </c>
      <c r="D361">
        <v>608.89594</v>
      </c>
      <c r="E361">
        <v>586.59283000000005</v>
      </c>
      <c r="F361">
        <v>607.51153999999997</v>
      </c>
      <c r="G361">
        <v>1694454521</v>
      </c>
      <c r="H361" t="s">
        <v>20</v>
      </c>
    </row>
    <row r="362" spans="1:8" x14ac:dyDescent="0.3">
      <c r="A362" t="s">
        <v>80</v>
      </c>
      <c r="B362" t="s">
        <v>9</v>
      </c>
      <c r="C362">
        <v>0.65927999999999998</v>
      </c>
      <c r="D362">
        <v>1.1342699999999999</v>
      </c>
      <c r="E362">
        <v>0.64612000000000003</v>
      </c>
      <c r="F362">
        <v>1.1294999999999999</v>
      </c>
      <c r="G362">
        <v>7647921820</v>
      </c>
      <c r="H362" t="s">
        <v>10</v>
      </c>
    </row>
    <row r="363" spans="1:8" x14ac:dyDescent="0.3">
      <c r="A363" t="s">
        <v>80</v>
      </c>
      <c r="B363" t="s">
        <v>11</v>
      </c>
      <c r="C363">
        <v>86036.257809999996</v>
      </c>
      <c r="D363">
        <v>95043.4375</v>
      </c>
      <c r="E363">
        <v>85040.210940000004</v>
      </c>
      <c r="F363">
        <v>94248.351559999996</v>
      </c>
      <c r="G363">
        <v>58398341092</v>
      </c>
      <c r="H363" t="s">
        <v>12</v>
      </c>
    </row>
    <row r="364" spans="1:8" x14ac:dyDescent="0.3">
      <c r="A364" t="s">
        <v>80</v>
      </c>
      <c r="B364" t="s">
        <v>13</v>
      </c>
      <c r="C364">
        <v>143.67672999999999</v>
      </c>
      <c r="D364">
        <v>178.50855999999999</v>
      </c>
      <c r="E364">
        <v>140.29758000000001</v>
      </c>
      <c r="F364">
        <v>178.49549999999999</v>
      </c>
      <c r="G364">
        <v>11540413390</v>
      </c>
      <c r="H364" t="s">
        <v>14</v>
      </c>
    </row>
    <row r="365" spans="1:8" x14ac:dyDescent="0.3">
      <c r="A365" t="s">
        <v>80</v>
      </c>
      <c r="B365" t="s">
        <v>15</v>
      </c>
      <c r="C365">
        <v>2.1905899999999998</v>
      </c>
      <c r="D365">
        <v>2.96672</v>
      </c>
      <c r="E365">
        <v>2.1773600000000002</v>
      </c>
      <c r="F365">
        <v>2.9369399999999999</v>
      </c>
      <c r="G365">
        <v>17441097426</v>
      </c>
      <c r="H365" t="s">
        <v>16</v>
      </c>
    </row>
    <row r="366" spans="1:8" x14ac:dyDescent="0.3">
      <c r="A366" t="s">
        <v>80</v>
      </c>
      <c r="B366" t="s">
        <v>17</v>
      </c>
      <c r="C366">
        <v>2216.5217299999999</v>
      </c>
      <c r="D366">
        <v>2548.8117699999998</v>
      </c>
      <c r="E366">
        <v>2175.3215300000002</v>
      </c>
      <c r="F366">
        <v>2519.6945799999999</v>
      </c>
      <c r="G366">
        <v>34854193845</v>
      </c>
      <c r="H366" t="s">
        <v>18</v>
      </c>
    </row>
    <row r="367" spans="1:8" x14ac:dyDescent="0.3">
      <c r="A367" t="s">
        <v>80</v>
      </c>
      <c r="B367" t="s">
        <v>19</v>
      </c>
      <c r="C367">
        <v>607.51093000000003</v>
      </c>
      <c r="D367">
        <v>634.54265999999996</v>
      </c>
      <c r="E367">
        <v>602.63300000000004</v>
      </c>
      <c r="F367">
        <v>622.93610000000001</v>
      </c>
      <c r="G367">
        <v>2130538305</v>
      </c>
      <c r="H367" t="s">
        <v>20</v>
      </c>
    </row>
    <row r="368" spans="1:8" x14ac:dyDescent="0.3">
      <c r="A368" t="s">
        <v>81</v>
      </c>
      <c r="B368" t="s">
        <v>9</v>
      </c>
      <c r="C368">
        <v>1.1295299999999999</v>
      </c>
      <c r="D368">
        <v>1.1342099999999999</v>
      </c>
      <c r="E368">
        <v>0.83818999999999999</v>
      </c>
      <c r="F368">
        <v>0.85526000000000002</v>
      </c>
      <c r="G368">
        <v>7028104831</v>
      </c>
      <c r="H368" t="s">
        <v>10</v>
      </c>
    </row>
    <row r="369" spans="1:8" x14ac:dyDescent="0.3">
      <c r="A369" t="s">
        <v>81</v>
      </c>
      <c r="B369" t="s">
        <v>11</v>
      </c>
      <c r="C369">
        <v>94248.421879999994</v>
      </c>
      <c r="D369">
        <v>94429.75</v>
      </c>
      <c r="E369">
        <v>85081.304690000004</v>
      </c>
      <c r="F369">
        <v>86065.671879999994</v>
      </c>
      <c r="G369">
        <v>70072228536</v>
      </c>
      <c r="H369" t="s">
        <v>12</v>
      </c>
    </row>
    <row r="370" spans="1:8" x14ac:dyDescent="0.3">
      <c r="A370" t="s">
        <v>81</v>
      </c>
      <c r="B370" t="s">
        <v>13</v>
      </c>
      <c r="C370">
        <v>178.49524</v>
      </c>
      <c r="D370">
        <v>178.63463999999999</v>
      </c>
      <c r="E370">
        <v>139.7901</v>
      </c>
      <c r="F370">
        <v>142.02108999999999</v>
      </c>
      <c r="G370">
        <v>9241009702</v>
      </c>
      <c r="H370" t="s">
        <v>14</v>
      </c>
    </row>
    <row r="371" spans="1:8" x14ac:dyDescent="0.3">
      <c r="A371" t="s">
        <v>81</v>
      </c>
      <c r="B371" t="s">
        <v>15</v>
      </c>
      <c r="C371">
        <v>2.9370500000000002</v>
      </c>
      <c r="D371">
        <v>2.9439199999999999</v>
      </c>
      <c r="E371">
        <v>2.3117299999999998</v>
      </c>
      <c r="F371">
        <v>2.3857400000000002</v>
      </c>
      <c r="G371">
        <v>14497390960</v>
      </c>
      <c r="H371" t="s">
        <v>16</v>
      </c>
    </row>
    <row r="372" spans="1:8" x14ac:dyDescent="0.3">
      <c r="A372" t="s">
        <v>81</v>
      </c>
      <c r="B372" t="s">
        <v>17</v>
      </c>
      <c r="C372">
        <v>2519.5310100000002</v>
      </c>
      <c r="D372">
        <v>2522.3166500000002</v>
      </c>
      <c r="E372">
        <v>2097.0761699999998</v>
      </c>
      <c r="F372">
        <v>2145.5739800000001</v>
      </c>
      <c r="G372">
        <v>31473561910</v>
      </c>
      <c r="H372" t="s">
        <v>18</v>
      </c>
    </row>
    <row r="373" spans="1:8" x14ac:dyDescent="0.3">
      <c r="A373" t="s">
        <v>81</v>
      </c>
      <c r="B373" t="s">
        <v>19</v>
      </c>
      <c r="C373">
        <v>622.93610000000001</v>
      </c>
      <c r="D373">
        <v>623.29956000000004</v>
      </c>
      <c r="E373">
        <v>568.54070999999999</v>
      </c>
      <c r="F373">
        <v>575.16998000000001</v>
      </c>
      <c r="G373">
        <v>2161303026</v>
      </c>
      <c r="H373" t="s">
        <v>20</v>
      </c>
    </row>
    <row r="374" spans="1:8" x14ac:dyDescent="0.3">
      <c r="A374" t="s">
        <v>82</v>
      </c>
      <c r="B374" t="s">
        <v>9</v>
      </c>
      <c r="C374">
        <v>0.85526000000000002</v>
      </c>
      <c r="D374">
        <v>0.95025999999999999</v>
      </c>
      <c r="E374">
        <v>0.76849000000000001</v>
      </c>
      <c r="F374">
        <v>0.94128000000000001</v>
      </c>
      <c r="G374">
        <v>5400303546</v>
      </c>
      <c r="H374" t="s">
        <v>10</v>
      </c>
    </row>
    <row r="375" spans="1:8" x14ac:dyDescent="0.3">
      <c r="A375" t="s">
        <v>82</v>
      </c>
      <c r="B375" t="s">
        <v>11</v>
      </c>
      <c r="C375">
        <v>86064.070309999996</v>
      </c>
      <c r="D375">
        <v>88911.273440000004</v>
      </c>
      <c r="E375">
        <v>81529.242190000004</v>
      </c>
      <c r="F375">
        <v>87222.195309999996</v>
      </c>
      <c r="G375">
        <v>68095241474</v>
      </c>
      <c r="H375" t="s">
        <v>12</v>
      </c>
    </row>
    <row r="376" spans="1:8" x14ac:dyDescent="0.3">
      <c r="A376" t="s">
        <v>82</v>
      </c>
      <c r="B376" t="s">
        <v>13</v>
      </c>
      <c r="C376">
        <v>142.03318999999999</v>
      </c>
      <c r="D376">
        <v>146.39646999999999</v>
      </c>
      <c r="E376">
        <v>131.57346999999999</v>
      </c>
      <c r="F376">
        <v>144.91658000000001</v>
      </c>
      <c r="G376">
        <v>8035056091</v>
      </c>
      <c r="H376" t="s">
        <v>14</v>
      </c>
    </row>
    <row r="377" spans="1:8" x14ac:dyDescent="0.3">
      <c r="A377" t="s">
        <v>82</v>
      </c>
      <c r="B377" t="s">
        <v>15</v>
      </c>
      <c r="C377">
        <v>2.3857200000000001</v>
      </c>
      <c r="D377">
        <v>2.5161099999999998</v>
      </c>
      <c r="E377">
        <v>2.22987</v>
      </c>
      <c r="F377">
        <v>2.4551500000000002</v>
      </c>
      <c r="G377">
        <v>11265947031</v>
      </c>
      <c r="H377" t="s">
        <v>16</v>
      </c>
    </row>
    <row r="378" spans="1:8" x14ac:dyDescent="0.3">
      <c r="A378" t="s">
        <v>82</v>
      </c>
      <c r="B378" t="s">
        <v>17</v>
      </c>
      <c r="C378">
        <v>2145.65283</v>
      </c>
      <c r="D378">
        <v>2220.3586399999999</v>
      </c>
      <c r="E378">
        <v>1996.76758</v>
      </c>
      <c r="F378">
        <v>2170.01514</v>
      </c>
      <c r="G378">
        <v>33935738380</v>
      </c>
      <c r="H378" t="s">
        <v>18</v>
      </c>
    </row>
    <row r="379" spans="1:8" x14ac:dyDescent="0.3">
      <c r="A379" t="s">
        <v>82</v>
      </c>
      <c r="B379" t="s">
        <v>19</v>
      </c>
      <c r="C379">
        <v>575.16998000000001</v>
      </c>
      <c r="D379">
        <v>587.87018</v>
      </c>
      <c r="E379">
        <v>551.6925</v>
      </c>
      <c r="F379">
        <v>583.58685000000003</v>
      </c>
      <c r="G379">
        <v>1969539538</v>
      </c>
      <c r="H379" t="s">
        <v>20</v>
      </c>
    </row>
    <row r="380" spans="1:8" x14ac:dyDescent="0.3">
      <c r="A380" t="s">
        <v>83</v>
      </c>
      <c r="B380" t="s">
        <v>9</v>
      </c>
      <c r="C380">
        <v>0.94125000000000003</v>
      </c>
      <c r="D380">
        <v>1.0150600000000001</v>
      </c>
      <c r="E380">
        <v>0.91964999999999997</v>
      </c>
      <c r="F380">
        <v>0.97536</v>
      </c>
      <c r="G380">
        <v>3945666181</v>
      </c>
      <c r="H380" t="s">
        <v>10</v>
      </c>
    </row>
    <row r="381" spans="1:8" x14ac:dyDescent="0.3">
      <c r="A381" t="s">
        <v>83</v>
      </c>
      <c r="B381" t="s">
        <v>11</v>
      </c>
      <c r="C381">
        <v>87222.953129999994</v>
      </c>
      <c r="D381">
        <v>90998.242190000004</v>
      </c>
      <c r="E381">
        <v>86379.773440000004</v>
      </c>
      <c r="F381">
        <v>90623.5625</v>
      </c>
      <c r="G381">
        <v>50498988027</v>
      </c>
      <c r="H381" t="s">
        <v>12</v>
      </c>
    </row>
    <row r="382" spans="1:8" x14ac:dyDescent="0.3">
      <c r="A382" t="s">
        <v>83</v>
      </c>
      <c r="B382" t="s">
        <v>13</v>
      </c>
      <c r="C382">
        <v>144.91881000000001</v>
      </c>
      <c r="D382">
        <v>149.48546999999999</v>
      </c>
      <c r="E382">
        <v>140.59685999999999</v>
      </c>
      <c r="F382">
        <v>146.26730000000001</v>
      </c>
      <c r="G382">
        <v>4501939048</v>
      </c>
      <c r="H382" t="s">
        <v>14</v>
      </c>
    </row>
    <row r="383" spans="1:8" x14ac:dyDescent="0.3">
      <c r="A383" t="s">
        <v>83</v>
      </c>
      <c r="B383" t="s">
        <v>15</v>
      </c>
      <c r="C383">
        <v>2.4551500000000002</v>
      </c>
      <c r="D383">
        <v>2.5330400000000002</v>
      </c>
      <c r="E383">
        <v>2.41812</v>
      </c>
      <c r="F383">
        <v>2.5005099999999998</v>
      </c>
      <c r="G383">
        <v>6075953089</v>
      </c>
      <c r="H383" t="s">
        <v>16</v>
      </c>
    </row>
    <row r="384" spans="1:8" x14ac:dyDescent="0.3">
      <c r="A384" t="s">
        <v>83</v>
      </c>
      <c r="B384" t="s">
        <v>17</v>
      </c>
      <c r="C384">
        <v>2169.9868200000001</v>
      </c>
      <c r="D384">
        <v>2272.79736</v>
      </c>
      <c r="E384">
        <v>2156.0993699999999</v>
      </c>
      <c r="F384">
        <v>2241.9773</v>
      </c>
      <c r="G384">
        <v>22105432727</v>
      </c>
      <c r="H384" t="s">
        <v>18</v>
      </c>
    </row>
    <row r="385" spans="1:8" x14ac:dyDescent="0.3">
      <c r="A385" t="s">
        <v>83</v>
      </c>
      <c r="B385" t="s">
        <v>19</v>
      </c>
      <c r="C385">
        <v>583.58600000000001</v>
      </c>
      <c r="D385">
        <v>604.53716999999995</v>
      </c>
      <c r="E385">
        <v>581.32153000000005</v>
      </c>
      <c r="F385">
        <v>597.97582999999997</v>
      </c>
      <c r="G385">
        <v>1534770591</v>
      </c>
      <c r="H385" t="s">
        <v>20</v>
      </c>
    </row>
    <row r="386" spans="1:8" x14ac:dyDescent="0.3">
      <c r="A386" t="s">
        <v>84</v>
      </c>
      <c r="B386" t="s">
        <v>9</v>
      </c>
      <c r="C386">
        <v>0.97536</v>
      </c>
      <c r="D386">
        <v>0.97846999999999995</v>
      </c>
      <c r="E386">
        <v>0.88829000000000002</v>
      </c>
      <c r="F386">
        <v>0.90754999999999997</v>
      </c>
      <c r="G386">
        <v>2621972377</v>
      </c>
      <c r="H386" t="s">
        <v>10</v>
      </c>
    </row>
    <row r="387" spans="1:8" x14ac:dyDescent="0.3">
      <c r="A387" t="s">
        <v>84</v>
      </c>
      <c r="B387" t="s">
        <v>11</v>
      </c>
      <c r="C387">
        <v>90622.359379999994</v>
      </c>
      <c r="D387">
        <v>92804.9375</v>
      </c>
      <c r="E387">
        <v>87852.140629999994</v>
      </c>
      <c r="F387">
        <v>89961.726559999996</v>
      </c>
      <c r="G387">
        <v>47749810486</v>
      </c>
      <c r="H387" t="s">
        <v>12</v>
      </c>
    </row>
    <row r="388" spans="1:8" x14ac:dyDescent="0.3">
      <c r="A388" t="s">
        <v>84</v>
      </c>
      <c r="B388" t="s">
        <v>13</v>
      </c>
      <c r="C388">
        <v>146.27065999999999</v>
      </c>
      <c r="D388">
        <v>152.77924999999999</v>
      </c>
      <c r="E388">
        <v>142.78039999999999</v>
      </c>
      <c r="F388">
        <v>143.35522</v>
      </c>
      <c r="G388">
        <v>4204376336</v>
      </c>
      <c r="H388" t="s">
        <v>14</v>
      </c>
    </row>
    <row r="389" spans="1:8" x14ac:dyDescent="0.3">
      <c r="A389" t="s">
        <v>84</v>
      </c>
      <c r="B389" t="s">
        <v>15</v>
      </c>
      <c r="C389">
        <v>2.5005500000000001</v>
      </c>
      <c r="D389">
        <v>2.6384300000000001</v>
      </c>
      <c r="E389">
        <v>2.47424</v>
      </c>
      <c r="F389">
        <v>2.6017299999999999</v>
      </c>
      <c r="G389">
        <v>6907451109</v>
      </c>
      <c r="H389" t="s">
        <v>16</v>
      </c>
    </row>
    <row r="390" spans="1:8" x14ac:dyDescent="0.3">
      <c r="A390" t="s">
        <v>84</v>
      </c>
      <c r="B390" t="s">
        <v>17</v>
      </c>
      <c r="C390">
        <v>2241.9064899999998</v>
      </c>
      <c r="D390">
        <v>2319.39624</v>
      </c>
      <c r="E390">
        <v>2177.6770000000001</v>
      </c>
      <c r="F390">
        <v>2202.4768100000001</v>
      </c>
      <c r="G390">
        <v>18509069102</v>
      </c>
      <c r="H390" t="s">
        <v>18</v>
      </c>
    </row>
    <row r="391" spans="1:8" x14ac:dyDescent="0.3">
      <c r="A391" t="s">
        <v>84</v>
      </c>
      <c r="B391" t="s">
        <v>19</v>
      </c>
      <c r="C391">
        <v>597.97582999999997</v>
      </c>
      <c r="D391">
        <v>612.03130999999996</v>
      </c>
      <c r="E391">
        <v>589.89135999999996</v>
      </c>
      <c r="F391">
        <v>596.72375</v>
      </c>
      <c r="G391">
        <v>1621101888</v>
      </c>
      <c r="H391" t="s">
        <v>20</v>
      </c>
    </row>
    <row r="392" spans="1:8" x14ac:dyDescent="0.3">
      <c r="A392" t="s">
        <v>85</v>
      </c>
      <c r="B392" t="s">
        <v>9</v>
      </c>
      <c r="C392">
        <v>0.90754999999999997</v>
      </c>
      <c r="D392">
        <v>0.91269</v>
      </c>
      <c r="E392">
        <v>0.81159999999999999</v>
      </c>
      <c r="F392">
        <v>0.81679999999999997</v>
      </c>
      <c r="G392">
        <v>3480876480</v>
      </c>
      <c r="H392" t="s">
        <v>10</v>
      </c>
    </row>
    <row r="393" spans="1:8" x14ac:dyDescent="0.3">
      <c r="A393" t="s">
        <v>85</v>
      </c>
      <c r="B393" t="s">
        <v>11</v>
      </c>
      <c r="C393">
        <v>89963.28125</v>
      </c>
      <c r="D393">
        <v>91191.046879999994</v>
      </c>
      <c r="E393">
        <v>84717.679690000004</v>
      </c>
      <c r="F393">
        <v>86742.671879999994</v>
      </c>
      <c r="G393">
        <v>65945677657</v>
      </c>
      <c r="H393" t="s">
        <v>12</v>
      </c>
    </row>
    <row r="394" spans="1:8" x14ac:dyDescent="0.3">
      <c r="A394" t="s">
        <v>85</v>
      </c>
      <c r="B394" t="s">
        <v>13</v>
      </c>
      <c r="C394">
        <v>143.35522</v>
      </c>
      <c r="D394">
        <v>150.02324999999999</v>
      </c>
      <c r="E394">
        <v>135.71716000000001</v>
      </c>
      <c r="F394">
        <v>139.20913999999999</v>
      </c>
      <c r="G394">
        <v>6090751623</v>
      </c>
      <c r="H394" t="s">
        <v>14</v>
      </c>
    </row>
    <row r="395" spans="1:8" x14ac:dyDescent="0.3">
      <c r="A395" t="s">
        <v>85</v>
      </c>
      <c r="B395" t="s">
        <v>15</v>
      </c>
      <c r="C395">
        <v>2.6017299999999999</v>
      </c>
      <c r="D395">
        <v>2.6100500000000002</v>
      </c>
      <c r="E395">
        <v>2.3570099999999998</v>
      </c>
      <c r="F395">
        <v>2.3816199999999998</v>
      </c>
      <c r="G395">
        <v>9796404399</v>
      </c>
      <c r="H395" t="s">
        <v>16</v>
      </c>
    </row>
    <row r="396" spans="1:8" x14ac:dyDescent="0.3">
      <c r="A396" t="s">
        <v>85</v>
      </c>
      <c r="B396" t="s">
        <v>17</v>
      </c>
      <c r="C396">
        <v>2202.49829</v>
      </c>
      <c r="D396">
        <v>2254.2324199999998</v>
      </c>
      <c r="E396">
        <v>2103.4726599999999</v>
      </c>
      <c r="F396">
        <v>2138.9875499999998</v>
      </c>
      <c r="G396">
        <v>22425792863</v>
      </c>
      <c r="H396" t="s">
        <v>18</v>
      </c>
    </row>
    <row r="397" spans="1:8" x14ac:dyDescent="0.3">
      <c r="A397" t="s">
        <v>85</v>
      </c>
      <c r="B397" t="s">
        <v>19</v>
      </c>
      <c r="C397">
        <v>596.72369000000003</v>
      </c>
      <c r="D397">
        <v>609.43115</v>
      </c>
      <c r="E397">
        <v>579.36779999999999</v>
      </c>
      <c r="F397">
        <v>593.96338000000003</v>
      </c>
      <c r="G397">
        <v>1866542048</v>
      </c>
      <c r="H397" t="s">
        <v>20</v>
      </c>
    </row>
    <row r="398" spans="1:8" x14ac:dyDescent="0.3">
      <c r="A398" t="s">
        <v>86</v>
      </c>
      <c r="B398" t="s">
        <v>9</v>
      </c>
      <c r="C398">
        <v>0.81679999999999997</v>
      </c>
      <c r="D398">
        <v>0.83621000000000001</v>
      </c>
      <c r="E398">
        <v>0.79683000000000004</v>
      </c>
      <c r="F398">
        <v>0.80469000000000002</v>
      </c>
      <c r="G398">
        <v>1184834509</v>
      </c>
      <c r="H398" t="s">
        <v>10</v>
      </c>
    </row>
    <row r="399" spans="1:8" x14ac:dyDescent="0.3">
      <c r="A399" t="s">
        <v>86</v>
      </c>
      <c r="B399" t="s">
        <v>11</v>
      </c>
      <c r="C399">
        <v>86742.65625</v>
      </c>
      <c r="D399">
        <v>86847.265629999994</v>
      </c>
      <c r="E399">
        <v>85247.484379999994</v>
      </c>
      <c r="F399">
        <v>86154.59375</v>
      </c>
      <c r="G399">
        <v>18206118081</v>
      </c>
      <c r="H399" t="s">
        <v>12</v>
      </c>
    </row>
    <row r="400" spans="1:8" x14ac:dyDescent="0.3">
      <c r="A400" t="s">
        <v>86</v>
      </c>
      <c r="B400" t="s">
        <v>13</v>
      </c>
      <c r="C400">
        <v>139.20913999999999</v>
      </c>
      <c r="D400">
        <v>140.90457000000001</v>
      </c>
      <c r="E400">
        <v>135.48296999999999</v>
      </c>
      <c r="F400">
        <v>136.94208</v>
      </c>
      <c r="G400">
        <v>2270939562</v>
      </c>
      <c r="H400" t="s">
        <v>14</v>
      </c>
    </row>
    <row r="401" spans="1:8" x14ac:dyDescent="0.3">
      <c r="A401" t="s">
        <v>86</v>
      </c>
      <c r="B401" t="s">
        <v>15</v>
      </c>
      <c r="C401">
        <v>2.3816000000000002</v>
      </c>
      <c r="D401">
        <v>2.4064100000000002</v>
      </c>
      <c r="E401">
        <v>2.3096100000000002</v>
      </c>
      <c r="F401">
        <v>2.3234400000000002</v>
      </c>
      <c r="G401">
        <v>3722945467</v>
      </c>
      <c r="H401" t="s">
        <v>16</v>
      </c>
    </row>
    <row r="402" spans="1:8" x14ac:dyDescent="0.3">
      <c r="A402" t="s">
        <v>86</v>
      </c>
      <c r="B402" t="s">
        <v>17</v>
      </c>
      <c r="C402">
        <v>2139.7978499999999</v>
      </c>
      <c r="D402">
        <v>2232.3271500000001</v>
      </c>
      <c r="E402">
        <v>2107.7280300000002</v>
      </c>
      <c r="F402">
        <v>2201.5102499999998</v>
      </c>
      <c r="G402">
        <v>10533204814</v>
      </c>
      <c r="H402" t="s">
        <v>18</v>
      </c>
    </row>
    <row r="403" spans="1:8" x14ac:dyDescent="0.3">
      <c r="A403" t="s">
        <v>86</v>
      </c>
      <c r="B403" t="s">
        <v>19</v>
      </c>
      <c r="C403">
        <v>593.96375</v>
      </c>
      <c r="D403">
        <v>601.64788999999996</v>
      </c>
      <c r="E403">
        <v>591.71020999999996</v>
      </c>
      <c r="F403">
        <v>593.08087</v>
      </c>
      <c r="G403">
        <v>1147671365</v>
      </c>
      <c r="H403" t="s">
        <v>20</v>
      </c>
    </row>
    <row r="404" spans="1:8" x14ac:dyDescent="0.3">
      <c r="A404" t="s">
        <v>87</v>
      </c>
      <c r="B404" t="s">
        <v>9</v>
      </c>
      <c r="C404">
        <v>0.80467999999999995</v>
      </c>
      <c r="D404">
        <v>0.81567999999999996</v>
      </c>
      <c r="E404">
        <v>0.71282999999999996</v>
      </c>
      <c r="F404">
        <v>0.72014999999999996</v>
      </c>
      <c r="G404">
        <v>1597453600</v>
      </c>
      <c r="H404" t="s">
        <v>10</v>
      </c>
    </row>
    <row r="405" spans="1:8" x14ac:dyDescent="0.3">
      <c r="A405" t="s">
        <v>87</v>
      </c>
      <c r="B405" t="s">
        <v>11</v>
      </c>
      <c r="C405">
        <v>86154.304690000004</v>
      </c>
      <c r="D405">
        <v>86471.132809999996</v>
      </c>
      <c r="E405">
        <v>80052.484379999994</v>
      </c>
      <c r="F405">
        <v>80601.039059999996</v>
      </c>
      <c r="G405">
        <v>30899345977</v>
      </c>
      <c r="H405" t="s">
        <v>12</v>
      </c>
    </row>
    <row r="406" spans="1:8" x14ac:dyDescent="0.3">
      <c r="A406" t="s">
        <v>87</v>
      </c>
      <c r="B406" t="s">
        <v>13</v>
      </c>
      <c r="C406">
        <v>136.94282999999999</v>
      </c>
      <c r="D406">
        <v>139.72577000000001</v>
      </c>
      <c r="E406">
        <v>125.93571</v>
      </c>
      <c r="F406">
        <v>126.43543</v>
      </c>
      <c r="G406">
        <v>3429886567</v>
      </c>
      <c r="H406" t="s">
        <v>14</v>
      </c>
    </row>
    <row r="407" spans="1:8" x14ac:dyDescent="0.3">
      <c r="A407" t="s">
        <v>87</v>
      </c>
      <c r="B407" t="s">
        <v>15</v>
      </c>
      <c r="C407">
        <v>2.3234300000000001</v>
      </c>
      <c r="D407">
        <v>2.3487800000000001</v>
      </c>
      <c r="E407">
        <v>2.0909800000000001</v>
      </c>
      <c r="F407">
        <v>2.1345800000000001</v>
      </c>
      <c r="G407">
        <v>6156171771</v>
      </c>
      <c r="H407" t="s">
        <v>16</v>
      </c>
    </row>
    <row r="408" spans="1:8" x14ac:dyDescent="0.3">
      <c r="A408" t="s">
        <v>87</v>
      </c>
      <c r="B408" t="s">
        <v>17</v>
      </c>
      <c r="C408">
        <v>2201.70874</v>
      </c>
      <c r="D408">
        <v>2210.3137200000001</v>
      </c>
      <c r="E408">
        <v>1991.1934799999999</v>
      </c>
      <c r="F408">
        <v>2015.5091600000001</v>
      </c>
      <c r="G408">
        <v>16103964994</v>
      </c>
      <c r="H408" t="s">
        <v>18</v>
      </c>
    </row>
    <row r="409" spans="1:8" x14ac:dyDescent="0.3">
      <c r="A409" t="s">
        <v>87</v>
      </c>
      <c r="B409" t="s">
        <v>19</v>
      </c>
      <c r="C409">
        <v>593.08240000000001</v>
      </c>
      <c r="D409">
        <v>593.09973000000002</v>
      </c>
      <c r="E409">
        <v>551.14813000000004</v>
      </c>
      <c r="F409">
        <v>554.58043999999995</v>
      </c>
      <c r="G409">
        <v>1540503120</v>
      </c>
      <c r="H409" t="s">
        <v>20</v>
      </c>
    </row>
    <row r="410" spans="1:8" x14ac:dyDescent="0.3">
      <c r="A410" t="s">
        <v>88</v>
      </c>
      <c r="B410" t="s">
        <v>9</v>
      </c>
      <c r="C410">
        <v>0.72014999999999996</v>
      </c>
      <c r="D410">
        <v>0.77376999999999996</v>
      </c>
      <c r="E410">
        <v>0.66110999999999998</v>
      </c>
      <c r="F410">
        <v>0.67259999999999998</v>
      </c>
      <c r="G410">
        <v>1891557329</v>
      </c>
      <c r="H410" t="s">
        <v>10</v>
      </c>
    </row>
    <row r="411" spans="1:8" x14ac:dyDescent="0.3">
      <c r="A411" t="s">
        <v>88</v>
      </c>
      <c r="B411" t="s">
        <v>11</v>
      </c>
      <c r="C411">
        <v>80597.148440000004</v>
      </c>
      <c r="D411">
        <v>83955.929690000004</v>
      </c>
      <c r="E411">
        <v>77420.59375</v>
      </c>
      <c r="F411">
        <v>78532</v>
      </c>
      <c r="G411">
        <v>54061099422</v>
      </c>
      <c r="H411" t="s">
        <v>12</v>
      </c>
    </row>
    <row r="412" spans="1:8" x14ac:dyDescent="0.3">
      <c r="A412" t="s">
        <v>88</v>
      </c>
      <c r="B412" t="s">
        <v>13</v>
      </c>
      <c r="C412">
        <v>126.43543</v>
      </c>
      <c r="D412">
        <v>131.24095</v>
      </c>
      <c r="E412">
        <v>115.91789</v>
      </c>
      <c r="F412">
        <v>118.29174999999999</v>
      </c>
      <c r="G412">
        <v>5519806938</v>
      </c>
      <c r="H412" t="s">
        <v>14</v>
      </c>
    </row>
    <row r="413" spans="1:8" x14ac:dyDescent="0.3">
      <c r="A413" t="s">
        <v>88</v>
      </c>
      <c r="B413" t="s">
        <v>15</v>
      </c>
      <c r="C413">
        <v>2.1344699999999999</v>
      </c>
      <c r="D413">
        <v>2.2517</v>
      </c>
      <c r="E413">
        <v>2.0005199999999999</v>
      </c>
      <c r="F413">
        <v>2.0182899999999999</v>
      </c>
      <c r="G413">
        <v>8000109431</v>
      </c>
      <c r="H413" t="s">
        <v>16</v>
      </c>
    </row>
    <row r="414" spans="1:8" x14ac:dyDescent="0.3">
      <c r="A414" t="s">
        <v>88</v>
      </c>
      <c r="B414" t="s">
        <v>17</v>
      </c>
      <c r="C414">
        <v>2015.4304199999999</v>
      </c>
      <c r="D414">
        <v>2150.7062999999998</v>
      </c>
      <c r="E414">
        <v>1812.76685</v>
      </c>
      <c r="F414">
        <v>1861.15137</v>
      </c>
      <c r="G414">
        <v>35005066442</v>
      </c>
      <c r="H414" t="s">
        <v>18</v>
      </c>
    </row>
    <row r="415" spans="1:8" x14ac:dyDescent="0.3">
      <c r="A415" t="s">
        <v>88</v>
      </c>
      <c r="B415" t="s">
        <v>19</v>
      </c>
      <c r="C415">
        <v>554.58043999999995</v>
      </c>
      <c r="D415">
        <v>572.05034999999998</v>
      </c>
      <c r="E415">
        <v>524.99608999999998</v>
      </c>
      <c r="F415">
        <v>532.12189000000001</v>
      </c>
      <c r="G415">
        <v>1896805158</v>
      </c>
      <c r="H415" t="s">
        <v>20</v>
      </c>
    </row>
    <row r="416" spans="1:8" x14ac:dyDescent="0.3">
      <c r="A416" t="s">
        <v>89</v>
      </c>
      <c r="B416" t="s">
        <v>9</v>
      </c>
      <c r="C416">
        <v>0.67259000000000002</v>
      </c>
      <c r="D416">
        <v>0.74126999999999998</v>
      </c>
      <c r="E416">
        <v>0.65364</v>
      </c>
      <c r="F416">
        <v>0.72258999999999995</v>
      </c>
      <c r="G416">
        <v>1875965762</v>
      </c>
      <c r="H416" t="s">
        <v>10</v>
      </c>
    </row>
    <row r="417" spans="1:8" x14ac:dyDescent="0.3">
      <c r="A417" t="s">
        <v>89</v>
      </c>
      <c r="B417" t="s">
        <v>11</v>
      </c>
      <c r="C417">
        <v>78523.875</v>
      </c>
      <c r="D417">
        <v>83577.757809999996</v>
      </c>
      <c r="E417">
        <v>76624.25</v>
      </c>
      <c r="F417">
        <v>82862.210940000004</v>
      </c>
      <c r="G417">
        <v>54702837196</v>
      </c>
      <c r="H417" t="s">
        <v>12</v>
      </c>
    </row>
    <row r="418" spans="1:8" x14ac:dyDescent="0.3">
      <c r="A418" t="s">
        <v>89</v>
      </c>
      <c r="B418" t="s">
        <v>13</v>
      </c>
      <c r="C418">
        <v>118.29167</v>
      </c>
      <c r="D418">
        <v>128.14886000000001</v>
      </c>
      <c r="E418">
        <v>113.18921</v>
      </c>
      <c r="F418">
        <v>125.26394999999999</v>
      </c>
      <c r="G418">
        <v>5259428587</v>
      </c>
      <c r="H418" t="s">
        <v>14</v>
      </c>
    </row>
    <row r="419" spans="1:8" x14ac:dyDescent="0.3">
      <c r="A419" t="s">
        <v>89</v>
      </c>
      <c r="B419" t="s">
        <v>15</v>
      </c>
      <c r="C419">
        <v>2.0181900000000002</v>
      </c>
      <c r="D419">
        <v>2.2082000000000002</v>
      </c>
      <c r="E419">
        <v>1.91659</v>
      </c>
      <c r="F419">
        <v>2.1669200000000002</v>
      </c>
      <c r="G419">
        <v>8214014406</v>
      </c>
      <c r="H419" t="s">
        <v>16</v>
      </c>
    </row>
    <row r="420" spans="1:8" x14ac:dyDescent="0.3">
      <c r="A420" t="s">
        <v>89</v>
      </c>
      <c r="B420" t="s">
        <v>17</v>
      </c>
      <c r="C420">
        <v>1859.7777100000001</v>
      </c>
      <c r="D420">
        <v>1961.79773</v>
      </c>
      <c r="E420">
        <v>1760.9417699999999</v>
      </c>
      <c r="F420">
        <v>1919.8449700000001</v>
      </c>
      <c r="G420">
        <v>30898385863</v>
      </c>
      <c r="H420" t="s">
        <v>18</v>
      </c>
    </row>
    <row r="421" spans="1:8" x14ac:dyDescent="0.3">
      <c r="A421" t="s">
        <v>89</v>
      </c>
      <c r="B421" t="s">
        <v>19</v>
      </c>
      <c r="C421">
        <v>532.10619999999994</v>
      </c>
      <c r="D421">
        <v>565.15819999999997</v>
      </c>
      <c r="E421">
        <v>509.83569</v>
      </c>
      <c r="F421">
        <v>551.47455000000002</v>
      </c>
      <c r="G421">
        <v>2438043846</v>
      </c>
      <c r="H421" t="s">
        <v>20</v>
      </c>
    </row>
    <row r="422" spans="1:8" x14ac:dyDescent="0.3">
      <c r="A422" t="s">
        <v>90</v>
      </c>
      <c r="B422" t="s">
        <v>9</v>
      </c>
      <c r="C422">
        <v>0.72262999999999999</v>
      </c>
      <c r="D422">
        <v>0.76146999999999998</v>
      </c>
      <c r="E422">
        <v>0.71257999999999999</v>
      </c>
      <c r="F422">
        <v>0.73543999999999998</v>
      </c>
      <c r="G422">
        <v>1355643740</v>
      </c>
      <c r="H422" t="s">
        <v>10</v>
      </c>
    </row>
    <row r="423" spans="1:8" x14ac:dyDescent="0.3">
      <c r="A423" t="s">
        <v>90</v>
      </c>
      <c r="B423" t="s">
        <v>11</v>
      </c>
      <c r="C423">
        <v>82857.375</v>
      </c>
      <c r="D423">
        <v>84358.578129999994</v>
      </c>
      <c r="E423">
        <v>80635.25</v>
      </c>
      <c r="F423">
        <v>83722.359379999994</v>
      </c>
      <c r="G423">
        <v>40353484454</v>
      </c>
      <c r="H423" t="s">
        <v>12</v>
      </c>
    </row>
    <row r="424" spans="1:8" x14ac:dyDescent="0.3">
      <c r="A424" t="s">
        <v>90</v>
      </c>
      <c r="B424" t="s">
        <v>13</v>
      </c>
      <c r="C424">
        <v>125.2619</v>
      </c>
      <c r="D424">
        <v>130.65511000000001</v>
      </c>
      <c r="E424">
        <v>121.36756</v>
      </c>
      <c r="F424">
        <v>126.58324</v>
      </c>
      <c r="G424">
        <v>4112201839</v>
      </c>
      <c r="H424" t="s">
        <v>14</v>
      </c>
    </row>
    <row r="425" spans="1:8" x14ac:dyDescent="0.3">
      <c r="A425" t="s">
        <v>90</v>
      </c>
      <c r="B425" t="s">
        <v>15</v>
      </c>
      <c r="C425">
        <v>2.1669299999999998</v>
      </c>
      <c r="D425">
        <v>2.2588300000000001</v>
      </c>
      <c r="E425">
        <v>2.1420599999999999</v>
      </c>
      <c r="F425">
        <v>2.2407599999999999</v>
      </c>
      <c r="G425">
        <v>6420912776</v>
      </c>
      <c r="H425" t="s">
        <v>16</v>
      </c>
    </row>
    <row r="426" spans="1:8" x14ac:dyDescent="0.3">
      <c r="A426" t="s">
        <v>90</v>
      </c>
      <c r="B426" t="s">
        <v>17</v>
      </c>
      <c r="C426">
        <v>1919.6648</v>
      </c>
      <c r="D426">
        <v>1954.5711699999999</v>
      </c>
      <c r="E426">
        <v>1832.0190399999999</v>
      </c>
      <c r="F426">
        <v>1908.9826700000001</v>
      </c>
      <c r="G426">
        <v>22898872951</v>
      </c>
      <c r="H426" t="s">
        <v>18</v>
      </c>
    </row>
    <row r="427" spans="1:8" x14ac:dyDescent="0.3">
      <c r="A427" t="s">
        <v>90</v>
      </c>
      <c r="B427" t="s">
        <v>19</v>
      </c>
      <c r="C427">
        <v>551.47455000000002</v>
      </c>
      <c r="D427">
        <v>574.42156999999997</v>
      </c>
      <c r="E427">
        <v>545.26684999999998</v>
      </c>
      <c r="F427">
        <v>569.89484000000004</v>
      </c>
      <c r="G427">
        <v>1792696031</v>
      </c>
      <c r="H427" t="s">
        <v>20</v>
      </c>
    </row>
    <row r="428" spans="1:8" x14ac:dyDescent="0.3">
      <c r="A428" t="s">
        <v>91</v>
      </c>
      <c r="B428" t="s">
        <v>9</v>
      </c>
      <c r="C428">
        <v>0.73543999999999998</v>
      </c>
      <c r="D428">
        <v>0.73838999999999999</v>
      </c>
      <c r="E428">
        <v>0.69255999999999995</v>
      </c>
      <c r="F428">
        <v>0.70228999999999997</v>
      </c>
      <c r="G428">
        <v>1195241317</v>
      </c>
      <c r="H428" t="s">
        <v>10</v>
      </c>
    </row>
    <row r="429" spans="1:8" x14ac:dyDescent="0.3">
      <c r="A429" t="s">
        <v>91</v>
      </c>
      <c r="B429" t="s">
        <v>11</v>
      </c>
      <c r="C429">
        <v>83724.921879999994</v>
      </c>
      <c r="D429">
        <v>84301.695309999996</v>
      </c>
      <c r="E429">
        <v>79931.851559999996</v>
      </c>
      <c r="F429">
        <v>81066.703129999994</v>
      </c>
      <c r="G429">
        <v>31412940153</v>
      </c>
      <c r="H429" t="s">
        <v>12</v>
      </c>
    </row>
    <row r="430" spans="1:8" x14ac:dyDescent="0.3">
      <c r="A430" t="s">
        <v>91</v>
      </c>
      <c r="B430" t="s">
        <v>13</v>
      </c>
      <c r="C430">
        <v>126.58324</v>
      </c>
      <c r="D430">
        <v>128.15862999999999</v>
      </c>
      <c r="E430">
        <v>120.90948</v>
      </c>
      <c r="F430">
        <v>123.28615000000001</v>
      </c>
      <c r="G430">
        <v>2871050068</v>
      </c>
      <c r="H430" t="s">
        <v>14</v>
      </c>
    </row>
    <row r="431" spans="1:8" x14ac:dyDescent="0.3">
      <c r="A431" t="s">
        <v>91</v>
      </c>
      <c r="B431" t="s">
        <v>15</v>
      </c>
      <c r="C431">
        <v>2.2407499999999998</v>
      </c>
      <c r="D431">
        <v>2.3379799999999999</v>
      </c>
      <c r="E431">
        <v>2.2187600000000001</v>
      </c>
      <c r="F431">
        <v>2.25101</v>
      </c>
      <c r="G431">
        <v>5570837343</v>
      </c>
      <c r="H431" t="s">
        <v>16</v>
      </c>
    </row>
    <row r="432" spans="1:8" x14ac:dyDescent="0.3">
      <c r="A432" t="s">
        <v>91</v>
      </c>
      <c r="B432" t="s">
        <v>17</v>
      </c>
      <c r="C432">
        <v>1909.0153800000001</v>
      </c>
      <c r="D432">
        <v>1919.68823</v>
      </c>
      <c r="E432">
        <v>1823.52539</v>
      </c>
      <c r="F432">
        <v>1862.9695999999999</v>
      </c>
      <c r="G432">
        <v>17977225564</v>
      </c>
      <c r="H432" t="s">
        <v>18</v>
      </c>
    </row>
    <row r="433" spans="1:8" x14ac:dyDescent="0.3">
      <c r="A433" t="s">
        <v>91</v>
      </c>
      <c r="B433" t="s">
        <v>19</v>
      </c>
      <c r="C433">
        <v>569.89484000000004</v>
      </c>
      <c r="D433">
        <v>603.40503000000001</v>
      </c>
      <c r="E433">
        <v>568.12603999999999</v>
      </c>
      <c r="F433">
        <v>579.21880999999996</v>
      </c>
      <c r="G433">
        <v>2402408414</v>
      </c>
      <c r="H433" t="s">
        <v>20</v>
      </c>
    </row>
    <row r="434" spans="1:8" x14ac:dyDescent="0.3">
      <c r="A434" t="s">
        <v>92</v>
      </c>
      <c r="B434" t="s">
        <v>9</v>
      </c>
      <c r="C434">
        <v>0.70228999999999997</v>
      </c>
      <c r="D434">
        <v>0.74834999999999996</v>
      </c>
      <c r="E434">
        <v>0.69984999999999997</v>
      </c>
      <c r="F434">
        <v>0.73831999999999998</v>
      </c>
      <c r="G434">
        <v>1015277074</v>
      </c>
      <c r="H434" t="s">
        <v>10</v>
      </c>
    </row>
    <row r="435" spans="1:8" x14ac:dyDescent="0.3">
      <c r="A435" t="s">
        <v>92</v>
      </c>
      <c r="B435" t="s">
        <v>11</v>
      </c>
      <c r="C435">
        <v>81066.992190000004</v>
      </c>
      <c r="D435">
        <v>85263.289059999996</v>
      </c>
      <c r="E435">
        <v>80797.5625</v>
      </c>
      <c r="F435">
        <v>83969.101559999996</v>
      </c>
      <c r="G435">
        <v>29588112414</v>
      </c>
      <c r="H435" t="s">
        <v>12</v>
      </c>
    </row>
    <row r="436" spans="1:8" x14ac:dyDescent="0.3">
      <c r="A436" t="s">
        <v>92</v>
      </c>
      <c r="B436" t="s">
        <v>13</v>
      </c>
      <c r="C436">
        <v>123.28660000000001</v>
      </c>
      <c r="D436">
        <v>135.64348000000001</v>
      </c>
      <c r="E436">
        <v>123.11715</v>
      </c>
      <c r="F436">
        <v>133.31448</v>
      </c>
      <c r="G436">
        <v>3161542602</v>
      </c>
      <c r="H436" t="s">
        <v>14</v>
      </c>
    </row>
    <row r="437" spans="1:8" x14ac:dyDescent="0.3">
      <c r="A437" t="s">
        <v>92</v>
      </c>
      <c r="B437" t="s">
        <v>15</v>
      </c>
      <c r="C437">
        <v>2.2509999999999999</v>
      </c>
      <c r="D437">
        <v>2.3833199999999999</v>
      </c>
      <c r="E437">
        <v>2.2400799999999998</v>
      </c>
      <c r="F437">
        <v>2.3564400000000001</v>
      </c>
      <c r="G437">
        <v>4318754070</v>
      </c>
      <c r="H437" t="s">
        <v>16</v>
      </c>
    </row>
    <row r="438" spans="1:8" x14ac:dyDescent="0.3">
      <c r="A438" t="s">
        <v>92</v>
      </c>
      <c r="B438" t="s">
        <v>17</v>
      </c>
      <c r="C438">
        <v>1862.99793</v>
      </c>
      <c r="D438">
        <v>1945.0914299999999</v>
      </c>
      <c r="E438">
        <v>1861.1059600000001</v>
      </c>
      <c r="F438">
        <v>1909.4675299999999</v>
      </c>
      <c r="G438">
        <v>12122715282</v>
      </c>
      <c r="H438" t="s">
        <v>18</v>
      </c>
    </row>
    <row r="439" spans="1:8" x14ac:dyDescent="0.3">
      <c r="A439" t="s">
        <v>92</v>
      </c>
      <c r="B439" t="s">
        <v>19</v>
      </c>
      <c r="C439">
        <v>579.21880999999996</v>
      </c>
      <c r="D439">
        <v>589.16321000000005</v>
      </c>
      <c r="E439">
        <v>577.24652000000003</v>
      </c>
      <c r="F439">
        <v>587.13629000000003</v>
      </c>
      <c r="G439">
        <v>1535548122</v>
      </c>
      <c r="H439" t="s">
        <v>20</v>
      </c>
    </row>
    <row r="440" spans="1:8" x14ac:dyDescent="0.3">
      <c r="A440" t="s">
        <v>93</v>
      </c>
      <c r="B440" t="s">
        <v>9</v>
      </c>
      <c r="C440">
        <v>0.73831000000000002</v>
      </c>
      <c r="D440">
        <v>0.75841999999999998</v>
      </c>
      <c r="E440">
        <v>0.73314000000000001</v>
      </c>
      <c r="F440">
        <v>0.74829000000000001</v>
      </c>
      <c r="G440">
        <v>720758317</v>
      </c>
      <c r="H440" t="s">
        <v>10</v>
      </c>
    </row>
    <row r="441" spans="1:8" x14ac:dyDescent="0.3">
      <c r="A441" t="s">
        <v>93</v>
      </c>
      <c r="B441" t="s">
        <v>11</v>
      </c>
      <c r="C441">
        <v>83968.40625</v>
      </c>
      <c r="D441">
        <v>84672.671879999994</v>
      </c>
      <c r="E441">
        <v>83639.59375</v>
      </c>
      <c r="F441">
        <v>84343.109379999994</v>
      </c>
      <c r="G441">
        <v>13650491277</v>
      </c>
      <c r="H441" t="s">
        <v>12</v>
      </c>
    </row>
    <row r="442" spans="1:8" x14ac:dyDescent="0.3">
      <c r="A442" t="s">
        <v>93</v>
      </c>
      <c r="B442" t="s">
        <v>13</v>
      </c>
      <c r="C442">
        <v>133.31325000000001</v>
      </c>
      <c r="D442">
        <v>136.48133999999999</v>
      </c>
      <c r="E442">
        <v>132.55994999999999</v>
      </c>
      <c r="F442">
        <v>135.91254000000001</v>
      </c>
      <c r="G442">
        <v>1844463215</v>
      </c>
      <c r="H442" t="s">
        <v>14</v>
      </c>
    </row>
    <row r="443" spans="1:8" x14ac:dyDescent="0.3">
      <c r="A443" t="s">
        <v>93</v>
      </c>
      <c r="B443" t="s">
        <v>15</v>
      </c>
      <c r="C443">
        <v>2.35643</v>
      </c>
      <c r="D443">
        <v>2.4717600000000002</v>
      </c>
      <c r="E443">
        <v>2.35636</v>
      </c>
      <c r="F443">
        <v>2.39324</v>
      </c>
      <c r="G443">
        <v>3638758922</v>
      </c>
      <c r="H443" t="s">
        <v>16</v>
      </c>
    </row>
    <row r="444" spans="1:8" x14ac:dyDescent="0.3">
      <c r="A444" t="s">
        <v>93</v>
      </c>
      <c r="B444" t="s">
        <v>17</v>
      </c>
      <c r="C444">
        <v>1909.52808</v>
      </c>
      <c r="D444">
        <v>1955.2384</v>
      </c>
      <c r="E444">
        <v>1904.9657</v>
      </c>
      <c r="F444">
        <v>1937.39465</v>
      </c>
      <c r="G444">
        <v>6456484591</v>
      </c>
      <c r="H444" t="s">
        <v>18</v>
      </c>
    </row>
    <row r="445" spans="1:8" x14ac:dyDescent="0.3">
      <c r="A445" t="s">
        <v>93</v>
      </c>
      <c r="B445" t="s">
        <v>19</v>
      </c>
      <c r="C445">
        <v>587.11406999999997</v>
      </c>
      <c r="D445">
        <v>619.49950999999999</v>
      </c>
      <c r="E445">
        <v>587.08398</v>
      </c>
      <c r="F445">
        <v>619.48608000000002</v>
      </c>
      <c r="G445">
        <v>1403335470</v>
      </c>
      <c r="H445" t="s">
        <v>20</v>
      </c>
    </row>
    <row r="446" spans="1:8" x14ac:dyDescent="0.3">
      <c r="A446" t="s">
        <v>94</v>
      </c>
      <c r="B446" t="s">
        <v>9</v>
      </c>
      <c r="C446">
        <v>0.74827999999999995</v>
      </c>
      <c r="D446">
        <v>0.74827999999999995</v>
      </c>
      <c r="E446">
        <v>0.69903999999999999</v>
      </c>
      <c r="F446">
        <v>0.70576000000000005</v>
      </c>
      <c r="G446">
        <v>807154727</v>
      </c>
      <c r="H446" t="s">
        <v>10</v>
      </c>
    </row>
    <row r="447" spans="1:8" x14ac:dyDescent="0.3">
      <c r="A447" t="s">
        <v>94</v>
      </c>
      <c r="B447" t="s">
        <v>11</v>
      </c>
      <c r="C447">
        <v>84333.320309999996</v>
      </c>
      <c r="D447">
        <v>85051.601559999996</v>
      </c>
      <c r="E447">
        <v>82017.90625</v>
      </c>
      <c r="F447">
        <v>82579.6875</v>
      </c>
      <c r="G447">
        <v>21330270174</v>
      </c>
      <c r="H447" t="s">
        <v>12</v>
      </c>
    </row>
    <row r="448" spans="1:8" x14ac:dyDescent="0.3">
      <c r="A448" t="s">
        <v>94</v>
      </c>
      <c r="B448" t="s">
        <v>13</v>
      </c>
      <c r="C448">
        <v>135.91678999999999</v>
      </c>
      <c r="D448">
        <v>136.46898999999999</v>
      </c>
      <c r="E448">
        <v>125.38741</v>
      </c>
      <c r="F448">
        <v>125.98811000000001</v>
      </c>
      <c r="G448">
        <v>2456569508</v>
      </c>
      <c r="H448" t="s">
        <v>14</v>
      </c>
    </row>
    <row r="449" spans="1:8" x14ac:dyDescent="0.3">
      <c r="A449" t="s">
        <v>94</v>
      </c>
      <c r="B449" t="s">
        <v>15</v>
      </c>
      <c r="C449">
        <v>2.3932799999999999</v>
      </c>
      <c r="D449">
        <v>2.4085200000000002</v>
      </c>
      <c r="E449">
        <v>2.2745799999999998</v>
      </c>
      <c r="F449">
        <v>2.2978700000000001</v>
      </c>
      <c r="G449">
        <v>3890457149</v>
      </c>
      <c r="H449" t="s">
        <v>16</v>
      </c>
    </row>
    <row r="450" spans="1:8" x14ac:dyDescent="0.3">
      <c r="A450" t="s">
        <v>94</v>
      </c>
      <c r="B450" t="s">
        <v>17</v>
      </c>
      <c r="C450">
        <v>1937.3847699999999</v>
      </c>
      <c r="D450">
        <v>1940.4743699999999</v>
      </c>
      <c r="E450">
        <v>1863.48901</v>
      </c>
      <c r="F450">
        <v>1887.43506</v>
      </c>
      <c r="G450">
        <v>9292997638</v>
      </c>
      <c r="H450" t="s">
        <v>18</v>
      </c>
    </row>
    <row r="451" spans="1:8" x14ac:dyDescent="0.3">
      <c r="A451" t="s">
        <v>94</v>
      </c>
      <c r="B451" t="s">
        <v>19</v>
      </c>
      <c r="C451">
        <v>619.49274000000003</v>
      </c>
      <c r="D451">
        <v>621.36150999999995</v>
      </c>
      <c r="E451">
        <v>593.95708999999999</v>
      </c>
      <c r="F451">
        <v>602.21660999999995</v>
      </c>
      <c r="G451">
        <v>1437680152</v>
      </c>
      <c r="H451" t="s">
        <v>20</v>
      </c>
    </row>
    <row r="452" spans="1:8" x14ac:dyDescent="0.3">
      <c r="A452" t="s">
        <v>95</v>
      </c>
      <c r="B452" t="s">
        <v>9</v>
      </c>
      <c r="C452">
        <v>0.70574999999999999</v>
      </c>
      <c r="D452">
        <v>0.72911999999999999</v>
      </c>
      <c r="E452">
        <v>0.70526999999999995</v>
      </c>
      <c r="F452">
        <v>0.71809000000000001</v>
      </c>
      <c r="G452">
        <v>756343011</v>
      </c>
      <c r="H452" t="s">
        <v>10</v>
      </c>
    </row>
    <row r="453" spans="1:8" x14ac:dyDescent="0.3">
      <c r="A453" t="s">
        <v>95</v>
      </c>
      <c r="B453" t="s">
        <v>11</v>
      </c>
      <c r="C453">
        <v>82576.335940000004</v>
      </c>
      <c r="D453">
        <v>84725.328129999994</v>
      </c>
      <c r="E453">
        <v>82492.15625</v>
      </c>
      <c r="F453">
        <v>84075.6875</v>
      </c>
      <c r="G453">
        <v>25092785558</v>
      </c>
      <c r="H453" t="s">
        <v>12</v>
      </c>
    </row>
    <row r="454" spans="1:8" x14ac:dyDescent="0.3">
      <c r="A454" t="s">
        <v>95</v>
      </c>
      <c r="B454" t="s">
        <v>13</v>
      </c>
      <c r="C454">
        <v>125.98742</v>
      </c>
      <c r="D454">
        <v>130.52687</v>
      </c>
      <c r="E454">
        <v>125.86190000000001</v>
      </c>
      <c r="F454">
        <v>128.16371000000001</v>
      </c>
      <c r="G454">
        <v>2487364373</v>
      </c>
      <c r="H454" t="s">
        <v>14</v>
      </c>
    </row>
    <row r="455" spans="1:8" x14ac:dyDescent="0.3">
      <c r="A455" t="s">
        <v>95</v>
      </c>
      <c r="B455" t="s">
        <v>15</v>
      </c>
      <c r="C455">
        <v>2.2978000000000001</v>
      </c>
      <c r="D455">
        <v>2.3759399999999999</v>
      </c>
      <c r="E455">
        <v>2.2955100000000002</v>
      </c>
      <c r="F455">
        <v>2.3406400000000001</v>
      </c>
      <c r="G455">
        <v>3457455337</v>
      </c>
      <c r="H455" t="s">
        <v>16</v>
      </c>
    </row>
    <row r="456" spans="1:8" x14ac:dyDescent="0.3">
      <c r="A456" t="s">
        <v>95</v>
      </c>
      <c r="B456" t="s">
        <v>17</v>
      </c>
      <c r="C456">
        <v>1887.44922</v>
      </c>
      <c r="D456">
        <v>1951.62598</v>
      </c>
      <c r="E456">
        <v>1880.4843800000001</v>
      </c>
      <c r="F456">
        <v>1927.0029300000001</v>
      </c>
      <c r="G456">
        <v>10436892087</v>
      </c>
      <c r="H456" t="s">
        <v>18</v>
      </c>
    </row>
    <row r="457" spans="1:8" x14ac:dyDescent="0.3">
      <c r="A457" t="s">
        <v>95</v>
      </c>
      <c r="B457" t="s">
        <v>19</v>
      </c>
      <c r="C457">
        <v>602.20965999999999</v>
      </c>
      <c r="D457">
        <v>643.04034000000001</v>
      </c>
      <c r="E457">
        <v>602.20965999999999</v>
      </c>
      <c r="F457">
        <v>631.36261000000002</v>
      </c>
      <c r="G457">
        <v>2488514984</v>
      </c>
      <c r="H457" t="s">
        <v>20</v>
      </c>
    </row>
    <row r="458" spans="1:8" x14ac:dyDescent="0.3">
      <c r="A458" t="s">
        <v>96</v>
      </c>
      <c r="B458" t="s">
        <v>9</v>
      </c>
      <c r="C458">
        <v>0.71809000000000001</v>
      </c>
      <c r="D458">
        <v>0.71813000000000005</v>
      </c>
      <c r="E458">
        <v>0.68398000000000003</v>
      </c>
      <c r="F458">
        <v>0.70208000000000004</v>
      </c>
      <c r="G458">
        <v>697365412</v>
      </c>
      <c r="H458" t="s">
        <v>10</v>
      </c>
    </row>
    <row r="459" spans="1:8" x14ac:dyDescent="0.3">
      <c r="A459" t="s">
        <v>96</v>
      </c>
      <c r="B459" t="s">
        <v>11</v>
      </c>
      <c r="C459">
        <v>84075.71875</v>
      </c>
      <c r="D459">
        <v>84075.71875</v>
      </c>
      <c r="E459">
        <v>81179.992190000004</v>
      </c>
      <c r="F459">
        <v>82718.5</v>
      </c>
      <c r="G459">
        <v>24095774594</v>
      </c>
      <c r="H459" t="s">
        <v>12</v>
      </c>
    </row>
    <row r="460" spans="1:8" x14ac:dyDescent="0.3">
      <c r="A460" t="s">
        <v>96</v>
      </c>
      <c r="B460" t="s">
        <v>13</v>
      </c>
      <c r="C460">
        <v>128.16135</v>
      </c>
      <c r="D460">
        <v>128.16135</v>
      </c>
      <c r="E460">
        <v>121.94453</v>
      </c>
      <c r="F460">
        <v>125.31270000000001</v>
      </c>
      <c r="G460">
        <v>2534317858</v>
      </c>
      <c r="H460" t="s">
        <v>14</v>
      </c>
    </row>
    <row r="461" spans="1:8" x14ac:dyDescent="0.3">
      <c r="A461" t="s">
        <v>96</v>
      </c>
      <c r="B461" t="s">
        <v>15</v>
      </c>
      <c r="C461">
        <v>2.34063</v>
      </c>
      <c r="D461">
        <v>2.34063</v>
      </c>
      <c r="E461">
        <v>2.2263299999999999</v>
      </c>
      <c r="F461">
        <v>2.2869600000000001</v>
      </c>
      <c r="G461">
        <v>3485953021</v>
      </c>
      <c r="H461" t="s">
        <v>16</v>
      </c>
    </row>
    <row r="462" spans="1:8" x14ac:dyDescent="0.3">
      <c r="A462" t="s">
        <v>96</v>
      </c>
      <c r="B462" t="s">
        <v>17</v>
      </c>
      <c r="C462">
        <v>1927.0057400000001</v>
      </c>
      <c r="D462">
        <v>1935.18201</v>
      </c>
      <c r="E462">
        <v>1872.50891</v>
      </c>
      <c r="F462">
        <v>1932.5434600000001</v>
      </c>
      <c r="G462">
        <v>10170844746</v>
      </c>
      <c r="H462" t="s">
        <v>18</v>
      </c>
    </row>
    <row r="463" spans="1:8" x14ac:dyDescent="0.3">
      <c r="A463" t="s">
        <v>96</v>
      </c>
      <c r="B463" t="s">
        <v>19</v>
      </c>
      <c r="C463">
        <v>631.34649999999999</v>
      </c>
      <c r="D463">
        <v>642.88886000000002</v>
      </c>
      <c r="E463">
        <v>622.40015000000005</v>
      </c>
      <c r="F463">
        <v>628.13445999999999</v>
      </c>
      <c r="G463">
        <v>2175151767</v>
      </c>
      <c r="H463" t="s">
        <v>20</v>
      </c>
    </row>
    <row r="464" spans="1:8" x14ac:dyDescent="0.3">
      <c r="A464" t="s">
        <v>97</v>
      </c>
      <c r="B464" t="s">
        <v>9</v>
      </c>
      <c r="C464">
        <v>0.70208000000000004</v>
      </c>
      <c r="D464">
        <v>0.74602000000000002</v>
      </c>
      <c r="E464">
        <v>0.70126999999999995</v>
      </c>
      <c r="F464">
        <v>0.74419999999999997</v>
      </c>
      <c r="G464">
        <v>1096739941</v>
      </c>
      <c r="H464" t="s">
        <v>10</v>
      </c>
    </row>
    <row r="465" spans="1:8" x14ac:dyDescent="0.3">
      <c r="A465" t="s">
        <v>97</v>
      </c>
      <c r="B465" t="s">
        <v>11</v>
      </c>
      <c r="C465">
        <v>82718.804690000004</v>
      </c>
      <c r="D465">
        <v>87021.1875</v>
      </c>
      <c r="E465">
        <v>82569.726559999996</v>
      </c>
      <c r="F465">
        <v>86854.226559999996</v>
      </c>
      <c r="G465">
        <v>34931960257</v>
      </c>
      <c r="H465" t="s">
        <v>12</v>
      </c>
    </row>
    <row r="466" spans="1:8" x14ac:dyDescent="0.3">
      <c r="A466" t="s">
        <v>97</v>
      </c>
      <c r="B466" t="s">
        <v>13</v>
      </c>
      <c r="C466">
        <v>125.31229</v>
      </c>
      <c r="D466">
        <v>135.92552000000001</v>
      </c>
      <c r="E466">
        <v>124.29733</v>
      </c>
      <c r="F466">
        <v>135.57250999999999</v>
      </c>
      <c r="G466">
        <v>3539287974</v>
      </c>
      <c r="H466" t="s">
        <v>14</v>
      </c>
    </row>
    <row r="467" spans="1:8" x14ac:dyDescent="0.3">
      <c r="A467" t="s">
        <v>97</v>
      </c>
      <c r="B467" t="s">
        <v>15</v>
      </c>
      <c r="C467">
        <v>2.28695</v>
      </c>
      <c r="D467">
        <v>2.5727899999999999</v>
      </c>
      <c r="E467">
        <v>2.2691699999999999</v>
      </c>
      <c r="F467">
        <v>2.5458400000000001</v>
      </c>
      <c r="G467">
        <v>9591487009</v>
      </c>
      <c r="H467" t="s">
        <v>16</v>
      </c>
    </row>
    <row r="468" spans="1:8" x14ac:dyDescent="0.3">
      <c r="A468" t="s">
        <v>97</v>
      </c>
      <c r="B468" t="s">
        <v>17</v>
      </c>
      <c r="C468">
        <v>1932.54456</v>
      </c>
      <c r="D468">
        <v>2068.7644</v>
      </c>
      <c r="E468">
        <v>1928.2495100000001</v>
      </c>
      <c r="F468">
        <v>2057.7490200000002</v>
      </c>
      <c r="G468">
        <v>20065206266</v>
      </c>
      <c r="H468" t="s">
        <v>18</v>
      </c>
    </row>
    <row r="469" spans="1:8" x14ac:dyDescent="0.3">
      <c r="A469" t="s">
        <v>97</v>
      </c>
      <c r="B469" t="s">
        <v>19</v>
      </c>
      <c r="C469">
        <v>628.13445999999999</v>
      </c>
      <c r="D469">
        <v>628.13762999999994</v>
      </c>
      <c r="E469">
        <v>605.61792000000003</v>
      </c>
      <c r="F469">
        <v>619.25751000000002</v>
      </c>
      <c r="G469">
        <v>2006233746</v>
      </c>
      <c r="H469" t="s">
        <v>20</v>
      </c>
    </row>
    <row r="470" spans="1:8" x14ac:dyDescent="0.3">
      <c r="A470" t="s">
        <v>98</v>
      </c>
      <c r="B470" t="s">
        <v>9</v>
      </c>
      <c r="C470">
        <v>0.74422999999999995</v>
      </c>
      <c r="D470">
        <v>0.75222999999999995</v>
      </c>
      <c r="E470">
        <v>0.71353999999999995</v>
      </c>
      <c r="F470">
        <v>0.71752000000000005</v>
      </c>
      <c r="G470">
        <v>850609830</v>
      </c>
      <c r="H470" t="s">
        <v>10</v>
      </c>
    </row>
    <row r="471" spans="1:8" x14ac:dyDescent="0.3">
      <c r="A471" t="s">
        <v>98</v>
      </c>
      <c r="B471" t="s">
        <v>11</v>
      </c>
      <c r="C471">
        <v>86872.953129999994</v>
      </c>
      <c r="D471">
        <v>87443.265629999994</v>
      </c>
      <c r="E471">
        <v>83647.195309999996</v>
      </c>
      <c r="F471">
        <v>84167.195309999996</v>
      </c>
      <c r="G471">
        <v>29028988961</v>
      </c>
      <c r="H471" t="s">
        <v>12</v>
      </c>
    </row>
    <row r="472" spans="1:8" x14ac:dyDescent="0.3">
      <c r="A472" t="s">
        <v>98</v>
      </c>
      <c r="B472" t="s">
        <v>13</v>
      </c>
      <c r="C472">
        <v>135.57416000000001</v>
      </c>
      <c r="D472">
        <v>135.77260999999999</v>
      </c>
      <c r="E472">
        <v>126.85357999999999</v>
      </c>
      <c r="F472">
        <v>127.49718</v>
      </c>
      <c r="G472">
        <v>2469659459</v>
      </c>
      <c r="H472" t="s">
        <v>14</v>
      </c>
    </row>
    <row r="473" spans="1:8" x14ac:dyDescent="0.3">
      <c r="A473" t="s">
        <v>98</v>
      </c>
      <c r="B473" t="s">
        <v>15</v>
      </c>
      <c r="C473">
        <v>2.5458500000000002</v>
      </c>
      <c r="D473">
        <v>2.55071</v>
      </c>
      <c r="E473">
        <v>2.3943300000000001</v>
      </c>
      <c r="F473">
        <v>2.4346700000000001</v>
      </c>
      <c r="G473">
        <v>4976516822</v>
      </c>
      <c r="H473" t="s">
        <v>16</v>
      </c>
    </row>
    <row r="474" spans="1:8" x14ac:dyDescent="0.3">
      <c r="A474" t="s">
        <v>98</v>
      </c>
      <c r="B474" t="s">
        <v>17</v>
      </c>
      <c r="C474">
        <v>2057.9511699999998</v>
      </c>
      <c r="D474">
        <v>2067.4836399999999</v>
      </c>
      <c r="E474">
        <v>1952.2432899999999</v>
      </c>
      <c r="F474">
        <v>1982.0998500000001</v>
      </c>
      <c r="G474">
        <v>13217865782</v>
      </c>
      <c r="H474" t="s">
        <v>18</v>
      </c>
    </row>
    <row r="475" spans="1:8" x14ac:dyDescent="0.3">
      <c r="A475" t="s">
        <v>98</v>
      </c>
      <c r="B475" t="s">
        <v>19</v>
      </c>
      <c r="C475">
        <v>619.25098000000003</v>
      </c>
      <c r="D475">
        <v>637.21636999999998</v>
      </c>
      <c r="E475">
        <v>616.96375</v>
      </c>
      <c r="F475">
        <v>629.94244000000003</v>
      </c>
      <c r="G475">
        <v>2327219768</v>
      </c>
      <c r="H475" t="s">
        <v>20</v>
      </c>
    </row>
    <row r="476" spans="1:8" x14ac:dyDescent="0.3">
      <c r="A476" t="s">
        <v>99</v>
      </c>
      <c r="B476" t="s">
        <v>9</v>
      </c>
      <c r="C476">
        <v>0.71748999999999996</v>
      </c>
      <c r="D476">
        <v>0.72609999999999997</v>
      </c>
      <c r="E476">
        <v>0.70174999999999998</v>
      </c>
      <c r="F476">
        <v>0.70511999999999997</v>
      </c>
      <c r="G476">
        <v>660902108</v>
      </c>
      <c r="H476" t="s">
        <v>10</v>
      </c>
    </row>
    <row r="477" spans="1:8" x14ac:dyDescent="0.3">
      <c r="A477" t="s">
        <v>99</v>
      </c>
      <c r="B477" t="s">
        <v>11</v>
      </c>
      <c r="C477">
        <v>84164.539059999996</v>
      </c>
      <c r="D477">
        <v>84782.273440000004</v>
      </c>
      <c r="E477">
        <v>83171.070309999996</v>
      </c>
      <c r="F477">
        <v>84043.242190000004</v>
      </c>
      <c r="G477">
        <v>19030452299</v>
      </c>
      <c r="H477" t="s">
        <v>12</v>
      </c>
    </row>
    <row r="478" spans="1:8" x14ac:dyDescent="0.3">
      <c r="A478" t="s">
        <v>99</v>
      </c>
      <c r="B478" t="s">
        <v>13</v>
      </c>
      <c r="C478">
        <v>127.49885999999999</v>
      </c>
      <c r="D478">
        <v>129.95624000000001</v>
      </c>
      <c r="E478">
        <v>124.97736999999999</v>
      </c>
      <c r="F478">
        <v>128.43030999999999</v>
      </c>
      <c r="G478">
        <v>2370317364</v>
      </c>
      <c r="H478" t="s">
        <v>14</v>
      </c>
    </row>
    <row r="479" spans="1:8" x14ac:dyDescent="0.3">
      <c r="A479" t="s">
        <v>99</v>
      </c>
      <c r="B479" t="s">
        <v>15</v>
      </c>
      <c r="C479">
        <v>2.4346199999999998</v>
      </c>
      <c r="D479">
        <v>2.4630000000000001</v>
      </c>
      <c r="E479">
        <v>2.3595700000000002</v>
      </c>
      <c r="F479">
        <v>2.3792800000000001</v>
      </c>
      <c r="G479">
        <v>3433230669</v>
      </c>
      <c r="H479" t="s">
        <v>16</v>
      </c>
    </row>
    <row r="480" spans="1:8" x14ac:dyDescent="0.3">
      <c r="A480" t="s">
        <v>99</v>
      </c>
      <c r="B480" t="s">
        <v>17</v>
      </c>
      <c r="C480">
        <v>1981.85303</v>
      </c>
      <c r="D480">
        <v>1994.89148</v>
      </c>
      <c r="E480">
        <v>1937.21155</v>
      </c>
      <c r="F480">
        <v>1964.84753</v>
      </c>
      <c r="G480">
        <v>9708125480</v>
      </c>
      <c r="H480" t="s">
        <v>18</v>
      </c>
    </row>
    <row r="481" spans="1:8" x14ac:dyDescent="0.3">
      <c r="A481" t="s">
        <v>99</v>
      </c>
      <c r="B481" t="s">
        <v>19</v>
      </c>
      <c r="C481">
        <v>629.94244000000003</v>
      </c>
      <c r="D481">
        <v>637.19006000000002</v>
      </c>
      <c r="E481">
        <v>625.85706000000005</v>
      </c>
      <c r="F481">
        <v>634.60779000000002</v>
      </c>
      <c r="G481">
        <v>1472201311</v>
      </c>
      <c r="H481" t="s">
        <v>20</v>
      </c>
    </row>
    <row r="482" spans="1:8" x14ac:dyDescent="0.3">
      <c r="A482" t="s">
        <v>100</v>
      </c>
      <c r="B482" t="s">
        <v>9</v>
      </c>
      <c r="C482">
        <v>0.70511999999999997</v>
      </c>
      <c r="D482">
        <v>0.71521000000000001</v>
      </c>
      <c r="E482">
        <v>0.69911999999999996</v>
      </c>
      <c r="F482">
        <v>0.70094000000000001</v>
      </c>
      <c r="G482">
        <v>458125954</v>
      </c>
      <c r="H482" t="s">
        <v>10</v>
      </c>
    </row>
    <row r="483" spans="1:8" x14ac:dyDescent="0.3">
      <c r="A483" t="s">
        <v>100</v>
      </c>
      <c r="B483" t="s">
        <v>11</v>
      </c>
      <c r="C483">
        <v>84046.257809999996</v>
      </c>
      <c r="D483">
        <v>84513.875</v>
      </c>
      <c r="E483">
        <v>83674.78125</v>
      </c>
      <c r="F483">
        <v>83832.484379999994</v>
      </c>
      <c r="G483">
        <v>9863214091</v>
      </c>
      <c r="H483" t="s">
        <v>12</v>
      </c>
    </row>
    <row r="484" spans="1:8" x14ac:dyDescent="0.3">
      <c r="A484" t="s">
        <v>100</v>
      </c>
      <c r="B484" t="s">
        <v>13</v>
      </c>
      <c r="C484">
        <v>128.42993000000001</v>
      </c>
      <c r="D484">
        <v>131.57619</v>
      </c>
      <c r="E484">
        <v>127.93256</v>
      </c>
      <c r="F484">
        <v>128.48499000000001</v>
      </c>
      <c r="G484">
        <v>1442831196</v>
      </c>
      <c r="H484" t="s">
        <v>14</v>
      </c>
    </row>
    <row r="485" spans="1:8" x14ac:dyDescent="0.3">
      <c r="A485" t="s">
        <v>100</v>
      </c>
      <c r="B485" t="s">
        <v>15</v>
      </c>
      <c r="C485">
        <v>2.3793000000000002</v>
      </c>
      <c r="D485">
        <v>2.41317</v>
      </c>
      <c r="E485">
        <v>2.3621400000000001</v>
      </c>
      <c r="F485">
        <v>2.3698199999999998</v>
      </c>
      <c r="G485">
        <v>1778187863</v>
      </c>
      <c r="H485" t="s">
        <v>16</v>
      </c>
    </row>
    <row r="486" spans="1:8" x14ac:dyDescent="0.3">
      <c r="A486" t="s">
        <v>100</v>
      </c>
      <c r="B486" t="s">
        <v>17</v>
      </c>
      <c r="C486">
        <v>1964.9404300000001</v>
      </c>
      <c r="D486">
        <v>2005.04114</v>
      </c>
      <c r="E486">
        <v>1964.271</v>
      </c>
      <c r="F486">
        <v>1980.03784</v>
      </c>
      <c r="G486">
        <v>6117036512</v>
      </c>
      <c r="H486" t="s">
        <v>18</v>
      </c>
    </row>
    <row r="487" spans="1:8" x14ac:dyDescent="0.3">
      <c r="A487" t="s">
        <v>100</v>
      </c>
      <c r="B487" t="s">
        <v>19</v>
      </c>
      <c r="C487">
        <v>634.59698000000003</v>
      </c>
      <c r="D487">
        <v>635.76549999999997</v>
      </c>
      <c r="E487">
        <v>624.19672000000003</v>
      </c>
      <c r="F487">
        <v>626.57439999999997</v>
      </c>
      <c r="G487">
        <v>1182741851</v>
      </c>
      <c r="H487" t="s">
        <v>20</v>
      </c>
    </row>
    <row r="488" spans="1:8" x14ac:dyDescent="0.3">
      <c r="A488" t="s">
        <v>101</v>
      </c>
      <c r="B488" t="s">
        <v>9</v>
      </c>
      <c r="C488">
        <v>0.70094000000000001</v>
      </c>
      <c r="D488">
        <v>0.71516999999999997</v>
      </c>
      <c r="E488">
        <v>0.69325000000000003</v>
      </c>
      <c r="F488">
        <v>0.70950999999999997</v>
      </c>
      <c r="G488">
        <v>585188487</v>
      </c>
      <c r="H488" t="s">
        <v>10</v>
      </c>
    </row>
    <row r="489" spans="1:8" x14ac:dyDescent="0.3">
      <c r="A489" t="s">
        <v>101</v>
      </c>
      <c r="B489" t="s">
        <v>11</v>
      </c>
      <c r="C489">
        <v>83831.898440000004</v>
      </c>
      <c r="D489">
        <v>86094.78125</v>
      </c>
      <c r="E489">
        <v>83794.914059999996</v>
      </c>
      <c r="F489">
        <v>86054.375</v>
      </c>
      <c r="G489">
        <v>12594615537</v>
      </c>
      <c r="H489" t="s">
        <v>12</v>
      </c>
    </row>
    <row r="490" spans="1:8" x14ac:dyDescent="0.3">
      <c r="A490" t="s">
        <v>101</v>
      </c>
      <c r="B490" t="s">
        <v>13</v>
      </c>
      <c r="C490">
        <v>128.48447999999999</v>
      </c>
      <c r="D490">
        <v>133.96196</v>
      </c>
      <c r="E490">
        <v>128.34225000000001</v>
      </c>
      <c r="F490">
        <v>132.59932000000001</v>
      </c>
      <c r="G490">
        <v>1711242607</v>
      </c>
      <c r="H490" t="s">
        <v>14</v>
      </c>
    </row>
    <row r="491" spans="1:8" x14ac:dyDescent="0.3">
      <c r="A491" t="s">
        <v>101</v>
      </c>
      <c r="B491" t="s">
        <v>15</v>
      </c>
      <c r="C491">
        <v>2.3698199999999998</v>
      </c>
      <c r="D491">
        <v>2.43588</v>
      </c>
      <c r="E491">
        <v>2.3670100000000001</v>
      </c>
      <c r="F491">
        <v>2.4354900000000002</v>
      </c>
      <c r="G491">
        <v>2107624036</v>
      </c>
      <c r="H491" t="s">
        <v>16</v>
      </c>
    </row>
    <row r="492" spans="1:8" x14ac:dyDescent="0.3">
      <c r="A492" t="s">
        <v>101</v>
      </c>
      <c r="B492" t="s">
        <v>17</v>
      </c>
      <c r="C492">
        <v>1979.9836399999999</v>
      </c>
      <c r="D492">
        <v>2019.8894</v>
      </c>
      <c r="E492">
        <v>1977.7093500000001</v>
      </c>
      <c r="F492">
        <v>2005.29919</v>
      </c>
      <c r="G492">
        <v>7522339707</v>
      </c>
      <c r="H492" t="s">
        <v>18</v>
      </c>
    </row>
    <row r="493" spans="1:8" x14ac:dyDescent="0.3">
      <c r="A493" t="s">
        <v>101</v>
      </c>
      <c r="B493" t="s">
        <v>19</v>
      </c>
      <c r="C493">
        <v>626.57439999999997</v>
      </c>
      <c r="D493">
        <v>628.96564000000001</v>
      </c>
      <c r="E493">
        <v>619.85846000000004</v>
      </c>
      <c r="F493">
        <v>623.34948999999995</v>
      </c>
      <c r="G493">
        <v>1222239081</v>
      </c>
      <c r="H493" t="s">
        <v>20</v>
      </c>
    </row>
    <row r="494" spans="1:8" x14ac:dyDescent="0.3">
      <c r="A494" t="s">
        <v>102</v>
      </c>
      <c r="B494" t="s">
        <v>9</v>
      </c>
      <c r="C494">
        <v>0.70950000000000002</v>
      </c>
      <c r="D494">
        <v>0.74402999999999997</v>
      </c>
      <c r="E494">
        <v>0.70674999999999999</v>
      </c>
      <c r="F494">
        <v>0.73099000000000003</v>
      </c>
      <c r="G494">
        <v>894622894</v>
      </c>
      <c r="H494" t="s">
        <v>10</v>
      </c>
    </row>
    <row r="495" spans="1:8" x14ac:dyDescent="0.3">
      <c r="A495" t="s">
        <v>102</v>
      </c>
      <c r="B495" t="s">
        <v>11</v>
      </c>
      <c r="C495">
        <v>86070.929690000004</v>
      </c>
      <c r="D495">
        <v>88758.726559999996</v>
      </c>
      <c r="E495">
        <v>85541.195309999996</v>
      </c>
      <c r="F495">
        <v>87498.914059999996</v>
      </c>
      <c r="G495">
        <v>34582604933</v>
      </c>
      <c r="H495" t="s">
        <v>12</v>
      </c>
    </row>
    <row r="496" spans="1:8" x14ac:dyDescent="0.3">
      <c r="A496" t="s">
        <v>102</v>
      </c>
      <c r="B496" t="s">
        <v>13</v>
      </c>
      <c r="C496">
        <v>132.59932000000001</v>
      </c>
      <c r="D496">
        <v>144.88309000000001</v>
      </c>
      <c r="E496">
        <v>132.1618</v>
      </c>
      <c r="F496">
        <v>140.86928</v>
      </c>
      <c r="G496">
        <v>4207560020</v>
      </c>
      <c r="H496" t="s">
        <v>14</v>
      </c>
    </row>
    <row r="497" spans="1:8" x14ac:dyDescent="0.3">
      <c r="A497" t="s">
        <v>102</v>
      </c>
      <c r="B497" t="s">
        <v>15</v>
      </c>
      <c r="C497">
        <v>2.43547</v>
      </c>
      <c r="D497">
        <v>2.5015900000000002</v>
      </c>
      <c r="E497">
        <v>2.4154800000000001</v>
      </c>
      <c r="F497">
        <v>2.4481600000000001</v>
      </c>
      <c r="G497">
        <v>3272338535</v>
      </c>
      <c r="H497" t="s">
        <v>16</v>
      </c>
    </row>
    <row r="498" spans="1:8" x14ac:dyDescent="0.3">
      <c r="A498" t="s">
        <v>102</v>
      </c>
      <c r="B498" t="s">
        <v>17</v>
      </c>
      <c r="C498">
        <v>2005.71838</v>
      </c>
      <c r="D498">
        <v>2101.9834000000001</v>
      </c>
      <c r="E498">
        <v>1978.76379</v>
      </c>
      <c r="F498">
        <v>2077.4789999999998</v>
      </c>
      <c r="G498">
        <v>14044912402</v>
      </c>
      <c r="H498" t="s">
        <v>18</v>
      </c>
    </row>
    <row r="499" spans="1:8" x14ac:dyDescent="0.3">
      <c r="A499" t="s">
        <v>102</v>
      </c>
      <c r="B499" t="s">
        <v>19</v>
      </c>
      <c r="C499">
        <v>623.34948999999995</v>
      </c>
      <c r="D499">
        <v>639.02257999999995</v>
      </c>
      <c r="E499">
        <v>619.05016999999998</v>
      </c>
      <c r="F499">
        <v>636.64453000000003</v>
      </c>
      <c r="G499">
        <v>1788439257</v>
      </c>
      <c r="H499" t="s">
        <v>20</v>
      </c>
    </row>
    <row r="500" spans="1:8" x14ac:dyDescent="0.3">
      <c r="A500" t="s">
        <v>103</v>
      </c>
      <c r="B500" t="s">
        <v>9</v>
      </c>
      <c r="C500">
        <v>0.73099999999999998</v>
      </c>
      <c r="D500">
        <v>0.76534000000000002</v>
      </c>
      <c r="E500">
        <v>0.72223000000000004</v>
      </c>
      <c r="F500">
        <v>0.74519999999999997</v>
      </c>
      <c r="G500">
        <v>1066564498</v>
      </c>
      <c r="H500" t="s">
        <v>10</v>
      </c>
    </row>
    <row r="501" spans="1:8" x14ac:dyDescent="0.3">
      <c r="A501" t="s">
        <v>103</v>
      </c>
      <c r="B501" t="s">
        <v>11</v>
      </c>
      <c r="C501">
        <v>87512.820309999996</v>
      </c>
      <c r="D501">
        <v>88542.398440000004</v>
      </c>
      <c r="E501">
        <v>86346.078129999994</v>
      </c>
      <c r="F501">
        <v>87471.703129999994</v>
      </c>
      <c r="G501">
        <v>30005840049</v>
      </c>
      <c r="H501" t="s">
        <v>12</v>
      </c>
    </row>
    <row r="502" spans="1:8" x14ac:dyDescent="0.3">
      <c r="A502" t="s">
        <v>103</v>
      </c>
      <c r="B502" t="s">
        <v>13</v>
      </c>
      <c r="C502">
        <v>140.87473</v>
      </c>
      <c r="D502">
        <v>147.05799999999999</v>
      </c>
      <c r="E502">
        <v>138.34667999999999</v>
      </c>
      <c r="F502">
        <v>143.81708</v>
      </c>
      <c r="G502">
        <v>3585353324</v>
      </c>
      <c r="H502" t="s">
        <v>14</v>
      </c>
    </row>
    <row r="503" spans="1:8" x14ac:dyDescent="0.3">
      <c r="A503" t="s">
        <v>103</v>
      </c>
      <c r="B503" t="s">
        <v>15</v>
      </c>
      <c r="C503">
        <v>2.4481700000000002</v>
      </c>
      <c r="D503">
        <v>2.4719099999999998</v>
      </c>
      <c r="E503">
        <v>2.4102100000000002</v>
      </c>
      <c r="F503">
        <v>2.4513500000000001</v>
      </c>
      <c r="G503">
        <v>2722132222</v>
      </c>
      <c r="H503" t="s">
        <v>16</v>
      </c>
    </row>
    <row r="504" spans="1:8" x14ac:dyDescent="0.3">
      <c r="A504" t="s">
        <v>103</v>
      </c>
      <c r="B504" t="s">
        <v>17</v>
      </c>
      <c r="C504">
        <v>2078.5681199999999</v>
      </c>
      <c r="D504">
        <v>2096.5183099999999</v>
      </c>
      <c r="E504">
        <v>2038.64453</v>
      </c>
      <c r="F504">
        <v>2067.7641600000002</v>
      </c>
      <c r="G504">
        <v>11735658914</v>
      </c>
      <c r="H504" t="s">
        <v>18</v>
      </c>
    </row>
    <row r="505" spans="1:8" x14ac:dyDescent="0.3">
      <c r="A505" t="s">
        <v>103</v>
      </c>
      <c r="B505" t="s">
        <v>19</v>
      </c>
      <c r="C505">
        <v>636.64495999999997</v>
      </c>
      <c r="D505">
        <v>644.87427000000002</v>
      </c>
      <c r="E505">
        <v>627.44408999999996</v>
      </c>
      <c r="F505">
        <v>629.94286999999997</v>
      </c>
      <c r="G505">
        <v>2238118522</v>
      </c>
      <c r="H505" t="s">
        <v>20</v>
      </c>
    </row>
    <row r="506" spans="1:8" x14ac:dyDescent="0.3">
      <c r="A506" t="s">
        <v>104</v>
      </c>
      <c r="B506" t="s">
        <v>9</v>
      </c>
      <c r="C506">
        <v>0.74519000000000002</v>
      </c>
      <c r="D506">
        <v>0.77278000000000002</v>
      </c>
      <c r="E506">
        <v>0.72192999999999996</v>
      </c>
      <c r="F506">
        <v>0.72806000000000004</v>
      </c>
      <c r="G506">
        <v>937295461</v>
      </c>
      <c r="H506" t="s">
        <v>10</v>
      </c>
    </row>
    <row r="507" spans="1:8" x14ac:dyDescent="0.3">
      <c r="A507" t="s">
        <v>104</v>
      </c>
      <c r="B507" t="s">
        <v>11</v>
      </c>
      <c r="C507">
        <v>87460.234379999994</v>
      </c>
      <c r="D507">
        <v>88292.15625</v>
      </c>
      <c r="E507">
        <v>85861.453129999994</v>
      </c>
      <c r="F507">
        <v>86900.882809999996</v>
      </c>
      <c r="G507">
        <v>26704046038</v>
      </c>
      <c r="H507" t="s">
        <v>12</v>
      </c>
    </row>
    <row r="508" spans="1:8" x14ac:dyDescent="0.3">
      <c r="A508" t="s">
        <v>104</v>
      </c>
      <c r="B508" t="s">
        <v>13</v>
      </c>
      <c r="C508">
        <v>143.81708</v>
      </c>
      <c r="D508">
        <v>145.36848000000001</v>
      </c>
      <c r="E508">
        <v>136.13634999999999</v>
      </c>
      <c r="F508">
        <v>137.28856999999999</v>
      </c>
      <c r="G508">
        <v>3083070981</v>
      </c>
      <c r="H508" t="s">
        <v>14</v>
      </c>
    </row>
    <row r="509" spans="1:8" x14ac:dyDescent="0.3">
      <c r="A509" t="s">
        <v>104</v>
      </c>
      <c r="B509" t="s">
        <v>15</v>
      </c>
      <c r="C509">
        <v>2.4513400000000001</v>
      </c>
      <c r="D509">
        <v>2.4761700000000002</v>
      </c>
      <c r="E509">
        <v>2.3315800000000002</v>
      </c>
      <c r="F509">
        <v>2.3490899999999999</v>
      </c>
      <c r="G509">
        <v>3341723418</v>
      </c>
      <c r="H509" t="s">
        <v>16</v>
      </c>
    </row>
    <row r="510" spans="1:8" x14ac:dyDescent="0.3">
      <c r="A510" t="s">
        <v>104</v>
      </c>
      <c r="B510" t="s">
        <v>17</v>
      </c>
      <c r="C510">
        <v>2067.5087899999999</v>
      </c>
      <c r="D510">
        <v>2078.3691399999998</v>
      </c>
      <c r="E510">
        <v>1982.4123500000001</v>
      </c>
      <c r="F510">
        <v>2009.1893299999999</v>
      </c>
      <c r="G510">
        <v>13178523590</v>
      </c>
      <c r="H510" t="s">
        <v>18</v>
      </c>
    </row>
    <row r="511" spans="1:8" x14ac:dyDescent="0.3">
      <c r="A511" t="s">
        <v>104</v>
      </c>
      <c r="B511" t="s">
        <v>19</v>
      </c>
      <c r="C511">
        <v>629.94237999999996</v>
      </c>
      <c r="D511">
        <v>634.04767000000004</v>
      </c>
      <c r="E511">
        <v>615.84551999999996</v>
      </c>
      <c r="F511">
        <v>617.81677000000002</v>
      </c>
      <c r="G511">
        <v>1600178624</v>
      </c>
      <c r="H511" t="s">
        <v>20</v>
      </c>
    </row>
    <row r="512" spans="1:8" x14ac:dyDescent="0.3">
      <c r="A512" t="s">
        <v>105</v>
      </c>
      <c r="B512" t="s">
        <v>9</v>
      </c>
      <c r="C512">
        <v>0.72807999999999995</v>
      </c>
      <c r="D512">
        <v>0.74360000000000004</v>
      </c>
      <c r="E512">
        <v>0.72275999999999996</v>
      </c>
      <c r="F512">
        <v>0.73767000000000005</v>
      </c>
      <c r="G512">
        <v>574512540</v>
      </c>
      <c r="H512" t="s">
        <v>10</v>
      </c>
    </row>
    <row r="513" spans="1:8" x14ac:dyDescent="0.3">
      <c r="A513" t="s">
        <v>105</v>
      </c>
      <c r="B513" t="s">
        <v>11</v>
      </c>
      <c r="C513">
        <v>86896.257809999996</v>
      </c>
      <c r="D513">
        <v>87786.726559999996</v>
      </c>
      <c r="E513">
        <v>85837.9375</v>
      </c>
      <c r="F513">
        <v>87177.101559999996</v>
      </c>
      <c r="G513">
        <v>24413471941</v>
      </c>
      <c r="H513" t="s">
        <v>12</v>
      </c>
    </row>
    <row r="514" spans="1:8" x14ac:dyDescent="0.3">
      <c r="A514" t="s">
        <v>105</v>
      </c>
      <c r="B514" t="s">
        <v>13</v>
      </c>
      <c r="C514">
        <v>137.29095000000001</v>
      </c>
      <c r="D514">
        <v>140.17451</v>
      </c>
      <c r="E514">
        <v>135.92221000000001</v>
      </c>
      <c r="F514">
        <v>138.34737999999999</v>
      </c>
      <c r="G514">
        <v>2660348034</v>
      </c>
      <c r="H514" t="s">
        <v>14</v>
      </c>
    </row>
    <row r="515" spans="1:8" x14ac:dyDescent="0.3">
      <c r="A515" t="s">
        <v>105</v>
      </c>
      <c r="B515" t="s">
        <v>15</v>
      </c>
      <c r="C515">
        <v>2.3490700000000002</v>
      </c>
      <c r="D515">
        <v>2.3884599999999998</v>
      </c>
      <c r="E515">
        <v>2.3071700000000002</v>
      </c>
      <c r="F515">
        <v>2.3382700000000001</v>
      </c>
      <c r="G515">
        <v>2687267004</v>
      </c>
      <c r="H515" t="s">
        <v>16</v>
      </c>
    </row>
    <row r="516" spans="1:8" x14ac:dyDescent="0.3">
      <c r="A516" t="s">
        <v>105</v>
      </c>
      <c r="B516" t="s">
        <v>17</v>
      </c>
      <c r="C516">
        <v>2008.94055</v>
      </c>
      <c r="D516">
        <v>2037.3961200000001</v>
      </c>
      <c r="E516">
        <v>1987.71777</v>
      </c>
      <c r="F516">
        <v>2002.35742</v>
      </c>
      <c r="G516">
        <v>11593274543</v>
      </c>
      <c r="H516" t="s">
        <v>18</v>
      </c>
    </row>
    <row r="517" spans="1:8" x14ac:dyDescent="0.3">
      <c r="A517" t="s">
        <v>105</v>
      </c>
      <c r="B517" t="s">
        <v>19</v>
      </c>
      <c r="C517">
        <v>617.81677000000002</v>
      </c>
      <c r="D517">
        <v>641.48961999999995</v>
      </c>
      <c r="E517">
        <v>617.67780000000005</v>
      </c>
      <c r="F517">
        <v>637.20696999999996</v>
      </c>
      <c r="G517">
        <v>2441273622</v>
      </c>
      <c r="H517" t="s">
        <v>20</v>
      </c>
    </row>
    <row r="518" spans="1:8" x14ac:dyDescent="0.3">
      <c r="A518" t="s">
        <v>106</v>
      </c>
      <c r="B518" t="s">
        <v>9</v>
      </c>
      <c r="C518">
        <v>0.73767000000000005</v>
      </c>
      <c r="D518">
        <v>0.74483999999999995</v>
      </c>
      <c r="E518">
        <v>0.69067000000000001</v>
      </c>
      <c r="F518">
        <v>0.70555000000000001</v>
      </c>
      <c r="G518">
        <v>789537387</v>
      </c>
      <c r="H518" t="s">
        <v>10</v>
      </c>
    </row>
    <row r="519" spans="1:8" x14ac:dyDescent="0.3">
      <c r="A519" t="s">
        <v>106</v>
      </c>
      <c r="B519" t="s">
        <v>11</v>
      </c>
      <c r="C519">
        <v>87185.234379999994</v>
      </c>
      <c r="D519">
        <v>87489.859379999994</v>
      </c>
      <c r="E519">
        <v>83557.640629999994</v>
      </c>
      <c r="F519">
        <v>84353.148440000004</v>
      </c>
      <c r="G519">
        <v>34198619509</v>
      </c>
      <c r="H519" t="s">
        <v>12</v>
      </c>
    </row>
    <row r="520" spans="1:8" x14ac:dyDescent="0.3">
      <c r="A520" t="s">
        <v>106</v>
      </c>
      <c r="B520" t="s">
        <v>13</v>
      </c>
      <c r="C520">
        <v>138.34724</v>
      </c>
      <c r="D520">
        <v>138.95282</v>
      </c>
      <c r="E520">
        <v>127.98094</v>
      </c>
      <c r="F520">
        <v>129.42316</v>
      </c>
      <c r="G520">
        <v>3532896573</v>
      </c>
      <c r="H520" t="s">
        <v>14</v>
      </c>
    </row>
    <row r="521" spans="1:8" x14ac:dyDescent="0.3">
      <c r="A521" t="s">
        <v>106</v>
      </c>
      <c r="B521" t="s">
        <v>15</v>
      </c>
      <c r="C521">
        <v>2.3383400000000001</v>
      </c>
      <c r="D521">
        <v>2.34076</v>
      </c>
      <c r="E521">
        <v>2.1594899999999999</v>
      </c>
      <c r="F521">
        <v>2.2041400000000002</v>
      </c>
      <c r="G521">
        <v>4373544995</v>
      </c>
      <c r="H521" t="s">
        <v>16</v>
      </c>
    </row>
    <row r="522" spans="1:8" x14ac:dyDescent="0.3">
      <c r="A522" t="s">
        <v>106</v>
      </c>
      <c r="B522" t="s">
        <v>17</v>
      </c>
      <c r="C522">
        <v>2002.4105199999999</v>
      </c>
      <c r="D522">
        <v>2015.45435</v>
      </c>
      <c r="E522">
        <v>1863.01062</v>
      </c>
      <c r="F522">
        <v>1895.5029300000001</v>
      </c>
      <c r="G522">
        <v>18160526498</v>
      </c>
      <c r="H522" t="s">
        <v>18</v>
      </c>
    </row>
    <row r="523" spans="1:8" x14ac:dyDescent="0.3">
      <c r="A523" t="s">
        <v>106</v>
      </c>
      <c r="B523" t="s">
        <v>19</v>
      </c>
      <c r="C523">
        <v>637.20641999999998</v>
      </c>
      <c r="D523">
        <v>637.24188000000004</v>
      </c>
      <c r="E523">
        <v>615.92511000000002</v>
      </c>
      <c r="F523">
        <v>619.47491000000002</v>
      </c>
      <c r="G523">
        <v>1608298526</v>
      </c>
      <c r="H523" t="s">
        <v>20</v>
      </c>
    </row>
    <row r="524" spans="1:8" x14ac:dyDescent="0.3">
      <c r="A524" t="s">
        <v>107</v>
      </c>
      <c r="B524" t="s">
        <v>9</v>
      </c>
      <c r="C524">
        <v>0.70555000000000001</v>
      </c>
      <c r="D524">
        <v>0.71118999999999999</v>
      </c>
      <c r="E524">
        <v>0.66119000000000006</v>
      </c>
      <c r="F524">
        <v>0.67391999999999996</v>
      </c>
      <c r="G524">
        <v>643130134</v>
      </c>
      <c r="H524" t="s">
        <v>10</v>
      </c>
    </row>
    <row r="525" spans="1:8" x14ac:dyDescent="0.3">
      <c r="A525" t="s">
        <v>107</v>
      </c>
      <c r="B525" t="s">
        <v>11</v>
      </c>
      <c r="C525">
        <v>84352.070309999996</v>
      </c>
      <c r="D525">
        <v>84567.335940000004</v>
      </c>
      <c r="E525">
        <v>81634.140629999994</v>
      </c>
      <c r="F525">
        <v>82597.585940000004</v>
      </c>
      <c r="G525">
        <v>16969396135</v>
      </c>
      <c r="H525" t="s">
        <v>12</v>
      </c>
    </row>
    <row r="526" spans="1:8" x14ac:dyDescent="0.3">
      <c r="A526" t="s">
        <v>107</v>
      </c>
      <c r="B526" t="s">
        <v>13</v>
      </c>
      <c r="C526">
        <v>129.42451</v>
      </c>
      <c r="D526">
        <v>130.38050999999999</v>
      </c>
      <c r="E526">
        <v>123.07389000000001</v>
      </c>
      <c r="F526">
        <v>124.58765</v>
      </c>
      <c r="G526">
        <v>2253256988</v>
      </c>
      <c r="H526" t="s">
        <v>14</v>
      </c>
    </row>
    <row r="527" spans="1:8" x14ac:dyDescent="0.3">
      <c r="A527" t="s">
        <v>107</v>
      </c>
      <c r="B527" t="s">
        <v>15</v>
      </c>
      <c r="C527">
        <v>2.2041499999999998</v>
      </c>
      <c r="D527">
        <v>2.2213699999999998</v>
      </c>
      <c r="E527">
        <v>2.06473</v>
      </c>
      <c r="F527">
        <v>2.1399499999999998</v>
      </c>
      <c r="G527">
        <v>3914811653</v>
      </c>
      <c r="H527" t="s">
        <v>16</v>
      </c>
    </row>
    <row r="528" spans="1:8" x14ac:dyDescent="0.3">
      <c r="A528" t="s">
        <v>107</v>
      </c>
      <c r="B528" t="s">
        <v>17</v>
      </c>
      <c r="C528">
        <v>1895.5496800000001</v>
      </c>
      <c r="D528">
        <v>1911.9008799999999</v>
      </c>
      <c r="E528">
        <v>1799.20081</v>
      </c>
      <c r="F528">
        <v>1827.3203100000001</v>
      </c>
      <c r="G528">
        <v>12194771785</v>
      </c>
      <c r="H528" t="s">
        <v>18</v>
      </c>
    </row>
    <row r="529" spans="1:8" x14ac:dyDescent="0.3">
      <c r="A529" t="s">
        <v>107</v>
      </c>
      <c r="B529" t="s">
        <v>19</v>
      </c>
      <c r="C529">
        <v>619.47460999999998</v>
      </c>
      <c r="D529">
        <v>623.2124</v>
      </c>
      <c r="E529">
        <v>598.21880999999996</v>
      </c>
      <c r="F529">
        <v>603.23784999999998</v>
      </c>
      <c r="G529">
        <v>1367332800</v>
      </c>
      <c r="H529" t="s">
        <v>20</v>
      </c>
    </row>
    <row r="530" spans="1:8" x14ac:dyDescent="0.3">
      <c r="A530" t="s">
        <v>108</v>
      </c>
      <c r="B530" t="s">
        <v>9</v>
      </c>
      <c r="C530">
        <v>0.67391000000000001</v>
      </c>
      <c r="D530">
        <v>0.68672</v>
      </c>
      <c r="E530">
        <v>0.65210000000000001</v>
      </c>
      <c r="F530">
        <v>0.66071000000000002</v>
      </c>
      <c r="G530">
        <v>489882249</v>
      </c>
      <c r="H530" t="s">
        <v>10</v>
      </c>
    </row>
    <row r="531" spans="1:8" x14ac:dyDescent="0.3">
      <c r="A531" t="s">
        <v>108</v>
      </c>
      <c r="B531" t="s">
        <v>11</v>
      </c>
      <c r="C531">
        <v>82596.984379999994</v>
      </c>
      <c r="D531">
        <v>83505</v>
      </c>
      <c r="E531">
        <v>81573.25</v>
      </c>
      <c r="F531">
        <v>82334.523440000004</v>
      </c>
      <c r="G531">
        <v>14763760943</v>
      </c>
      <c r="H531" t="s">
        <v>12</v>
      </c>
    </row>
    <row r="532" spans="1:8" x14ac:dyDescent="0.3">
      <c r="A532" t="s">
        <v>108</v>
      </c>
      <c r="B532" t="s">
        <v>13</v>
      </c>
      <c r="C532">
        <v>124.58649</v>
      </c>
      <c r="D532">
        <v>126.62339</v>
      </c>
      <c r="E532">
        <v>123.30076</v>
      </c>
      <c r="F532">
        <v>124.64263</v>
      </c>
      <c r="G532">
        <v>1639017444</v>
      </c>
      <c r="H532" t="s">
        <v>14</v>
      </c>
    </row>
    <row r="533" spans="1:8" x14ac:dyDescent="0.3">
      <c r="A533" t="s">
        <v>108</v>
      </c>
      <c r="B533" t="s">
        <v>15</v>
      </c>
      <c r="C533">
        <v>2.14</v>
      </c>
      <c r="D533">
        <v>2.2110300000000001</v>
      </c>
      <c r="E533">
        <v>2.1110899999999999</v>
      </c>
      <c r="F533">
        <v>2.1361400000000001</v>
      </c>
      <c r="G533">
        <v>2826918737</v>
      </c>
      <c r="H533" t="s">
        <v>16</v>
      </c>
    </row>
    <row r="534" spans="1:8" x14ac:dyDescent="0.3">
      <c r="A534" t="s">
        <v>108</v>
      </c>
      <c r="B534" t="s">
        <v>17</v>
      </c>
      <c r="C534">
        <v>1827.31104</v>
      </c>
      <c r="D534">
        <v>1847.5705599999999</v>
      </c>
      <c r="E534">
        <v>1769.41272</v>
      </c>
      <c r="F534">
        <v>1806.2186300000001</v>
      </c>
      <c r="G534">
        <v>9854857162</v>
      </c>
      <c r="H534" t="s">
        <v>18</v>
      </c>
    </row>
    <row r="535" spans="1:8" x14ac:dyDescent="0.3">
      <c r="A535" t="s">
        <v>108</v>
      </c>
      <c r="B535" t="s">
        <v>19</v>
      </c>
      <c r="C535">
        <v>603.19135000000006</v>
      </c>
      <c r="D535">
        <v>612.78936999999996</v>
      </c>
      <c r="E535">
        <v>594.21436000000006</v>
      </c>
      <c r="F535">
        <v>601.83019999999999</v>
      </c>
      <c r="G535">
        <v>1204098085</v>
      </c>
      <c r="H535" t="s">
        <v>20</v>
      </c>
    </row>
    <row r="536" spans="1:8" x14ac:dyDescent="0.3">
      <c r="A536" t="s">
        <v>109</v>
      </c>
      <c r="B536" t="s">
        <v>9</v>
      </c>
      <c r="C536">
        <v>0.66069999999999995</v>
      </c>
      <c r="D536">
        <v>0.66371999999999998</v>
      </c>
      <c r="E536">
        <v>0.63121000000000005</v>
      </c>
      <c r="F536">
        <v>0.66144999999999998</v>
      </c>
      <c r="G536">
        <v>754677195</v>
      </c>
      <c r="H536" t="s">
        <v>10</v>
      </c>
    </row>
    <row r="537" spans="1:8" x14ac:dyDescent="0.3">
      <c r="A537" t="s">
        <v>109</v>
      </c>
      <c r="B537" t="s">
        <v>11</v>
      </c>
      <c r="C537">
        <v>82336.0625</v>
      </c>
      <c r="D537">
        <v>83870.125</v>
      </c>
      <c r="E537">
        <v>81293.890629999994</v>
      </c>
      <c r="F537">
        <v>82548.914059999996</v>
      </c>
      <c r="G537">
        <v>29004228247</v>
      </c>
      <c r="H537" t="s">
        <v>12</v>
      </c>
    </row>
    <row r="538" spans="1:8" x14ac:dyDescent="0.3">
      <c r="A538" t="s">
        <v>109</v>
      </c>
      <c r="B538" t="s">
        <v>13</v>
      </c>
      <c r="C538">
        <v>124.64403</v>
      </c>
      <c r="D538">
        <v>127.6969</v>
      </c>
      <c r="E538">
        <v>123.07924</v>
      </c>
      <c r="F538">
        <v>124.69413</v>
      </c>
      <c r="G538">
        <v>3206702485</v>
      </c>
      <c r="H538" t="s">
        <v>14</v>
      </c>
    </row>
    <row r="539" spans="1:8" x14ac:dyDescent="0.3">
      <c r="A539" t="s">
        <v>109</v>
      </c>
      <c r="B539" t="s">
        <v>15</v>
      </c>
      <c r="C539">
        <v>2.1361400000000001</v>
      </c>
      <c r="D539">
        <v>2.1373199999999999</v>
      </c>
      <c r="E539">
        <v>2.0272399999999999</v>
      </c>
      <c r="F539">
        <v>2.0899000000000001</v>
      </c>
      <c r="G539">
        <v>4506662719</v>
      </c>
      <c r="H539" t="s">
        <v>16</v>
      </c>
    </row>
    <row r="540" spans="1:8" x14ac:dyDescent="0.3">
      <c r="A540" t="s">
        <v>109</v>
      </c>
      <c r="B540" t="s">
        <v>17</v>
      </c>
      <c r="C540">
        <v>1806.3165300000001</v>
      </c>
      <c r="D540">
        <v>1852.5513900000001</v>
      </c>
      <c r="E540">
        <v>1778.69226</v>
      </c>
      <c r="F540">
        <v>1823.4799800000001</v>
      </c>
      <c r="G540">
        <v>15765030938</v>
      </c>
      <c r="H540" t="s">
        <v>18</v>
      </c>
    </row>
    <row r="541" spans="1:8" x14ac:dyDescent="0.3">
      <c r="A541" t="s">
        <v>109</v>
      </c>
      <c r="B541" t="s">
        <v>19</v>
      </c>
      <c r="C541">
        <v>601.83019999999999</v>
      </c>
      <c r="D541">
        <v>608.50109999999995</v>
      </c>
      <c r="E541">
        <v>588.08618000000001</v>
      </c>
      <c r="F541">
        <v>605.07281</v>
      </c>
      <c r="G541">
        <v>1538796118</v>
      </c>
      <c r="H541" t="s">
        <v>20</v>
      </c>
    </row>
    <row r="542" spans="1:8" x14ac:dyDescent="0.3">
      <c r="A542" t="s">
        <v>110</v>
      </c>
      <c r="B542" t="s">
        <v>9</v>
      </c>
      <c r="C542">
        <v>0.66144999999999998</v>
      </c>
      <c r="D542">
        <v>0.69262999999999997</v>
      </c>
      <c r="E542">
        <v>0.65912000000000004</v>
      </c>
      <c r="F542">
        <v>0.67764999999999997</v>
      </c>
      <c r="G542">
        <v>688019564</v>
      </c>
      <c r="H542" t="s">
        <v>10</v>
      </c>
    </row>
    <row r="543" spans="1:8" x14ac:dyDescent="0.3">
      <c r="A543" t="s">
        <v>110</v>
      </c>
      <c r="B543" t="s">
        <v>11</v>
      </c>
      <c r="C543">
        <v>82551.921879999994</v>
      </c>
      <c r="D543">
        <v>85487.367190000004</v>
      </c>
      <c r="E543">
        <v>82429.359379999994</v>
      </c>
      <c r="F543">
        <v>85169.171879999994</v>
      </c>
      <c r="G543">
        <v>28175650319</v>
      </c>
      <c r="H543" t="s">
        <v>12</v>
      </c>
    </row>
    <row r="544" spans="1:8" x14ac:dyDescent="0.3">
      <c r="A544" t="s">
        <v>110</v>
      </c>
      <c r="B544" t="s">
        <v>13</v>
      </c>
      <c r="C544">
        <v>124.69534</v>
      </c>
      <c r="D544">
        <v>130.03242</v>
      </c>
      <c r="E544">
        <v>123.94904</v>
      </c>
      <c r="F544">
        <v>126.68237999999999</v>
      </c>
      <c r="G544">
        <v>2993289339</v>
      </c>
      <c r="H544" t="s">
        <v>14</v>
      </c>
    </row>
    <row r="545" spans="1:8" x14ac:dyDescent="0.3">
      <c r="A545" t="s">
        <v>110</v>
      </c>
      <c r="B545" t="s">
        <v>15</v>
      </c>
      <c r="C545">
        <v>2.0899299999999998</v>
      </c>
      <c r="D545">
        <v>2.1927300000000001</v>
      </c>
      <c r="E545">
        <v>2.0682299999999998</v>
      </c>
      <c r="F545">
        <v>2.1396099999999998</v>
      </c>
      <c r="G545">
        <v>4034254494</v>
      </c>
      <c r="H545" t="s">
        <v>16</v>
      </c>
    </row>
    <row r="546" spans="1:8" x14ac:dyDescent="0.3">
      <c r="A546" t="s">
        <v>110</v>
      </c>
      <c r="B546" t="s">
        <v>17</v>
      </c>
      <c r="C546">
        <v>1823.5623800000001</v>
      </c>
      <c r="D546">
        <v>1926.3029799999999</v>
      </c>
      <c r="E546">
        <v>1820.35034</v>
      </c>
      <c r="F546">
        <v>1905.49146</v>
      </c>
      <c r="G546">
        <v>15001220420</v>
      </c>
      <c r="H546" t="s">
        <v>18</v>
      </c>
    </row>
    <row r="547" spans="1:8" x14ac:dyDescent="0.3">
      <c r="A547" t="s">
        <v>110</v>
      </c>
      <c r="B547" t="s">
        <v>19</v>
      </c>
      <c r="C547">
        <v>605.07281</v>
      </c>
      <c r="D547">
        <v>618.12378000000001</v>
      </c>
      <c r="E547">
        <v>604.75476000000003</v>
      </c>
      <c r="F547">
        <v>611.29711999999995</v>
      </c>
      <c r="G547">
        <v>2091803391</v>
      </c>
      <c r="H547" t="s">
        <v>20</v>
      </c>
    </row>
    <row r="548" spans="1:8" x14ac:dyDescent="0.3">
      <c r="A548" t="s">
        <v>111</v>
      </c>
      <c r="B548" t="s">
        <v>9</v>
      </c>
      <c r="C548">
        <v>0.67764999999999997</v>
      </c>
      <c r="D548">
        <v>0.70562999999999998</v>
      </c>
      <c r="E548">
        <v>0.63717999999999997</v>
      </c>
      <c r="F548">
        <v>0.64163999999999999</v>
      </c>
      <c r="G548">
        <v>969234908</v>
      </c>
      <c r="H548" t="s">
        <v>10</v>
      </c>
    </row>
    <row r="549" spans="1:8" x14ac:dyDescent="0.3">
      <c r="A549" t="s">
        <v>111</v>
      </c>
      <c r="B549" t="s">
        <v>11</v>
      </c>
      <c r="C549">
        <v>85180.609379999994</v>
      </c>
      <c r="D549">
        <v>88466.953129999994</v>
      </c>
      <c r="E549">
        <v>82343.539059999996</v>
      </c>
      <c r="F549">
        <v>82485.710940000004</v>
      </c>
      <c r="G549">
        <v>47584398470</v>
      </c>
      <c r="H549" t="s">
        <v>12</v>
      </c>
    </row>
    <row r="550" spans="1:8" x14ac:dyDescent="0.3">
      <c r="A550" t="s">
        <v>111</v>
      </c>
      <c r="B550" t="s">
        <v>13</v>
      </c>
      <c r="C550">
        <v>126.67959999999999</v>
      </c>
      <c r="D550">
        <v>135.69578999999999</v>
      </c>
      <c r="E550">
        <v>117.74428</v>
      </c>
      <c r="F550">
        <v>117.75763000000001</v>
      </c>
      <c r="G550">
        <v>5399672438</v>
      </c>
      <c r="H550" t="s">
        <v>14</v>
      </c>
    </row>
    <row r="551" spans="1:8" x14ac:dyDescent="0.3">
      <c r="A551" t="s">
        <v>111</v>
      </c>
      <c r="B551" t="s">
        <v>15</v>
      </c>
      <c r="C551">
        <v>2.1395900000000001</v>
      </c>
      <c r="D551">
        <v>2.2213099999999999</v>
      </c>
      <c r="E551">
        <v>1.99112</v>
      </c>
      <c r="F551">
        <v>2.0250699999999999</v>
      </c>
      <c r="G551">
        <v>5687620993</v>
      </c>
      <c r="H551" t="s">
        <v>16</v>
      </c>
    </row>
    <row r="552" spans="1:8" x14ac:dyDescent="0.3">
      <c r="A552" t="s">
        <v>111</v>
      </c>
      <c r="B552" t="s">
        <v>17</v>
      </c>
      <c r="C552">
        <v>1905.4846199999999</v>
      </c>
      <c r="D552">
        <v>1951.1803</v>
      </c>
      <c r="E552">
        <v>1782.76025</v>
      </c>
      <c r="F552">
        <v>1795.31323</v>
      </c>
      <c r="G552">
        <v>22593742104</v>
      </c>
      <c r="H552" t="s">
        <v>18</v>
      </c>
    </row>
    <row r="553" spans="1:8" x14ac:dyDescent="0.3">
      <c r="A553" t="s">
        <v>111</v>
      </c>
      <c r="B553" t="s">
        <v>19</v>
      </c>
      <c r="C553">
        <v>611.29711999999995</v>
      </c>
      <c r="D553">
        <v>611.51819</v>
      </c>
      <c r="E553">
        <v>585.12189000000001</v>
      </c>
      <c r="F553">
        <v>590.63756999999998</v>
      </c>
      <c r="G553">
        <v>1835749587</v>
      </c>
      <c r="H553" t="s">
        <v>20</v>
      </c>
    </row>
    <row r="554" spans="1:8" x14ac:dyDescent="0.3">
      <c r="A554" t="s">
        <v>112</v>
      </c>
      <c r="B554" t="s">
        <v>9</v>
      </c>
      <c r="C554">
        <v>0.64159999999999995</v>
      </c>
      <c r="D554">
        <v>0.65624000000000005</v>
      </c>
      <c r="E554">
        <v>0.61521999999999999</v>
      </c>
      <c r="F554">
        <v>0.65005999999999997</v>
      </c>
      <c r="G554">
        <v>873870076</v>
      </c>
      <c r="H554" t="s">
        <v>10</v>
      </c>
    </row>
    <row r="555" spans="1:8" x14ac:dyDescent="0.3">
      <c r="A555" t="s">
        <v>112</v>
      </c>
      <c r="B555" t="s">
        <v>11</v>
      </c>
      <c r="C555">
        <v>82487.476559999996</v>
      </c>
      <c r="D555">
        <v>83909.296879999994</v>
      </c>
      <c r="E555">
        <v>81282.101559999996</v>
      </c>
      <c r="F555">
        <v>83102.828129999994</v>
      </c>
      <c r="G555">
        <v>36852112080</v>
      </c>
      <c r="H555" t="s">
        <v>12</v>
      </c>
    </row>
    <row r="556" spans="1:8" x14ac:dyDescent="0.3">
      <c r="A556" t="s">
        <v>112</v>
      </c>
      <c r="B556" t="s">
        <v>13</v>
      </c>
      <c r="C556">
        <v>117.7492</v>
      </c>
      <c r="D556">
        <v>120.78982999999999</v>
      </c>
      <c r="E556">
        <v>112.47826000000001</v>
      </c>
      <c r="F556">
        <v>117.06144999999999</v>
      </c>
      <c r="G556">
        <v>4633002432</v>
      </c>
      <c r="H556" t="s">
        <v>14</v>
      </c>
    </row>
    <row r="557" spans="1:8" x14ac:dyDescent="0.3">
      <c r="A557" t="s">
        <v>112</v>
      </c>
      <c r="B557" t="s">
        <v>15</v>
      </c>
      <c r="C557">
        <v>2.0249999999999999</v>
      </c>
      <c r="D557">
        <v>2.07986</v>
      </c>
      <c r="E557">
        <v>1.9658100000000001</v>
      </c>
      <c r="F557">
        <v>2.0624699999999998</v>
      </c>
      <c r="G557">
        <v>5385004807</v>
      </c>
      <c r="H557" t="s">
        <v>16</v>
      </c>
    </row>
    <row r="558" spans="1:8" x14ac:dyDescent="0.3">
      <c r="A558" t="s">
        <v>112</v>
      </c>
      <c r="B558" t="s">
        <v>17</v>
      </c>
      <c r="C558">
        <v>1794.9760699999999</v>
      </c>
      <c r="D558">
        <v>1844.07105</v>
      </c>
      <c r="E558">
        <v>1751.38086</v>
      </c>
      <c r="F558">
        <v>1815.6372100000001</v>
      </c>
      <c r="G558">
        <v>16450974373</v>
      </c>
      <c r="H558" t="s">
        <v>18</v>
      </c>
    </row>
    <row r="559" spans="1:8" x14ac:dyDescent="0.3">
      <c r="A559" t="s">
        <v>112</v>
      </c>
      <c r="B559" t="s">
        <v>19</v>
      </c>
      <c r="C559">
        <v>590.63756999999998</v>
      </c>
      <c r="D559">
        <v>609.34466999999995</v>
      </c>
      <c r="E559">
        <v>579.44408999999996</v>
      </c>
      <c r="F559">
        <v>592.12445000000002</v>
      </c>
      <c r="G559">
        <v>2067033502</v>
      </c>
      <c r="H559" t="s">
        <v>20</v>
      </c>
    </row>
    <row r="560" spans="1:8" x14ac:dyDescent="0.3">
      <c r="A560" t="s">
        <v>113</v>
      </c>
      <c r="B560" t="s">
        <v>9</v>
      </c>
      <c r="C560">
        <v>0.65005999999999997</v>
      </c>
      <c r="D560">
        <v>0.66852999999999996</v>
      </c>
      <c r="E560">
        <v>0.62968999999999997</v>
      </c>
      <c r="F560">
        <v>0.66044999999999998</v>
      </c>
      <c r="G560">
        <v>934938981</v>
      </c>
      <c r="H560" t="s">
        <v>10</v>
      </c>
    </row>
    <row r="561" spans="1:8" x14ac:dyDescent="0.3">
      <c r="A561" t="s">
        <v>113</v>
      </c>
      <c r="B561" t="s">
        <v>11</v>
      </c>
      <c r="C561">
        <v>83100.25</v>
      </c>
      <c r="D561">
        <v>84696.148440000004</v>
      </c>
      <c r="E561">
        <v>81670.75</v>
      </c>
      <c r="F561">
        <v>83843.804690000004</v>
      </c>
      <c r="G561">
        <v>45157640207</v>
      </c>
      <c r="H561" t="s">
        <v>12</v>
      </c>
    </row>
    <row r="562" spans="1:8" x14ac:dyDescent="0.3">
      <c r="A562" t="s">
        <v>113</v>
      </c>
      <c r="B562" t="s">
        <v>13</v>
      </c>
      <c r="C562">
        <v>117.06480999999999</v>
      </c>
      <c r="D562">
        <v>123.9006</v>
      </c>
      <c r="E562">
        <v>113.60323</v>
      </c>
      <c r="F562">
        <v>122.78688</v>
      </c>
      <c r="G562">
        <v>5182517335</v>
      </c>
      <c r="H562" t="s">
        <v>14</v>
      </c>
    </row>
    <row r="563" spans="1:8" x14ac:dyDescent="0.3">
      <c r="A563" t="s">
        <v>113</v>
      </c>
      <c r="B563" t="s">
        <v>15</v>
      </c>
      <c r="C563">
        <v>2.06243</v>
      </c>
      <c r="D563">
        <v>2.15062</v>
      </c>
      <c r="E563">
        <v>2.02251</v>
      </c>
      <c r="F563">
        <v>2.1289600000000002</v>
      </c>
      <c r="G563">
        <v>5503342771</v>
      </c>
      <c r="H563" t="s">
        <v>16</v>
      </c>
    </row>
    <row r="564" spans="1:8" x14ac:dyDescent="0.3">
      <c r="A564" t="s">
        <v>113</v>
      </c>
      <c r="B564" t="s">
        <v>17</v>
      </c>
      <c r="C564">
        <v>1815.60986</v>
      </c>
      <c r="D564">
        <v>1833.95679</v>
      </c>
      <c r="E564">
        <v>1760.58862</v>
      </c>
      <c r="F564">
        <v>1815.33521</v>
      </c>
      <c r="G564">
        <v>18061720814</v>
      </c>
      <c r="H564" t="s">
        <v>18</v>
      </c>
    </row>
    <row r="565" spans="1:8" x14ac:dyDescent="0.3">
      <c r="A565" t="s">
        <v>113</v>
      </c>
      <c r="B565" t="s">
        <v>19</v>
      </c>
      <c r="C565">
        <v>592.12372000000005</v>
      </c>
      <c r="D565">
        <v>599.47986000000003</v>
      </c>
      <c r="E565">
        <v>585.35393999999997</v>
      </c>
      <c r="F565">
        <v>597.57941000000005</v>
      </c>
      <c r="G565">
        <v>1520730677</v>
      </c>
      <c r="H565" t="s">
        <v>20</v>
      </c>
    </row>
    <row r="566" spans="1:8" x14ac:dyDescent="0.3">
      <c r="A566" t="s">
        <v>114</v>
      </c>
      <c r="B566" t="s">
        <v>9</v>
      </c>
      <c r="C566">
        <v>0.66044000000000003</v>
      </c>
      <c r="D566">
        <v>0.66639999999999999</v>
      </c>
      <c r="E566">
        <v>0.64575000000000005</v>
      </c>
      <c r="F566">
        <v>0.65466999999999997</v>
      </c>
      <c r="G566">
        <v>403628594</v>
      </c>
      <c r="H566" t="s">
        <v>10</v>
      </c>
    </row>
    <row r="567" spans="1:8" x14ac:dyDescent="0.3">
      <c r="A567" t="s">
        <v>114</v>
      </c>
      <c r="B567" t="s">
        <v>11</v>
      </c>
      <c r="C567">
        <v>83844.703129999994</v>
      </c>
      <c r="D567">
        <v>84207.015629999994</v>
      </c>
      <c r="E567">
        <v>82377.734379999994</v>
      </c>
      <c r="F567">
        <v>83504.796879999994</v>
      </c>
      <c r="G567">
        <v>14380803631</v>
      </c>
      <c r="H567" t="s">
        <v>12</v>
      </c>
    </row>
    <row r="568" spans="1:8" x14ac:dyDescent="0.3">
      <c r="A568" t="s">
        <v>114</v>
      </c>
      <c r="B568" t="s">
        <v>13</v>
      </c>
      <c r="C568">
        <v>122.78643</v>
      </c>
      <c r="D568">
        <v>122.78691000000001</v>
      </c>
      <c r="E568">
        <v>117.1888</v>
      </c>
      <c r="F568">
        <v>120.259</v>
      </c>
      <c r="G568">
        <v>1667996329</v>
      </c>
      <c r="H568" t="s">
        <v>14</v>
      </c>
    </row>
    <row r="569" spans="1:8" x14ac:dyDescent="0.3">
      <c r="A569" t="s">
        <v>114</v>
      </c>
      <c r="B569" t="s">
        <v>15</v>
      </c>
      <c r="C569">
        <v>2.1289500000000001</v>
      </c>
      <c r="D569">
        <v>2.1709399999999999</v>
      </c>
      <c r="E569">
        <v>2.1146799999999999</v>
      </c>
      <c r="F569">
        <v>2.1437300000000001</v>
      </c>
      <c r="G569">
        <v>2089759530</v>
      </c>
      <c r="H569" t="s">
        <v>16</v>
      </c>
    </row>
    <row r="570" spans="1:8" x14ac:dyDescent="0.3">
      <c r="A570" t="s">
        <v>114</v>
      </c>
      <c r="B570" t="s">
        <v>17</v>
      </c>
      <c r="C570">
        <v>1815.3449700000001</v>
      </c>
      <c r="D570">
        <v>1826.2985799999999</v>
      </c>
      <c r="E570">
        <v>1767.5135499999999</v>
      </c>
      <c r="F570">
        <v>1805.97327</v>
      </c>
      <c r="G570">
        <v>6374712479</v>
      </c>
      <c r="H570" t="s">
        <v>18</v>
      </c>
    </row>
    <row r="571" spans="1:8" x14ac:dyDescent="0.3">
      <c r="A571" t="s">
        <v>114</v>
      </c>
      <c r="B571" t="s">
        <v>19</v>
      </c>
      <c r="C571">
        <v>597.57928000000004</v>
      </c>
      <c r="D571">
        <v>598.54633000000001</v>
      </c>
      <c r="E571">
        <v>589.93298000000004</v>
      </c>
      <c r="F571">
        <v>593.11487</v>
      </c>
      <c r="G571">
        <v>1008300251</v>
      </c>
      <c r="H571" t="s">
        <v>20</v>
      </c>
    </row>
    <row r="572" spans="1:8" x14ac:dyDescent="0.3">
      <c r="A572" t="s">
        <v>115</v>
      </c>
      <c r="B572" t="s">
        <v>9</v>
      </c>
      <c r="C572">
        <v>0.65466999999999997</v>
      </c>
      <c r="D572">
        <v>0.65476000000000001</v>
      </c>
      <c r="E572">
        <v>0.56179000000000001</v>
      </c>
      <c r="F572">
        <v>0.57279000000000002</v>
      </c>
      <c r="G572">
        <v>943427756</v>
      </c>
      <c r="H572" t="s">
        <v>10</v>
      </c>
    </row>
    <row r="573" spans="1:8" x14ac:dyDescent="0.3">
      <c r="A573" t="s">
        <v>115</v>
      </c>
      <c r="B573" t="s">
        <v>11</v>
      </c>
      <c r="C573">
        <v>83504.507809999996</v>
      </c>
      <c r="D573">
        <v>83704.71875</v>
      </c>
      <c r="E573">
        <v>77097.742190000004</v>
      </c>
      <c r="F573">
        <v>78214.484379999994</v>
      </c>
      <c r="G573">
        <v>36294853736</v>
      </c>
      <c r="H573" t="s">
        <v>12</v>
      </c>
    </row>
    <row r="574" spans="1:8" x14ac:dyDescent="0.3">
      <c r="A574" t="s">
        <v>115</v>
      </c>
      <c r="B574" t="s">
        <v>13</v>
      </c>
      <c r="C574">
        <v>120.25851</v>
      </c>
      <c r="D574">
        <v>120.93268</v>
      </c>
      <c r="E574">
        <v>104.00413</v>
      </c>
      <c r="F574">
        <v>105.71201000000001</v>
      </c>
      <c r="G574">
        <v>3822458629</v>
      </c>
      <c r="H574" t="s">
        <v>14</v>
      </c>
    </row>
    <row r="575" spans="1:8" x14ac:dyDescent="0.3">
      <c r="A575" t="s">
        <v>115</v>
      </c>
      <c r="B575" t="s">
        <v>15</v>
      </c>
      <c r="C575">
        <v>2.1437200000000001</v>
      </c>
      <c r="D575">
        <v>2.1564800000000002</v>
      </c>
      <c r="E575">
        <v>1.86914</v>
      </c>
      <c r="F575">
        <v>1.9178900000000001</v>
      </c>
      <c r="G575">
        <v>5158671865</v>
      </c>
      <c r="H575" t="s">
        <v>16</v>
      </c>
    </row>
    <row r="576" spans="1:8" x14ac:dyDescent="0.3">
      <c r="A576" t="s">
        <v>115</v>
      </c>
      <c r="B576" t="s">
        <v>17</v>
      </c>
      <c r="C576">
        <v>1805.9630099999999</v>
      </c>
      <c r="D576">
        <v>1815.57483</v>
      </c>
      <c r="E576">
        <v>1539.4379899999999</v>
      </c>
      <c r="F576">
        <v>1576.72803</v>
      </c>
      <c r="G576">
        <v>22154445576</v>
      </c>
      <c r="H576" t="s">
        <v>18</v>
      </c>
    </row>
    <row r="577" spans="1:8" x14ac:dyDescent="0.3">
      <c r="A577" t="s">
        <v>115</v>
      </c>
      <c r="B577" t="s">
        <v>19</v>
      </c>
      <c r="C577">
        <v>593.13878999999997</v>
      </c>
      <c r="D577">
        <v>593.46149000000003</v>
      </c>
      <c r="E577">
        <v>545.32268999999997</v>
      </c>
      <c r="F577">
        <v>554.59491000000003</v>
      </c>
      <c r="G577">
        <v>1679604717</v>
      </c>
      <c r="H577" t="s">
        <v>20</v>
      </c>
    </row>
    <row r="578" spans="1:8" x14ac:dyDescent="0.3">
      <c r="A578" t="s">
        <v>116</v>
      </c>
      <c r="B578" t="s">
        <v>9</v>
      </c>
      <c r="C578">
        <v>0.57279999999999998</v>
      </c>
      <c r="D578">
        <v>0.59662000000000004</v>
      </c>
      <c r="E578">
        <v>0.51622999999999997</v>
      </c>
      <c r="F578">
        <v>0.58543000000000001</v>
      </c>
      <c r="G578">
        <v>1985606963</v>
      </c>
      <c r="H578" t="s">
        <v>10</v>
      </c>
    </row>
    <row r="579" spans="1:8" x14ac:dyDescent="0.3">
      <c r="A579" t="s">
        <v>116</v>
      </c>
      <c r="B579" t="s">
        <v>11</v>
      </c>
      <c r="C579">
        <v>78221.335940000004</v>
      </c>
      <c r="D579">
        <v>81119.0625</v>
      </c>
      <c r="E579">
        <v>74436.679690000004</v>
      </c>
      <c r="F579">
        <v>79235.335940000004</v>
      </c>
      <c r="G579">
        <v>91262424987</v>
      </c>
      <c r="H579" t="s">
        <v>12</v>
      </c>
    </row>
    <row r="580" spans="1:8" x14ac:dyDescent="0.3">
      <c r="A580" t="s">
        <v>116</v>
      </c>
      <c r="B580" t="s">
        <v>13</v>
      </c>
      <c r="C580">
        <v>105.71201000000001</v>
      </c>
      <c r="D580">
        <v>111.47198</v>
      </c>
      <c r="E580">
        <v>96.588070000000002</v>
      </c>
      <c r="F580">
        <v>106.90278000000001</v>
      </c>
      <c r="G580">
        <v>8644174246</v>
      </c>
      <c r="H580" t="s">
        <v>14</v>
      </c>
    </row>
    <row r="581" spans="1:8" x14ac:dyDescent="0.3">
      <c r="A581" t="s">
        <v>116</v>
      </c>
      <c r="B581" t="s">
        <v>15</v>
      </c>
      <c r="C581">
        <v>1.9178900000000001</v>
      </c>
      <c r="D581">
        <v>1.99288</v>
      </c>
      <c r="E581">
        <v>1.64009</v>
      </c>
      <c r="F581">
        <v>1.89775</v>
      </c>
      <c r="G581">
        <v>14383598177</v>
      </c>
      <c r="H581" t="s">
        <v>16</v>
      </c>
    </row>
    <row r="582" spans="1:8" x14ac:dyDescent="0.3">
      <c r="A582" t="s">
        <v>116</v>
      </c>
      <c r="B582" t="s">
        <v>17</v>
      </c>
      <c r="C582">
        <v>1576.94983</v>
      </c>
      <c r="D582">
        <v>1634.04114</v>
      </c>
      <c r="E582">
        <v>1415.37354</v>
      </c>
      <c r="F582">
        <v>1555.2409700000001</v>
      </c>
      <c r="G582">
        <v>46073959047</v>
      </c>
      <c r="H582" t="s">
        <v>18</v>
      </c>
    </row>
    <row r="583" spans="1:8" x14ac:dyDescent="0.3">
      <c r="A583" t="s">
        <v>116</v>
      </c>
      <c r="B583" t="s">
        <v>19</v>
      </c>
      <c r="C583">
        <v>554.59491000000003</v>
      </c>
      <c r="D583">
        <v>564.79241999999999</v>
      </c>
      <c r="E583">
        <v>522.71576000000005</v>
      </c>
      <c r="F583">
        <v>554.48339999999996</v>
      </c>
      <c r="G583">
        <v>2852045942</v>
      </c>
      <c r="H583" t="s">
        <v>20</v>
      </c>
    </row>
    <row r="584" spans="1:8" x14ac:dyDescent="0.3">
      <c r="A584" t="s">
        <v>117</v>
      </c>
      <c r="B584" t="s">
        <v>9</v>
      </c>
      <c r="C584">
        <v>0.58543000000000001</v>
      </c>
      <c r="D584">
        <v>0.61665999999999999</v>
      </c>
      <c r="E584">
        <v>0.55442999999999998</v>
      </c>
      <c r="F584">
        <v>0.55789</v>
      </c>
      <c r="G584">
        <v>1249643862</v>
      </c>
      <c r="H584" t="s">
        <v>10</v>
      </c>
    </row>
    <row r="585" spans="1:8" x14ac:dyDescent="0.3">
      <c r="A585" t="s">
        <v>117</v>
      </c>
      <c r="B585" t="s">
        <v>11</v>
      </c>
      <c r="C585">
        <v>79218.476559999996</v>
      </c>
      <c r="D585">
        <v>80823.890629999994</v>
      </c>
      <c r="E585">
        <v>76198.023440000004</v>
      </c>
      <c r="F585">
        <v>76271.953129999994</v>
      </c>
      <c r="G585">
        <v>48314590749</v>
      </c>
      <c r="H585" t="s">
        <v>12</v>
      </c>
    </row>
    <row r="586" spans="1:8" x14ac:dyDescent="0.3">
      <c r="A586" t="s">
        <v>117</v>
      </c>
      <c r="B586" t="s">
        <v>13</v>
      </c>
      <c r="C586">
        <v>106.90527</v>
      </c>
      <c r="D586">
        <v>112.29893</v>
      </c>
      <c r="E586">
        <v>103.14452</v>
      </c>
      <c r="F586">
        <v>105.51219</v>
      </c>
      <c r="G586">
        <v>5353641480</v>
      </c>
      <c r="H586" t="s">
        <v>14</v>
      </c>
    </row>
    <row r="587" spans="1:8" x14ac:dyDescent="0.3">
      <c r="A587" t="s">
        <v>117</v>
      </c>
      <c r="B587" t="s">
        <v>15</v>
      </c>
      <c r="C587">
        <v>1.89775</v>
      </c>
      <c r="D587">
        <v>1.9660500000000001</v>
      </c>
      <c r="E587">
        <v>1.7820100000000001</v>
      </c>
      <c r="F587">
        <v>1.79457</v>
      </c>
      <c r="G587">
        <v>6468324898</v>
      </c>
      <c r="H587" t="s">
        <v>16</v>
      </c>
    </row>
    <row r="588" spans="1:8" x14ac:dyDescent="0.3">
      <c r="A588" t="s">
        <v>117</v>
      </c>
      <c r="B588" t="s">
        <v>17</v>
      </c>
      <c r="C588">
        <v>1554.9321299999999</v>
      </c>
      <c r="D588">
        <v>1617.3398400000001</v>
      </c>
      <c r="E588">
        <v>1447.6101100000001</v>
      </c>
      <c r="F588">
        <v>1472.5531000000001</v>
      </c>
      <c r="G588">
        <v>21315312919</v>
      </c>
      <c r="H588" t="s">
        <v>18</v>
      </c>
    </row>
    <row r="589" spans="1:8" x14ac:dyDescent="0.3">
      <c r="A589" t="s">
        <v>117</v>
      </c>
      <c r="B589" t="s">
        <v>19</v>
      </c>
      <c r="C589">
        <v>554.48590000000002</v>
      </c>
      <c r="D589">
        <v>564.93822999999998</v>
      </c>
      <c r="E589">
        <v>548.14124000000004</v>
      </c>
      <c r="F589">
        <v>553.46740999999997</v>
      </c>
      <c r="G589">
        <v>1676208165</v>
      </c>
      <c r="H589" t="s">
        <v>20</v>
      </c>
    </row>
    <row r="590" spans="1:8" x14ac:dyDescent="0.3">
      <c r="A590" t="s">
        <v>118</v>
      </c>
      <c r="B590" t="s">
        <v>9</v>
      </c>
      <c r="C590">
        <v>0.55786999999999998</v>
      </c>
      <c r="D590">
        <v>0.64383000000000001</v>
      </c>
      <c r="E590">
        <v>0.53800999999999999</v>
      </c>
      <c r="F590">
        <v>0.63168000000000002</v>
      </c>
      <c r="G590">
        <v>1648147581</v>
      </c>
      <c r="H590" t="s">
        <v>10</v>
      </c>
    </row>
    <row r="591" spans="1:8" x14ac:dyDescent="0.3">
      <c r="A591" t="s">
        <v>118</v>
      </c>
      <c r="B591" t="s">
        <v>11</v>
      </c>
      <c r="C591">
        <v>76273.5625</v>
      </c>
      <c r="D591">
        <v>83541</v>
      </c>
      <c r="E591">
        <v>74589.671879999994</v>
      </c>
      <c r="F591">
        <v>82573.953129999994</v>
      </c>
      <c r="G591">
        <v>84213627038</v>
      </c>
      <c r="H591" t="s">
        <v>12</v>
      </c>
    </row>
    <row r="592" spans="1:8" x14ac:dyDescent="0.3">
      <c r="A592" t="s">
        <v>118</v>
      </c>
      <c r="B592" t="s">
        <v>13</v>
      </c>
      <c r="C592">
        <v>105.50959</v>
      </c>
      <c r="D592">
        <v>120.47077</v>
      </c>
      <c r="E592">
        <v>101.43474000000001</v>
      </c>
      <c r="F592">
        <v>119.05754</v>
      </c>
      <c r="G592">
        <v>7096350476</v>
      </c>
      <c r="H592" t="s">
        <v>14</v>
      </c>
    </row>
    <row r="593" spans="1:8" x14ac:dyDescent="0.3">
      <c r="A593" t="s">
        <v>118</v>
      </c>
      <c r="B593" t="s">
        <v>15</v>
      </c>
      <c r="C593">
        <v>1.7945</v>
      </c>
      <c r="D593">
        <v>2.0865</v>
      </c>
      <c r="E593">
        <v>1.7256100000000001</v>
      </c>
      <c r="F593">
        <v>2.0517400000000001</v>
      </c>
      <c r="G593">
        <v>9381130206</v>
      </c>
      <c r="H593" t="s">
        <v>16</v>
      </c>
    </row>
    <row r="594" spans="1:8" x14ac:dyDescent="0.3">
      <c r="A594" t="s">
        <v>118</v>
      </c>
      <c r="B594" t="s">
        <v>17</v>
      </c>
      <c r="C594">
        <v>1472.6014399999999</v>
      </c>
      <c r="D594">
        <v>1687.1879899999999</v>
      </c>
      <c r="E594">
        <v>1386.7993200000001</v>
      </c>
      <c r="F594">
        <v>1668.0400400000001</v>
      </c>
      <c r="G594">
        <v>39252195855</v>
      </c>
      <c r="H594" t="s">
        <v>18</v>
      </c>
    </row>
    <row r="595" spans="1:8" x14ac:dyDescent="0.3">
      <c r="A595" t="s">
        <v>118</v>
      </c>
      <c r="B595" t="s">
        <v>19</v>
      </c>
      <c r="C595">
        <v>553.46740999999997</v>
      </c>
      <c r="D595">
        <v>585.6037</v>
      </c>
      <c r="E595">
        <v>534.88054999999997</v>
      </c>
      <c r="F595">
        <v>582.36932000000002</v>
      </c>
      <c r="G595">
        <v>1963610005</v>
      </c>
      <c r="H595" t="s">
        <v>20</v>
      </c>
    </row>
    <row r="596" spans="1:8" x14ac:dyDescent="0.3">
      <c r="A596" t="s">
        <v>119</v>
      </c>
      <c r="B596" t="s">
        <v>9</v>
      </c>
      <c r="C596">
        <v>0.63168999999999997</v>
      </c>
      <c r="D596">
        <v>0.63238000000000005</v>
      </c>
      <c r="E596">
        <v>0.58809999999999996</v>
      </c>
      <c r="F596">
        <v>0.60938999999999999</v>
      </c>
      <c r="G596">
        <v>921990046</v>
      </c>
      <c r="H596" t="s">
        <v>10</v>
      </c>
    </row>
    <row r="597" spans="1:8" x14ac:dyDescent="0.3">
      <c r="A597" t="s">
        <v>119</v>
      </c>
      <c r="B597" t="s">
        <v>11</v>
      </c>
      <c r="C597">
        <v>82565.976559999996</v>
      </c>
      <c r="D597">
        <v>82700.929690000004</v>
      </c>
      <c r="E597">
        <v>78456.132809999996</v>
      </c>
      <c r="F597">
        <v>79626.140629999994</v>
      </c>
      <c r="G597">
        <v>44718000633</v>
      </c>
      <c r="H597" t="s">
        <v>12</v>
      </c>
    </row>
    <row r="598" spans="1:8" x14ac:dyDescent="0.3">
      <c r="A598" t="s">
        <v>119</v>
      </c>
      <c r="B598" t="s">
        <v>13</v>
      </c>
      <c r="C598">
        <v>119.06229</v>
      </c>
      <c r="D598">
        <v>119.08256</v>
      </c>
      <c r="E598">
        <v>108.60169</v>
      </c>
      <c r="F598">
        <v>112.80392000000001</v>
      </c>
      <c r="G598">
        <v>4310698523</v>
      </c>
      <c r="H598" t="s">
        <v>14</v>
      </c>
    </row>
    <row r="599" spans="1:8" x14ac:dyDescent="0.3">
      <c r="A599" t="s">
        <v>119</v>
      </c>
      <c r="B599" t="s">
        <v>15</v>
      </c>
      <c r="C599">
        <v>2.0517500000000002</v>
      </c>
      <c r="D599">
        <v>2.0527500000000001</v>
      </c>
      <c r="E599">
        <v>1.9282999999999999</v>
      </c>
      <c r="F599">
        <v>1.96648</v>
      </c>
      <c r="G599">
        <v>4463765886</v>
      </c>
      <c r="H599" t="s">
        <v>16</v>
      </c>
    </row>
    <row r="600" spans="1:8" x14ac:dyDescent="0.3">
      <c r="A600" t="s">
        <v>119</v>
      </c>
      <c r="B600" t="s">
        <v>17</v>
      </c>
      <c r="C600">
        <v>1668.2017800000001</v>
      </c>
      <c r="D600">
        <v>1669.39417</v>
      </c>
      <c r="E600">
        <v>1474.91419</v>
      </c>
      <c r="F600">
        <v>1522.5188000000001</v>
      </c>
      <c r="G600">
        <v>21379604307</v>
      </c>
      <c r="H600" t="s">
        <v>18</v>
      </c>
    </row>
    <row r="601" spans="1:8" x14ac:dyDescent="0.3">
      <c r="A601" t="s">
        <v>119</v>
      </c>
      <c r="B601" t="s">
        <v>19</v>
      </c>
      <c r="C601">
        <v>582.37816999999995</v>
      </c>
      <c r="D601">
        <v>582.39075000000003</v>
      </c>
      <c r="E601">
        <v>567.22009000000003</v>
      </c>
      <c r="F601">
        <v>577.40593999999999</v>
      </c>
      <c r="G601">
        <v>1731740429</v>
      </c>
      <c r="H601" t="s">
        <v>20</v>
      </c>
    </row>
    <row r="602" spans="1:8" x14ac:dyDescent="0.3">
      <c r="A602" t="s">
        <v>120</v>
      </c>
      <c r="B602" t="s">
        <v>9</v>
      </c>
      <c r="C602">
        <v>0.60940000000000005</v>
      </c>
      <c r="D602">
        <v>0.63665000000000005</v>
      </c>
      <c r="E602">
        <v>0.60663999999999996</v>
      </c>
      <c r="F602">
        <v>0.62417</v>
      </c>
      <c r="G602">
        <v>837897601</v>
      </c>
      <c r="H602" t="s">
        <v>10</v>
      </c>
    </row>
    <row r="603" spans="1:8" x14ac:dyDescent="0.3">
      <c r="A603" t="s">
        <v>120</v>
      </c>
      <c r="B603" t="s">
        <v>11</v>
      </c>
      <c r="C603">
        <v>79625.046879999994</v>
      </c>
      <c r="D603">
        <v>84247.476559999996</v>
      </c>
      <c r="E603">
        <v>78936.320309999996</v>
      </c>
      <c r="F603">
        <v>83404.835940000004</v>
      </c>
      <c r="G603">
        <v>41656778779</v>
      </c>
      <c r="H603" t="s">
        <v>12</v>
      </c>
    </row>
    <row r="604" spans="1:8" x14ac:dyDescent="0.3">
      <c r="A604" t="s">
        <v>120</v>
      </c>
      <c r="B604" t="s">
        <v>13</v>
      </c>
      <c r="C604">
        <v>112.80732</v>
      </c>
      <c r="D604">
        <v>122.39859</v>
      </c>
      <c r="E604">
        <v>112.18642</v>
      </c>
      <c r="F604">
        <v>121.53238</v>
      </c>
      <c r="G604">
        <v>3953610468</v>
      </c>
      <c r="H604" t="s">
        <v>14</v>
      </c>
    </row>
    <row r="605" spans="1:8" x14ac:dyDescent="0.3">
      <c r="A605" t="s">
        <v>120</v>
      </c>
      <c r="B605" t="s">
        <v>15</v>
      </c>
      <c r="C605">
        <v>1.9664999999999999</v>
      </c>
      <c r="D605">
        <v>2.06141</v>
      </c>
      <c r="E605">
        <v>1.9500299999999999</v>
      </c>
      <c r="F605">
        <v>2.0238900000000002</v>
      </c>
      <c r="G605">
        <v>3459211572</v>
      </c>
      <c r="H605" t="s">
        <v>16</v>
      </c>
    </row>
    <row r="606" spans="1:8" x14ac:dyDescent="0.3">
      <c r="A606" t="s">
        <v>120</v>
      </c>
      <c r="B606" t="s">
        <v>17</v>
      </c>
      <c r="C606">
        <v>1522.4730199999999</v>
      </c>
      <c r="D606">
        <v>1587.5385699999999</v>
      </c>
      <c r="E606">
        <v>1505.0019500000001</v>
      </c>
      <c r="F606">
        <v>1567.14978</v>
      </c>
      <c r="G606">
        <v>14871838813</v>
      </c>
      <c r="H606" t="s">
        <v>18</v>
      </c>
    </row>
    <row r="607" spans="1:8" x14ac:dyDescent="0.3">
      <c r="A607" t="s">
        <v>120</v>
      </c>
      <c r="B607" t="s">
        <v>19</v>
      </c>
      <c r="C607">
        <v>577.40593999999999</v>
      </c>
      <c r="D607">
        <v>589.85852</v>
      </c>
      <c r="E607">
        <v>575.75725999999997</v>
      </c>
      <c r="F607">
        <v>586.08898999999997</v>
      </c>
      <c r="G607">
        <v>1369541748</v>
      </c>
      <c r="H607" t="s">
        <v>20</v>
      </c>
    </row>
    <row r="608" spans="1:8" x14ac:dyDescent="0.3">
      <c r="A608" t="s">
        <v>121</v>
      </c>
      <c r="B608" t="s">
        <v>9</v>
      </c>
      <c r="C608">
        <v>0.62417</v>
      </c>
      <c r="D608">
        <v>0.66591</v>
      </c>
      <c r="E608">
        <v>0.61772000000000005</v>
      </c>
      <c r="F608">
        <v>0.65885000000000005</v>
      </c>
      <c r="G608">
        <v>676334951</v>
      </c>
      <c r="H608" t="s">
        <v>10</v>
      </c>
    </row>
    <row r="609" spans="1:8" x14ac:dyDescent="0.3">
      <c r="A609" t="s">
        <v>121</v>
      </c>
      <c r="B609" t="s">
        <v>11</v>
      </c>
      <c r="C609">
        <v>83404.515629999994</v>
      </c>
      <c r="D609">
        <v>85856.1875</v>
      </c>
      <c r="E609">
        <v>82769.375</v>
      </c>
      <c r="F609">
        <v>85287.109379999994</v>
      </c>
      <c r="G609">
        <v>24258059104</v>
      </c>
      <c r="H609" t="s">
        <v>12</v>
      </c>
    </row>
    <row r="610" spans="1:8" x14ac:dyDescent="0.3">
      <c r="A610" t="s">
        <v>121</v>
      </c>
      <c r="B610" t="s">
        <v>13</v>
      </c>
      <c r="C610">
        <v>121.53270000000001</v>
      </c>
      <c r="D610">
        <v>133.75885</v>
      </c>
      <c r="E610">
        <v>119.65935</v>
      </c>
      <c r="F610">
        <v>132.26056</v>
      </c>
      <c r="G610">
        <v>4089397536</v>
      </c>
      <c r="H610" t="s">
        <v>14</v>
      </c>
    </row>
    <row r="611" spans="1:8" x14ac:dyDescent="0.3">
      <c r="A611" t="s">
        <v>121</v>
      </c>
      <c r="B611" t="s">
        <v>15</v>
      </c>
      <c r="C611">
        <v>2.0238900000000002</v>
      </c>
      <c r="D611">
        <v>2.1717599999999999</v>
      </c>
      <c r="E611">
        <v>2.00468</v>
      </c>
      <c r="F611">
        <v>2.15862</v>
      </c>
      <c r="G611">
        <v>3429390186</v>
      </c>
      <c r="H611" t="s">
        <v>16</v>
      </c>
    </row>
    <row r="612" spans="1:8" x14ac:dyDescent="0.3">
      <c r="A612" t="s">
        <v>121</v>
      </c>
      <c r="B612" t="s">
        <v>17</v>
      </c>
      <c r="C612">
        <v>1567.1557600000001</v>
      </c>
      <c r="D612">
        <v>1666.01758</v>
      </c>
      <c r="E612">
        <v>1546.8195800000001</v>
      </c>
      <c r="F612">
        <v>1643.52856</v>
      </c>
      <c r="G612">
        <v>12110995013</v>
      </c>
      <c r="H612" t="s">
        <v>18</v>
      </c>
    </row>
    <row r="613" spans="1:8" x14ac:dyDescent="0.3">
      <c r="A613" t="s">
        <v>121</v>
      </c>
      <c r="B613" t="s">
        <v>19</v>
      </c>
      <c r="C613">
        <v>586.08898999999997</v>
      </c>
      <c r="D613">
        <v>600.05591000000004</v>
      </c>
      <c r="E613">
        <v>583.97949000000006</v>
      </c>
      <c r="F613">
        <v>597.12305000000003</v>
      </c>
      <c r="G613">
        <v>1331878416</v>
      </c>
      <c r="H613" t="s">
        <v>20</v>
      </c>
    </row>
    <row r="614" spans="1:8" x14ac:dyDescent="0.3">
      <c r="A614" t="s">
        <v>122</v>
      </c>
      <c r="B614" t="s">
        <v>9</v>
      </c>
      <c r="C614">
        <v>0.65886</v>
      </c>
      <c r="D614">
        <v>0.66632000000000002</v>
      </c>
      <c r="E614">
        <v>0.63185999999999998</v>
      </c>
      <c r="F614">
        <v>0.63807000000000003</v>
      </c>
      <c r="G614">
        <v>664262311</v>
      </c>
      <c r="H614" t="s">
        <v>10</v>
      </c>
    </row>
    <row r="615" spans="1:8" x14ac:dyDescent="0.3">
      <c r="A615" t="s">
        <v>122</v>
      </c>
      <c r="B615" t="s">
        <v>11</v>
      </c>
      <c r="C615">
        <v>85279.46875</v>
      </c>
      <c r="D615">
        <v>86015.1875</v>
      </c>
      <c r="E615">
        <v>83027.007809999996</v>
      </c>
      <c r="F615">
        <v>83684.976559999996</v>
      </c>
      <c r="G615">
        <v>28796984817</v>
      </c>
      <c r="H615" t="s">
        <v>12</v>
      </c>
    </row>
    <row r="616" spans="1:8" x14ac:dyDescent="0.3">
      <c r="A616" t="s">
        <v>122</v>
      </c>
      <c r="B616" t="s">
        <v>13</v>
      </c>
      <c r="C616">
        <v>132.26258999999999</v>
      </c>
      <c r="D616">
        <v>133.50684000000001</v>
      </c>
      <c r="E616">
        <v>125.52386</v>
      </c>
      <c r="F616">
        <v>128.58080000000001</v>
      </c>
      <c r="G616">
        <v>3818650340</v>
      </c>
      <c r="H616" t="s">
        <v>14</v>
      </c>
    </row>
    <row r="617" spans="1:8" x14ac:dyDescent="0.3">
      <c r="A617" t="s">
        <v>122</v>
      </c>
      <c r="B617" t="s">
        <v>15</v>
      </c>
      <c r="C617">
        <v>2.15863</v>
      </c>
      <c r="D617">
        <v>2.23238</v>
      </c>
      <c r="E617">
        <v>2.0880999999999998</v>
      </c>
      <c r="F617">
        <v>2.1202000000000001</v>
      </c>
      <c r="G617">
        <v>4220100049</v>
      </c>
      <c r="H617" t="s">
        <v>16</v>
      </c>
    </row>
    <row r="618" spans="1:8" x14ac:dyDescent="0.3">
      <c r="A618" t="s">
        <v>122</v>
      </c>
      <c r="B618" t="s">
        <v>17</v>
      </c>
      <c r="C618">
        <v>1643.5011</v>
      </c>
      <c r="D618">
        <v>1648.28674</v>
      </c>
      <c r="E618">
        <v>1564.83887</v>
      </c>
      <c r="F618">
        <v>1596.68579</v>
      </c>
      <c r="G618">
        <v>13909890792</v>
      </c>
      <c r="H618" t="s">
        <v>18</v>
      </c>
    </row>
    <row r="619" spans="1:8" x14ac:dyDescent="0.3">
      <c r="A619" t="s">
        <v>122</v>
      </c>
      <c r="B619" t="s">
        <v>19</v>
      </c>
      <c r="C619">
        <v>597.12323000000004</v>
      </c>
      <c r="D619">
        <v>597.50995</v>
      </c>
      <c r="E619">
        <v>580.82446000000004</v>
      </c>
      <c r="F619">
        <v>584.04247999999995</v>
      </c>
      <c r="G619">
        <v>1318461096</v>
      </c>
      <c r="H619" t="s">
        <v>20</v>
      </c>
    </row>
    <row r="620" spans="1:8" x14ac:dyDescent="0.3">
      <c r="A620" t="s">
        <v>123</v>
      </c>
      <c r="B620" t="s">
        <v>9</v>
      </c>
      <c r="C620">
        <v>0.63807000000000003</v>
      </c>
      <c r="D620">
        <v>0.65569999999999995</v>
      </c>
      <c r="E620">
        <v>0.63007000000000002</v>
      </c>
      <c r="F620">
        <v>0.63487000000000005</v>
      </c>
      <c r="G620">
        <v>702462762</v>
      </c>
      <c r="H620" t="s">
        <v>10</v>
      </c>
    </row>
    <row r="621" spans="1:8" x14ac:dyDescent="0.3">
      <c r="A621" t="s">
        <v>123</v>
      </c>
      <c r="B621" t="s">
        <v>11</v>
      </c>
      <c r="C621">
        <v>83694.523440000004</v>
      </c>
      <c r="D621">
        <v>85785</v>
      </c>
      <c r="E621">
        <v>83690.640629999994</v>
      </c>
      <c r="F621">
        <v>84542.390629999994</v>
      </c>
      <c r="G621">
        <v>34090769777</v>
      </c>
      <c r="H621" t="s">
        <v>12</v>
      </c>
    </row>
    <row r="622" spans="1:8" x14ac:dyDescent="0.3">
      <c r="A622" t="s">
        <v>123</v>
      </c>
      <c r="B622" t="s">
        <v>13</v>
      </c>
      <c r="C622">
        <v>128.57817</v>
      </c>
      <c r="D622">
        <v>135.18695</v>
      </c>
      <c r="E622">
        <v>128.23287999999999</v>
      </c>
      <c r="F622">
        <v>129.31038000000001</v>
      </c>
      <c r="G622">
        <v>4425565001</v>
      </c>
      <c r="H622" t="s">
        <v>14</v>
      </c>
    </row>
    <row r="623" spans="1:8" x14ac:dyDescent="0.3">
      <c r="A623" t="s">
        <v>123</v>
      </c>
      <c r="B623" t="s">
        <v>15</v>
      </c>
      <c r="C623">
        <v>2.1202200000000002</v>
      </c>
      <c r="D623">
        <v>2.1742599999999999</v>
      </c>
      <c r="E623">
        <v>2.1104599999999998</v>
      </c>
      <c r="F623">
        <v>2.1267499999999999</v>
      </c>
      <c r="G623">
        <v>3284127480</v>
      </c>
      <c r="H623" t="s">
        <v>16</v>
      </c>
    </row>
    <row r="624" spans="1:8" x14ac:dyDescent="0.3">
      <c r="A624" t="s">
        <v>123</v>
      </c>
      <c r="B624" t="s">
        <v>17</v>
      </c>
      <c r="C624">
        <v>1596.88184</v>
      </c>
      <c r="D624">
        <v>1689.85754</v>
      </c>
      <c r="E624">
        <v>1596.08655</v>
      </c>
      <c r="F624">
        <v>1622.7699</v>
      </c>
      <c r="G624">
        <v>16518325094</v>
      </c>
      <c r="H624" t="s">
        <v>18</v>
      </c>
    </row>
    <row r="625" spans="1:8" x14ac:dyDescent="0.3">
      <c r="A625" t="s">
        <v>123</v>
      </c>
      <c r="B625" t="s">
        <v>19</v>
      </c>
      <c r="C625">
        <v>584.04247999999995</v>
      </c>
      <c r="D625">
        <v>592.56439</v>
      </c>
      <c r="E625">
        <v>583.39702999999997</v>
      </c>
      <c r="F625">
        <v>584.33520999999996</v>
      </c>
      <c r="G625">
        <v>1359554984</v>
      </c>
      <c r="H625" t="s">
        <v>20</v>
      </c>
    </row>
    <row r="626" spans="1:8" x14ac:dyDescent="0.3">
      <c r="A626" t="s">
        <v>124</v>
      </c>
      <c r="B626" t="s">
        <v>9</v>
      </c>
      <c r="C626">
        <v>0.63488</v>
      </c>
      <c r="D626">
        <v>0.64749999999999996</v>
      </c>
      <c r="E626">
        <v>0.60775999999999997</v>
      </c>
      <c r="F626">
        <v>0.60916000000000003</v>
      </c>
      <c r="G626">
        <v>729833314</v>
      </c>
      <c r="H626" t="s">
        <v>10</v>
      </c>
    </row>
    <row r="627" spans="1:8" x14ac:dyDescent="0.3">
      <c r="A627" t="s">
        <v>124</v>
      </c>
      <c r="B627" t="s">
        <v>11</v>
      </c>
      <c r="C627">
        <v>84539.695309999996</v>
      </c>
      <c r="D627">
        <v>86429.351559999996</v>
      </c>
      <c r="E627">
        <v>83598.820309999996</v>
      </c>
      <c r="F627">
        <v>83668.992190000004</v>
      </c>
      <c r="G627">
        <v>28040322885</v>
      </c>
      <c r="H627" t="s">
        <v>12</v>
      </c>
    </row>
    <row r="628" spans="1:8" x14ac:dyDescent="0.3">
      <c r="A628" t="s">
        <v>124</v>
      </c>
      <c r="B628" t="s">
        <v>13</v>
      </c>
      <c r="C628">
        <v>129.31102000000001</v>
      </c>
      <c r="D628">
        <v>134.19318999999999</v>
      </c>
      <c r="E628">
        <v>126.13686</v>
      </c>
      <c r="F628">
        <v>126.26313</v>
      </c>
      <c r="G628">
        <v>3272094237</v>
      </c>
      <c r="H628" t="s">
        <v>14</v>
      </c>
    </row>
    <row r="629" spans="1:8" x14ac:dyDescent="0.3">
      <c r="A629" t="s">
        <v>124</v>
      </c>
      <c r="B629" t="s">
        <v>15</v>
      </c>
      <c r="C629">
        <v>2.1267299999999998</v>
      </c>
      <c r="D629">
        <v>2.18126</v>
      </c>
      <c r="E629">
        <v>2.0852599999999999</v>
      </c>
      <c r="F629">
        <v>2.0885500000000001</v>
      </c>
      <c r="G629">
        <v>2948485956</v>
      </c>
      <c r="H629" t="s">
        <v>16</v>
      </c>
    </row>
    <row r="630" spans="1:8" x14ac:dyDescent="0.3">
      <c r="A630" t="s">
        <v>124</v>
      </c>
      <c r="B630" t="s">
        <v>17</v>
      </c>
      <c r="C630">
        <v>1622.7718500000001</v>
      </c>
      <c r="D630">
        <v>1659.83618</v>
      </c>
      <c r="E630">
        <v>1585.2291299999999</v>
      </c>
      <c r="F630">
        <v>1588.6324500000001</v>
      </c>
      <c r="G630">
        <v>13175452875</v>
      </c>
      <c r="H630" t="s">
        <v>18</v>
      </c>
    </row>
    <row r="631" spans="1:8" x14ac:dyDescent="0.3">
      <c r="A631" t="s">
        <v>124</v>
      </c>
      <c r="B631" t="s">
        <v>19</v>
      </c>
      <c r="C631">
        <v>584.33465999999999</v>
      </c>
      <c r="D631">
        <v>590.51568999999995</v>
      </c>
      <c r="E631">
        <v>579.64008000000001</v>
      </c>
      <c r="F631">
        <v>579.68604000000005</v>
      </c>
      <c r="G631">
        <v>1329270099</v>
      </c>
      <c r="H631" t="s">
        <v>20</v>
      </c>
    </row>
    <row r="632" spans="1:8" x14ac:dyDescent="0.3">
      <c r="A632" t="s">
        <v>125</v>
      </c>
      <c r="B632" t="s">
        <v>9</v>
      </c>
      <c r="C632">
        <v>0.60916000000000003</v>
      </c>
      <c r="D632">
        <v>0.62256</v>
      </c>
      <c r="E632">
        <v>0.59733000000000003</v>
      </c>
      <c r="F632">
        <v>0.61041999999999996</v>
      </c>
      <c r="G632">
        <v>660642294</v>
      </c>
      <c r="H632" t="s">
        <v>10</v>
      </c>
    </row>
    <row r="633" spans="1:8" x14ac:dyDescent="0.3">
      <c r="A633" t="s">
        <v>125</v>
      </c>
      <c r="B633" t="s">
        <v>11</v>
      </c>
      <c r="C633">
        <v>83674.507809999996</v>
      </c>
      <c r="D633">
        <v>85428.28125</v>
      </c>
      <c r="E633">
        <v>83100.617190000004</v>
      </c>
      <c r="F633">
        <v>84033.867190000004</v>
      </c>
      <c r="G633">
        <v>29617804112</v>
      </c>
      <c r="H633" t="s">
        <v>12</v>
      </c>
    </row>
    <row r="634" spans="1:8" x14ac:dyDescent="0.3">
      <c r="A634" t="s">
        <v>125</v>
      </c>
      <c r="B634" t="s">
        <v>13</v>
      </c>
      <c r="C634">
        <v>126.26312</v>
      </c>
      <c r="D634">
        <v>133.59012000000001</v>
      </c>
      <c r="E634">
        <v>123.72076</v>
      </c>
      <c r="F634">
        <v>131.44969</v>
      </c>
      <c r="G634">
        <v>4448562334</v>
      </c>
      <c r="H634" t="s">
        <v>14</v>
      </c>
    </row>
    <row r="635" spans="1:8" x14ac:dyDescent="0.3">
      <c r="A635" t="s">
        <v>125</v>
      </c>
      <c r="B635" t="s">
        <v>15</v>
      </c>
      <c r="C635">
        <v>2.0884999999999998</v>
      </c>
      <c r="D635">
        <v>2.1178900000000001</v>
      </c>
      <c r="E635">
        <v>2.0397400000000001</v>
      </c>
      <c r="F635">
        <v>2.08324</v>
      </c>
      <c r="G635">
        <v>3572242595</v>
      </c>
      <c r="H635" t="s">
        <v>16</v>
      </c>
    </row>
    <row r="636" spans="1:8" x14ac:dyDescent="0.3">
      <c r="A636" t="s">
        <v>125</v>
      </c>
      <c r="B636" t="s">
        <v>17</v>
      </c>
      <c r="C636">
        <v>1589.0310099999999</v>
      </c>
      <c r="D636">
        <v>1610.7820999999999</v>
      </c>
      <c r="E636">
        <v>1540.0338099999999</v>
      </c>
      <c r="F636">
        <v>1578.10535</v>
      </c>
      <c r="G636">
        <v>15339621551</v>
      </c>
      <c r="H636" t="s">
        <v>18</v>
      </c>
    </row>
    <row r="637" spans="1:8" x14ac:dyDescent="0.3">
      <c r="A637" t="s">
        <v>125</v>
      </c>
      <c r="B637" t="s">
        <v>19</v>
      </c>
      <c r="C637">
        <v>579.68610000000001</v>
      </c>
      <c r="D637">
        <v>585.41083000000003</v>
      </c>
      <c r="E637">
        <v>576.45923000000005</v>
      </c>
      <c r="F637">
        <v>582.80620999999996</v>
      </c>
      <c r="G637">
        <v>1435912484</v>
      </c>
      <c r="H637" t="s">
        <v>20</v>
      </c>
    </row>
    <row r="638" spans="1:8" x14ac:dyDescent="0.3">
      <c r="A638" t="s">
        <v>126</v>
      </c>
      <c r="B638" t="s">
        <v>9</v>
      </c>
      <c r="C638">
        <v>0.61041999999999996</v>
      </c>
      <c r="D638">
        <v>0.62922999999999996</v>
      </c>
      <c r="E638">
        <v>0.60975000000000001</v>
      </c>
      <c r="F638">
        <v>0.61629999999999996</v>
      </c>
      <c r="G638">
        <v>459522026</v>
      </c>
      <c r="H638" t="s">
        <v>10</v>
      </c>
    </row>
    <row r="639" spans="1:8" x14ac:dyDescent="0.3">
      <c r="A639" t="s">
        <v>126</v>
      </c>
      <c r="B639" t="s">
        <v>11</v>
      </c>
      <c r="C639">
        <v>84030.671879999994</v>
      </c>
      <c r="D639">
        <v>85449.070309999996</v>
      </c>
      <c r="E639">
        <v>83749.75</v>
      </c>
      <c r="F639">
        <v>84895.75</v>
      </c>
      <c r="G639">
        <v>21276866029</v>
      </c>
      <c r="H639" t="s">
        <v>12</v>
      </c>
    </row>
    <row r="640" spans="1:8" x14ac:dyDescent="0.3">
      <c r="A640" t="s">
        <v>126</v>
      </c>
      <c r="B640" t="s">
        <v>13</v>
      </c>
      <c r="C640">
        <v>131.45023</v>
      </c>
      <c r="D640">
        <v>135.90934999999999</v>
      </c>
      <c r="E640">
        <v>129.73309</v>
      </c>
      <c r="F640">
        <v>134.69874999999999</v>
      </c>
      <c r="G640">
        <v>3504448606</v>
      </c>
      <c r="H640" t="s">
        <v>14</v>
      </c>
    </row>
    <row r="641" spans="1:8" x14ac:dyDescent="0.3">
      <c r="A641" t="s">
        <v>126</v>
      </c>
      <c r="B641" t="s">
        <v>15</v>
      </c>
      <c r="C641">
        <v>2.0832600000000001</v>
      </c>
      <c r="D641">
        <v>2.11287</v>
      </c>
      <c r="E641">
        <v>2.05585</v>
      </c>
      <c r="F641">
        <v>2.0664199999999999</v>
      </c>
      <c r="G641">
        <v>2467503712</v>
      </c>
      <c r="H641" t="s">
        <v>16</v>
      </c>
    </row>
    <row r="642" spans="1:8" x14ac:dyDescent="0.3">
      <c r="A642" t="s">
        <v>126</v>
      </c>
      <c r="B642" t="s">
        <v>17</v>
      </c>
      <c r="C642">
        <v>1578.0141599999999</v>
      </c>
      <c r="D642">
        <v>1615.3068900000001</v>
      </c>
      <c r="E642">
        <v>1564.19568</v>
      </c>
      <c r="F642">
        <v>1582.5483400000001</v>
      </c>
      <c r="G642">
        <v>11312160796</v>
      </c>
      <c r="H642" t="s">
        <v>18</v>
      </c>
    </row>
    <row r="643" spans="1:8" x14ac:dyDescent="0.3">
      <c r="A643" t="s">
        <v>126</v>
      </c>
      <c r="B643" t="s">
        <v>19</v>
      </c>
      <c r="C643">
        <v>582.80620999999996</v>
      </c>
      <c r="D643">
        <v>592.85931000000005</v>
      </c>
      <c r="E643">
        <v>581.20385999999996</v>
      </c>
      <c r="F643">
        <v>590.16216999999995</v>
      </c>
      <c r="G643">
        <v>1401643770</v>
      </c>
      <c r="H643" t="s">
        <v>20</v>
      </c>
    </row>
    <row r="644" spans="1:8" x14ac:dyDescent="0.3">
      <c r="A644" t="s">
        <v>127</v>
      </c>
      <c r="B644" t="s">
        <v>9</v>
      </c>
      <c r="C644">
        <v>0.61629999999999996</v>
      </c>
      <c r="D644">
        <v>0.63131999999999999</v>
      </c>
      <c r="E644">
        <v>0.61116000000000004</v>
      </c>
      <c r="F644">
        <v>0.62744</v>
      </c>
      <c r="G644">
        <v>385441968</v>
      </c>
      <c r="H644" t="s">
        <v>10</v>
      </c>
    </row>
    <row r="645" spans="1:8" x14ac:dyDescent="0.3">
      <c r="A645" t="s">
        <v>127</v>
      </c>
      <c r="B645" t="s">
        <v>11</v>
      </c>
      <c r="C645">
        <v>84900.1875</v>
      </c>
      <c r="D645">
        <v>85095.046879999994</v>
      </c>
      <c r="E645">
        <v>84298.882809999996</v>
      </c>
      <c r="F645">
        <v>84450.804690000004</v>
      </c>
      <c r="G645">
        <v>12728372364</v>
      </c>
      <c r="H645" t="s">
        <v>12</v>
      </c>
    </row>
    <row r="646" spans="1:8" x14ac:dyDescent="0.3">
      <c r="A646" t="s">
        <v>127</v>
      </c>
      <c r="B646" t="s">
        <v>13</v>
      </c>
      <c r="C646">
        <v>134.70419000000001</v>
      </c>
      <c r="D646">
        <v>135.8689</v>
      </c>
      <c r="E646">
        <v>132.58799999999999</v>
      </c>
      <c r="F646">
        <v>134.0735</v>
      </c>
      <c r="G646">
        <v>2142264993</v>
      </c>
      <c r="H646" t="s">
        <v>14</v>
      </c>
    </row>
    <row r="647" spans="1:8" x14ac:dyDescent="0.3">
      <c r="A647" t="s">
        <v>127</v>
      </c>
      <c r="B647" t="s">
        <v>15</v>
      </c>
      <c r="C647">
        <v>2.0664500000000001</v>
      </c>
      <c r="D647">
        <v>2.0873200000000001</v>
      </c>
      <c r="E647">
        <v>2.0460400000000001</v>
      </c>
      <c r="F647">
        <v>2.0635300000000001</v>
      </c>
      <c r="G647">
        <v>1886497381</v>
      </c>
      <c r="H647" t="s">
        <v>16</v>
      </c>
    </row>
    <row r="648" spans="1:8" x14ac:dyDescent="0.3">
      <c r="A648" t="s">
        <v>127</v>
      </c>
      <c r="B648" t="s">
        <v>17</v>
      </c>
      <c r="C648">
        <v>1582.3972200000001</v>
      </c>
      <c r="D648">
        <v>1599.41687</v>
      </c>
      <c r="E648">
        <v>1573.9039299999999</v>
      </c>
      <c r="F648">
        <v>1588.9246800000001</v>
      </c>
      <c r="G648">
        <v>7123507323</v>
      </c>
      <c r="H648" t="s">
        <v>18</v>
      </c>
    </row>
    <row r="649" spans="1:8" x14ac:dyDescent="0.3">
      <c r="A649" t="s">
        <v>127</v>
      </c>
      <c r="B649" t="s">
        <v>19</v>
      </c>
      <c r="C649">
        <v>590.16216999999995</v>
      </c>
      <c r="D649">
        <v>595.76635999999996</v>
      </c>
      <c r="E649">
        <v>587.26611000000003</v>
      </c>
      <c r="F649">
        <v>591.76386000000002</v>
      </c>
      <c r="G649">
        <v>1418376835</v>
      </c>
      <c r="H649" t="s">
        <v>20</v>
      </c>
    </row>
    <row r="650" spans="1:8" x14ac:dyDescent="0.3">
      <c r="A650" t="s">
        <v>128</v>
      </c>
      <c r="B650" t="s">
        <v>9</v>
      </c>
      <c r="C650">
        <v>0.62744</v>
      </c>
      <c r="D650">
        <v>0.63407999999999998</v>
      </c>
      <c r="E650">
        <v>0.61977000000000004</v>
      </c>
      <c r="F650">
        <v>0.62795000000000001</v>
      </c>
      <c r="G650">
        <v>343946478</v>
      </c>
      <c r="H650" t="s">
        <v>10</v>
      </c>
    </row>
    <row r="651" spans="1:8" x14ac:dyDescent="0.3">
      <c r="A651" t="s">
        <v>128</v>
      </c>
      <c r="B651" t="s">
        <v>11</v>
      </c>
      <c r="C651">
        <v>84450.867190000004</v>
      </c>
      <c r="D651">
        <v>85597.703129999994</v>
      </c>
      <c r="E651">
        <v>84353.460940000004</v>
      </c>
      <c r="F651">
        <v>85063.414059999996</v>
      </c>
      <c r="G651">
        <v>15259300427</v>
      </c>
      <c r="H651" t="s">
        <v>12</v>
      </c>
    </row>
    <row r="652" spans="1:8" x14ac:dyDescent="0.3">
      <c r="A652" t="s">
        <v>128</v>
      </c>
      <c r="B652" t="s">
        <v>13</v>
      </c>
      <c r="C652">
        <v>134.0735</v>
      </c>
      <c r="D652">
        <v>140.09261000000001</v>
      </c>
      <c r="E652">
        <v>133.69476</v>
      </c>
      <c r="F652">
        <v>139.75026</v>
      </c>
      <c r="G652">
        <v>2522912658</v>
      </c>
      <c r="H652" t="s">
        <v>14</v>
      </c>
    </row>
    <row r="653" spans="1:8" x14ac:dyDescent="0.3">
      <c r="A653" t="s">
        <v>128</v>
      </c>
      <c r="B653" t="s">
        <v>15</v>
      </c>
      <c r="C653">
        <v>2.06352</v>
      </c>
      <c r="D653">
        <v>2.0954299999999999</v>
      </c>
      <c r="E653">
        <v>2.0593599999999999</v>
      </c>
      <c r="F653">
        <v>2.0873200000000001</v>
      </c>
      <c r="G653">
        <v>1445648293</v>
      </c>
      <c r="H653" t="s">
        <v>16</v>
      </c>
    </row>
    <row r="654" spans="1:8" x14ac:dyDescent="0.3">
      <c r="A654" t="s">
        <v>128</v>
      </c>
      <c r="B654" t="s">
        <v>17</v>
      </c>
      <c r="C654">
        <v>1588.96973</v>
      </c>
      <c r="D654">
        <v>1629.05151</v>
      </c>
      <c r="E654">
        <v>1585.4730199999999</v>
      </c>
      <c r="F654">
        <v>1612.9228499999999</v>
      </c>
      <c r="G654">
        <v>7168138700</v>
      </c>
      <c r="H654" t="s">
        <v>18</v>
      </c>
    </row>
    <row r="655" spans="1:8" x14ac:dyDescent="0.3">
      <c r="A655" t="s">
        <v>128</v>
      </c>
      <c r="B655" t="s">
        <v>19</v>
      </c>
      <c r="C655">
        <v>591.76386000000002</v>
      </c>
      <c r="D655">
        <v>594.14215000000002</v>
      </c>
      <c r="E655">
        <v>587.97637999999995</v>
      </c>
      <c r="F655">
        <v>591.77679000000001</v>
      </c>
      <c r="G655">
        <v>1227124904</v>
      </c>
      <c r="H655" t="s">
        <v>20</v>
      </c>
    </row>
    <row r="656" spans="1:8" x14ac:dyDescent="0.3">
      <c r="A656" t="s">
        <v>129</v>
      </c>
      <c r="B656" t="s">
        <v>9</v>
      </c>
      <c r="C656">
        <v>0.62795000000000001</v>
      </c>
      <c r="D656">
        <v>0.63390999999999997</v>
      </c>
      <c r="E656">
        <v>0.61051999999999995</v>
      </c>
      <c r="F656">
        <v>0.61978</v>
      </c>
      <c r="G656">
        <v>366085065</v>
      </c>
      <c r="H656" t="s">
        <v>10</v>
      </c>
    </row>
    <row r="657" spans="1:8" x14ac:dyDescent="0.3">
      <c r="A657" t="s">
        <v>129</v>
      </c>
      <c r="B657" t="s">
        <v>11</v>
      </c>
      <c r="C657">
        <v>85066.070309999996</v>
      </c>
      <c r="D657">
        <v>85306.382809999996</v>
      </c>
      <c r="E657">
        <v>83976.84375</v>
      </c>
      <c r="F657">
        <v>85174.304690000004</v>
      </c>
      <c r="G657">
        <v>14664050812</v>
      </c>
      <c r="H657" t="s">
        <v>12</v>
      </c>
    </row>
    <row r="658" spans="1:8" x14ac:dyDescent="0.3">
      <c r="A658" t="s">
        <v>129</v>
      </c>
      <c r="B658" t="s">
        <v>13</v>
      </c>
      <c r="C658">
        <v>139.75290000000001</v>
      </c>
      <c r="D658">
        <v>141.83036999999999</v>
      </c>
      <c r="E658">
        <v>135.77146999999999</v>
      </c>
      <c r="F658">
        <v>137.77459999999999</v>
      </c>
      <c r="G658">
        <v>2796023398</v>
      </c>
      <c r="H658" t="s">
        <v>14</v>
      </c>
    </row>
    <row r="659" spans="1:8" x14ac:dyDescent="0.3">
      <c r="A659" t="s">
        <v>129</v>
      </c>
      <c r="B659" t="s">
        <v>15</v>
      </c>
      <c r="C659">
        <v>2.0873300000000001</v>
      </c>
      <c r="D659">
        <v>2.0925400000000001</v>
      </c>
      <c r="E659">
        <v>2.0407199999999999</v>
      </c>
      <c r="F659">
        <v>2.077</v>
      </c>
      <c r="G659">
        <v>1733159089</v>
      </c>
      <c r="H659" t="s">
        <v>16</v>
      </c>
    </row>
    <row r="660" spans="1:8" x14ac:dyDescent="0.3">
      <c r="A660" t="s">
        <v>129</v>
      </c>
      <c r="B660" t="s">
        <v>17</v>
      </c>
      <c r="C660">
        <v>1612.96606</v>
      </c>
      <c r="D660">
        <v>1618.43677</v>
      </c>
      <c r="E660">
        <v>1566.6915300000001</v>
      </c>
      <c r="F660">
        <v>1587.5142800000001</v>
      </c>
      <c r="G660">
        <v>7642784469</v>
      </c>
      <c r="H660" t="s">
        <v>18</v>
      </c>
    </row>
    <row r="661" spans="1:8" x14ac:dyDescent="0.3">
      <c r="A661" t="s">
        <v>129</v>
      </c>
      <c r="B661" t="s">
        <v>19</v>
      </c>
      <c r="C661">
        <v>591.77679000000001</v>
      </c>
      <c r="D661">
        <v>595.15410999999995</v>
      </c>
      <c r="E661">
        <v>587.76538000000005</v>
      </c>
      <c r="F661">
        <v>592.97240999999997</v>
      </c>
      <c r="G661">
        <v>1307477245</v>
      </c>
      <c r="H661" t="s">
        <v>20</v>
      </c>
    </row>
    <row r="662" spans="1:8" x14ac:dyDescent="0.3">
      <c r="A662" t="s">
        <v>130</v>
      </c>
      <c r="B662" t="s">
        <v>9</v>
      </c>
      <c r="C662">
        <v>0.61978</v>
      </c>
      <c r="D662">
        <v>0.64920999999999995</v>
      </c>
      <c r="E662">
        <v>0.61765000000000003</v>
      </c>
      <c r="F662">
        <v>0.62394000000000005</v>
      </c>
      <c r="G662">
        <v>657464744</v>
      </c>
      <c r="H662" t="s">
        <v>10</v>
      </c>
    </row>
    <row r="663" spans="1:8" x14ac:dyDescent="0.3">
      <c r="A663" t="s">
        <v>130</v>
      </c>
      <c r="B663" t="s">
        <v>11</v>
      </c>
      <c r="C663">
        <v>85171.539059999996</v>
      </c>
      <c r="D663">
        <v>88460.09375</v>
      </c>
      <c r="E663">
        <v>85143.835940000004</v>
      </c>
      <c r="F663">
        <v>87518.90625</v>
      </c>
      <c r="G663">
        <v>41396190190</v>
      </c>
      <c r="H663" t="s">
        <v>12</v>
      </c>
    </row>
    <row r="664" spans="1:8" x14ac:dyDescent="0.3">
      <c r="A664" t="s">
        <v>130</v>
      </c>
      <c r="B664" t="s">
        <v>13</v>
      </c>
      <c r="C664">
        <v>137.77459999999999</v>
      </c>
      <c r="D664">
        <v>142.66158999999999</v>
      </c>
      <c r="E664">
        <v>134.12235999999999</v>
      </c>
      <c r="F664">
        <v>136.70438999999999</v>
      </c>
      <c r="G664">
        <v>4162691832</v>
      </c>
      <c r="H664" t="s">
        <v>14</v>
      </c>
    </row>
    <row r="665" spans="1:8" x14ac:dyDescent="0.3">
      <c r="A665" t="s">
        <v>130</v>
      </c>
      <c r="B665" t="s">
        <v>15</v>
      </c>
      <c r="C665">
        <v>2.077</v>
      </c>
      <c r="D665">
        <v>2.1390899999999999</v>
      </c>
      <c r="E665">
        <v>2.0632600000000001</v>
      </c>
      <c r="F665">
        <v>2.0855199999999998</v>
      </c>
      <c r="G665">
        <v>2746051225</v>
      </c>
      <c r="H665" t="s">
        <v>16</v>
      </c>
    </row>
    <row r="666" spans="1:8" x14ac:dyDescent="0.3">
      <c r="A666" t="s">
        <v>130</v>
      </c>
      <c r="B666" t="s">
        <v>17</v>
      </c>
      <c r="C666">
        <v>1587.4609399999999</v>
      </c>
      <c r="D666">
        <v>1656.1196299999999</v>
      </c>
      <c r="E666">
        <v>1566.1474599999999</v>
      </c>
      <c r="F666">
        <v>1579.7345</v>
      </c>
      <c r="G666">
        <v>15403785611</v>
      </c>
      <c r="H666" t="s">
        <v>18</v>
      </c>
    </row>
    <row r="667" spans="1:8" x14ac:dyDescent="0.3">
      <c r="A667" t="s">
        <v>130</v>
      </c>
      <c r="B667" t="s">
        <v>19</v>
      </c>
      <c r="C667">
        <v>592.97240999999997</v>
      </c>
      <c r="D667">
        <v>607.82024999999999</v>
      </c>
      <c r="E667">
        <v>592.67615000000001</v>
      </c>
      <c r="F667">
        <v>597.41417999999999</v>
      </c>
      <c r="G667">
        <v>1430343137</v>
      </c>
      <c r="H667" t="s">
        <v>20</v>
      </c>
    </row>
    <row r="668" spans="1:8" x14ac:dyDescent="0.3">
      <c r="A668" t="s">
        <v>131</v>
      </c>
      <c r="B668" t="s">
        <v>9</v>
      </c>
      <c r="C668">
        <v>0.62394000000000005</v>
      </c>
      <c r="D668">
        <v>0.68388000000000004</v>
      </c>
      <c r="E668">
        <v>0.61838000000000004</v>
      </c>
      <c r="F668">
        <v>0.6804</v>
      </c>
      <c r="G668">
        <v>857733017</v>
      </c>
      <c r="H668" t="s">
        <v>10</v>
      </c>
    </row>
    <row r="669" spans="1:8" x14ac:dyDescent="0.3">
      <c r="A669" t="s">
        <v>131</v>
      </c>
      <c r="B669" t="s">
        <v>11</v>
      </c>
      <c r="C669">
        <v>87521.875</v>
      </c>
      <c r="D669">
        <v>93817.382809999996</v>
      </c>
      <c r="E669">
        <v>87084.53125</v>
      </c>
      <c r="F669">
        <v>93441.890629999994</v>
      </c>
      <c r="G669">
        <v>55899038456</v>
      </c>
      <c r="H669" t="s">
        <v>12</v>
      </c>
    </row>
    <row r="670" spans="1:8" x14ac:dyDescent="0.3">
      <c r="A670" t="s">
        <v>131</v>
      </c>
      <c r="B670" t="s">
        <v>13</v>
      </c>
      <c r="C670">
        <v>136.70184</v>
      </c>
      <c r="D670">
        <v>149.94925000000001</v>
      </c>
      <c r="E670">
        <v>135.37775999999999</v>
      </c>
      <c r="F670">
        <v>148.73940999999999</v>
      </c>
      <c r="G670">
        <v>4659792312</v>
      </c>
      <c r="H670" t="s">
        <v>14</v>
      </c>
    </row>
    <row r="671" spans="1:8" x14ac:dyDescent="0.3">
      <c r="A671" t="s">
        <v>131</v>
      </c>
      <c r="B671" t="s">
        <v>15</v>
      </c>
      <c r="C671">
        <v>2.0855000000000001</v>
      </c>
      <c r="D671">
        <v>2.23787</v>
      </c>
      <c r="E671">
        <v>2.0689000000000002</v>
      </c>
      <c r="F671">
        <v>2.2154699999999998</v>
      </c>
      <c r="G671">
        <v>4054022421</v>
      </c>
      <c r="H671" t="s">
        <v>16</v>
      </c>
    </row>
    <row r="672" spans="1:8" x14ac:dyDescent="0.3">
      <c r="A672" t="s">
        <v>131</v>
      </c>
      <c r="B672" t="s">
        <v>17</v>
      </c>
      <c r="C672">
        <v>1579.81519</v>
      </c>
      <c r="D672">
        <v>1773.6391599999999</v>
      </c>
      <c r="E672">
        <v>1542.00037</v>
      </c>
      <c r="F672">
        <v>1757.33167</v>
      </c>
      <c r="G672">
        <v>23747917555</v>
      </c>
      <c r="H672" t="s">
        <v>18</v>
      </c>
    </row>
    <row r="673" spans="1:8" x14ac:dyDescent="0.3">
      <c r="A673" t="s">
        <v>131</v>
      </c>
      <c r="B673" t="s">
        <v>19</v>
      </c>
      <c r="C673">
        <v>597.41718000000003</v>
      </c>
      <c r="D673">
        <v>618.99005</v>
      </c>
      <c r="E673">
        <v>595.88098000000002</v>
      </c>
      <c r="F673">
        <v>618.82696999999996</v>
      </c>
      <c r="G673">
        <v>1734142941</v>
      </c>
      <c r="H673" t="s">
        <v>20</v>
      </c>
    </row>
    <row r="674" spans="1:8" x14ac:dyDescent="0.3">
      <c r="A674" t="s">
        <v>132</v>
      </c>
      <c r="B674" t="s">
        <v>9</v>
      </c>
      <c r="C674">
        <v>0.68039000000000005</v>
      </c>
      <c r="D674">
        <v>0.71526999999999996</v>
      </c>
      <c r="E674">
        <v>0.67842000000000002</v>
      </c>
      <c r="F674">
        <v>0.69757000000000002</v>
      </c>
      <c r="G674">
        <v>971202640</v>
      </c>
      <c r="H674" t="s">
        <v>10</v>
      </c>
    </row>
    <row r="675" spans="1:8" x14ac:dyDescent="0.3">
      <c r="A675" t="s">
        <v>132</v>
      </c>
      <c r="B675" t="s">
        <v>11</v>
      </c>
      <c r="C675">
        <v>93427.585940000004</v>
      </c>
      <c r="D675">
        <v>94535.734379999994</v>
      </c>
      <c r="E675">
        <v>91962.960940000004</v>
      </c>
      <c r="F675">
        <v>93699.109379999994</v>
      </c>
      <c r="G675">
        <v>41719568821</v>
      </c>
      <c r="H675" t="s">
        <v>12</v>
      </c>
    </row>
    <row r="676" spans="1:8" x14ac:dyDescent="0.3">
      <c r="A676" t="s">
        <v>132</v>
      </c>
      <c r="B676" t="s">
        <v>13</v>
      </c>
      <c r="C676">
        <v>148.74001000000001</v>
      </c>
      <c r="D676">
        <v>153.86874</v>
      </c>
      <c r="E676">
        <v>147.45079000000001</v>
      </c>
      <c r="F676">
        <v>151.15272999999999</v>
      </c>
      <c r="G676">
        <v>4699152180</v>
      </c>
      <c r="H676" t="s">
        <v>14</v>
      </c>
    </row>
    <row r="677" spans="1:8" x14ac:dyDescent="0.3">
      <c r="A677" t="s">
        <v>132</v>
      </c>
      <c r="B677" t="s">
        <v>15</v>
      </c>
      <c r="C677">
        <v>2.2154600000000002</v>
      </c>
      <c r="D677">
        <v>2.2995399999999999</v>
      </c>
      <c r="E677">
        <v>2.1973199999999999</v>
      </c>
      <c r="F677">
        <v>2.2173600000000002</v>
      </c>
      <c r="G677">
        <v>5013426739</v>
      </c>
      <c r="H677" t="s">
        <v>16</v>
      </c>
    </row>
    <row r="678" spans="1:8" x14ac:dyDescent="0.3">
      <c r="A678" t="s">
        <v>132</v>
      </c>
      <c r="B678" t="s">
        <v>17</v>
      </c>
      <c r="C678">
        <v>1757.1965299999999</v>
      </c>
      <c r="D678">
        <v>1829.7099599999999</v>
      </c>
      <c r="E678">
        <v>1746.92407</v>
      </c>
      <c r="F678">
        <v>1796.1042500000001</v>
      </c>
      <c r="G678">
        <v>22904644756</v>
      </c>
      <c r="H678" t="s">
        <v>18</v>
      </c>
    </row>
    <row r="679" spans="1:8" x14ac:dyDescent="0.3">
      <c r="A679" t="s">
        <v>132</v>
      </c>
      <c r="B679" t="s">
        <v>19</v>
      </c>
      <c r="C679">
        <v>618.82696999999996</v>
      </c>
      <c r="D679">
        <v>619.86248999999998</v>
      </c>
      <c r="E679">
        <v>601.95416</v>
      </c>
      <c r="F679">
        <v>605.81500000000005</v>
      </c>
      <c r="G679">
        <v>1834047719</v>
      </c>
      <c r="H679" t="s">
        <v>20</v>
      </c>
    </row>
    <row r="680" spans="1:8" x14ac:dyDescent="0.3">
      <c r="A680" t="s">
        <v>133</v>
      </c>
      <c r="B680" t="s">
        <v>9</v>
      </c>
      <c r="C680">
        <v>0.69757000000000002</v>
      </c>
      <c r="D680">
        <v>0.73909000000000002</v>
      </c>
      <c r="E680">
        <v>0.67149000000000003</v>
      </c>
      <c r="F680">
        <v>0.72182999999999997</v>
      </c>
      <c r="G680">
        <v>1033424969</v>
      </c>
      <c r="H680" t="s">
        <v>10</v>
      </c>
    </row>
    <row r="681" spans="1:8" x14ac:dyDescent="0.3">
      <c r="A681" t="s">
        <v>133</v>
      </c>
      <c r="B681" t="s">
        <v>11</v>
      </c>
      <c r="C681">
        <v>93692.398440000004</v>
      </c>
      <c r="D681">
        <v>94016.195309999996</v>
      </c>
      <c r="E681">
        <v>91696.710940000004</v>
      </c>
      <c r="F681">
        <v>93943.796879999994</v>
      </c>
      <c r="G681">
        <v>31483175315</v>
      </c>
      <c r="H681" t="s">
        <v>12</v>
      </c>
    </row>
    <row r="682" spans="1:8" x14ac:dyDescent="0.3">
      <c r="A682" t="s">
        <v>133</v>
      </c>
      <c r="B682" t="s">
        <v>13</v>
      </c>
      <c r="C682">
        <v>151.15395000000001</v>
      </c>
      <c r="D682">
        <v>152.75404</v>
      </c>
      <c r="E682">
        <v>145.66135</v>
      </c>
      <c r="F682">
        <v>152.30363</v>
      </c>
      <c r="G682">
        <v>3903057847</v>
      </c>
      <c r="H682" t="s">
        <v>14</v>
      </c>
    </row>
    <row r="683" spans="1:8" x14ac:dyDescent="0.3">
      <c r="A683" t="s">
        <v>133</v>
      </c>
      <c r="B683" t="s">
        <v>15</v>
      </c>
      <c r="C683">
        <v>2.2173600000000002</v>
      </c>
      <c r="D683">
        <v>2.2273499999999999</v>
      </c>
      <c r="E683">
        <v>2.12338</v>
      </c>
      <c r="F683">
        <v>2.2045400000000002</v>
      </c>
      <c r="G683">
        <v>4208222195</v>
      </c>
      <c r="H683" t="s">
        <v>16</v>
      </c>
    </row>
    <row r="684" spans="1:8" x14ac:dyDescent="0.3">
      <c r="A684" t="s">
        <v>133</v>
      </c>
      <c r="B684" t="s">
        <v>17</v>
      </c>
      <c r="C684">
        <v>1795.9794899999999</v>
      </c>
      <c r="D684">
        <v>1801.6914099999999</v>
      </c>
      <c r="E684">
        <v>1724.74072</v>
      </c>
      <c r="F684">
        <v>1769.83167</v>
      </c>
      <c r="G684">
        <v>15207402759</v>
      </c>
      <c r="H684" t="s">
        <v>18</v>
      </c>
    </row>
    <row r="685" spans="1:8" x14ac:dyDescent="0.3">
      <c r="A685" t="s">
        <v>133</v>
      </c>
      <c r="B685" t="s">
        <v>19</v>
      </c>
      <c r="C685">
        <v>605.81500000000005</v>
      </c>
      <c r="D685">
        <v>606.74432000000002</v>
      </c>
      <c r="E685">
        <v>594.39508000000001</v>
      </c>
      <c r="F685">
        <v>601.71582000000001</v>
      </c>
      <c r="G685">
        <v>1573943361</v>
      </c>
      <c r="H685" t="s">
        <v>20</v>
      </c>
    </row>
    <row r="686" spans="1:8" x14ac:dyDescent="0.3">
      <c r="A686" t="s">
        <v>134</v>
      </c>
      <c r="B686" t="s">
        <v>9</v>
      </c>
      <c r="C686">
        <v>0.72197999999999996</v>
      </c>
      <c r="D686">
        <v>0.72770999999999997</v>
      </c>
      <c r="E686">
        <v>0.70335000000000003</v>
      </c>
      <c r="F686">
        <v>0.71414</v>
      </c>
      <c r="G686">
        <v>957571529</v>
      </c>
      <c r="H686" t="s">
        <v>10</v>
      </c>
    </row>
    <row r="687" spans="1:8" x14ac:dyDescent="0.3">
      <c r="A687" t="s">
        <v>134</v>
      </c>
      <c r="B687" t="s">
        <v>11</v>
      </c>
      <c r="C687">
        <v>93954.25</v>
      </c>
      <c r="D687">
        <v>95768.390629999994</v>
      </c>
      <c r="E687">
        <v>92898.59375</v>
      </c>
      <c r="F687">
        <v>94720.5</v>
      </c>
      <c r="G687">
        <v>40915232364</v>
      </c>
      <c r="H687" t="s">
        <v>12</v>
      </c>
    </row>
    <row r="688" spans="1:8" x14ac:dyDescent="0.3">
      <c r="A688" t="s">
        <v>134</v>
      </c>
      <c r="B688" t="s">
        <v>13</v>
      </c>
      <c r="C688">
        <v>152.32135</v>
      </c>
      <c r="D688">
        <v>156.04517999999999</v>
      </c>
      <c r="E688">
        <v>150.12779</v>
      </c>
      <c r="F688">
        <v>150.91501</v>
      </c>
      <c r="G688">
        <v>4411923686</v>
      </c>
      <c r="H688" t="s">
        <v>14</v>
      </c>
    </row>
    <row r="689" spans="1:8" x14ac:dyDescent="0.3">
      <c r="A689" t="s">
        <v>134</v>
      </c>
      <c r="B689" t="s">
        <v>15</v>
      </c>
      <c r="C689">
        <v>2.2045400000000002</v>
      </c>
      <c r="D689">
        <v>2.2168899999999998</v>
      </c>
      <c r="E689">
        <v>2.16689</v>
      </c>
      <c r="F689">
        <v>2.1830500000000002</v>
      </c>
      <c r="G689">
        <v>3279550205</v>
      </c>
      <c r="H689" t="s">
        <v>16</v>
      </c>
    </row>
    <row r="690" spans="1:8" x14ac:dyDescent="0.3">
      <c r="A690" t="s">
        <v>134</v>
      </c>
      <c r="B690" t="s">
        <v>17</v>
      </c>
      <c r="C690">
        <v>1770.0036600000001</v>
      </c>
      <c r="D690">
        <v>1826.69605</v>
      </c>
      <c r="E690">
        <v>1740.3319100000001</v>
      </c>
      <c r="F690">
        <v>1786.6345200000001</v>
      </c>
      <c r="G690">
        <v>17459399281</v>
      </c>
      <c r="H690" t="s">
        <v>18</v>
      </c>
    </row>
    <row r="691" spans="1:8" x14ac:dyDescent="0.3">
      <c r="A691" t="s">
        <v>134</v>
      </c>
      <c r="B691" t="s">
        <v>19</v>
      </c>
      <c r="C691">
        <v>601.71527000000003</v>
      </c>
      <c r="D691">
        <v>610.17962999999997</v>
      </c>
      <c r="E691">
        <v>597.77031999999997</v>
      </c>
      <c r="F691">
        <v>600.18102999999996</v>
      </c>
      <c r="G691">
        <v>1735398071</v>
      </c>
      <c r="H691" t="s">
        <v>20</v>
      </c>
    </row>
    <row r="692" spans="1:8" x14ac:dyDescent="0.3">
      <c r="A692" t="s">
        <v>135</v>
      </c>
      <c r="B692" t="s">
        <v>9</v>
      </c>
      <c r="C692">
        <v>0.71411999999999998</v>
      </c>
      <c r="D692">
        <v>0.73314000000000001</v>
      </c>
      <c r="E692">
        <v>0.70237000000000005</v>
      </c>
      <c r="F692">
        <v>0.70752000000000004</v>
      </c>
      <c r="G692">
        <v>660103423</v>
      </c>
      <c r="H692" t="s">
        <v>10</v>
      </c>
    </row>
    <row r="693" spans="1:8" x14ac:dyDescent="0.3">
      <c r="A693" t="s">
        <v>135</v>
      </c>
      <c r="B693" t="s">
        <v>11</v>
      </c>
      <c r="C693">
        <v>94714.648440000004</v>
      </c>
      <c r="D693">
        <v>95251.359379999994</v>
      </c>
      <c r="E693">
        <v>93927.25</v>
      </c>
      <c r="F693">
        <v>94646.929690000004</v>
      </c>
      <c r="G693">
        <v>17612825123</v>
      </c>
      <c r="H693" t="s">
        <v>12</v>
      </c>
    </row>
    <row r="694" spans="1:8" x14ac:dyDescent="0.3">
      <c r="A694" t="s">
        <v>135</v>
      </c>
      <c r="B694" t="s">
        <v>13</v>
      </c>
      <c r="C694">
        <v>150.91727</v>
      </c>
      <c r="D694">
        <v>153.01953</v>
      </c>
      <c r="E694">
        <v>148.03740999999999</v>
      </c>
      <c r="F694">
        <v>149.28936999999999</v>
      </c>
      <c r="G694">
        <v>2128235815</v>
      </c>
      <c r="H694" t="s">
        <v>14</v>
      </c>
    </row>
    <row r="695" spans="1:8" x14ac:dyDescent="0.3">
      <c r="A695" t="s">
        <v>135</v>
      </c>
      <c r="B695" t="s">
        <v>15</v>
      </c>
      <c r="C695">
        <v>2.1830699999999998</v>
      </c>
      <c r="D695">
        <v>2.2459099999999999</v>
      </c>
      <c r="E695">
        <v>2.1823700000000001</v>
      </c>
      <c r="F695">
        <v>2.19319</v>
      </c>
      <c r="G695">
        <v>2524845629</v>
      </c>
      <c r="H695" t="s">
        <v>16</v>
      </c>
    </row>
    <row r="696" spans="1:8" x14ac:dyDescent="0.3">
      <c r="A696" t="s">
        <v>135</v>
      </c>
      <c r="B696" t="s">
        <v>17</v>
      </c>
      <c r="C696">
        <v>1786.53296</v>
      </c>
      <c r="D696">
        <v>1839.36304</v>
      </c>
      <c r="E696">
        <v>1781.47388</v>
      </c>
      <c r="F696">
        <v>1821.8811000000001</v>
      </c>
      <c r="G696">
        <v>11926379867</v>
      </c>
      <c r="H696" t="s">
        <v>18</v>
      </c>
    </row>
    <row r="697" spans="1:8" x14ac:dyDescent="0.3">
      <c r="A697" t="s">
        <v>135</v>
      </c>
      <c r="B697" t="s">
        <v>19</v>
      </c>
      <c r="C697">
        <v>600.19188999999994</v>
      </c>
      <c r="D697">
        <v>609.13611000000003</v>
      </c>
      <c r="E697">
        <v>600.08820000000003</v>
      </c>
      <c r="F697">
        <v>607.70410000000004</v>
      </c>
      <c r="G697">
        <v>1507509250</v>
      </c>
      <c r="H697" t="s">
        <v>20</v>
      </c>
    </row>
    <row r="698" spans="1:8" x14ac:dyDescent="0.3">
      <c r="A698" t="s">
        <v>136</v>
      </c>
      <c r="B698" t="s">
        <v>9</v>
      </c>
      <c r="C698">
        <v>0.70750999999999997</v>
      </c>
      <c r="D698">
        <v>0.71702999999999995</v>
      </c>
      <c r="E698">
        <v>0.69245999999999996</v>
      </c>
      <c r="F698">
        <v>0.70398000000000005</v>
      </c>
      <c r="G698">
        <v>573620571</v>
      </c>
      <c r="H698" t="s">
        <v>10</v>
      </c>
    </row>
    <row r="699" spans="1:8" x14ac:dyDescent="0.3">
      <c r="A699" t="s">
        <v>136</v>
      </c>
      <c r="B699" t="s">
        <v>11</v>
      </c>
      <c r="C699">
        <v>94660.90625</v>
      </c>
      <c r="D699">
        <v>95301.203129999994</v>
      </c>
      <c r="E699">
        <v>93665.398440000004</v>
      </c>
      <c r="F699">
        <v>93754.84375</v>
      </c>
      <c r="G699">
        <v>18090367764</v>
      </c>
      <c r="H699" t="s">
        <v>12</v>
      </c>
    </row>
    <row r="700" spans="1:8" x14ac:dyDescent="0.3">
      <c r="A700" t="s">
        <v>136</v>
      </c>
      <c r="B700" t="s">
        <v>13</v>
      </c>
      <c r="C700">
        <v>149.28970000000001</v>
      </c>
      <c r="D700">
        <v>150.20873</v>
      </c>
      <c r="E700">
        <v>145.76660000000001</v>
      </c>
      <c r="F700">
        <v>148.24583000000001</v>
      </c>
      <c r="G700">
        <v>2015737709</v>
      </c>
      <c r="H700" t="s">
        <v>14</v>
      </c>
    </row>
    <row r="701" spans="1:8" x14ac:dyDescent="0.3">
      <c r="A701" t="s">
        <v>136</v>
      </c>
      <c r="B701" t="s">
        <v>15</v>
      </c>
      <c r="C701">
        <v>2.19319</v>
      </c>
      <c r="D701">
        <v>2.2909999999999999</v>
      </c>
      <c r="E701">
        <v>2.1637900000000001</v>
      </c>
      <c r="F701">
        <v>2.25624</v>
      </c>
      <c r="G701">
        <v>3776527779</v>
      </c>
      <c r="H701" t="s">
        <v>16</v>
      </c>
    </row>
    <row r="702" spans="1:8" x14ac:dyDescent="0.3">
      <c r="A702" t="s">
        <v>136</v>
      </c>
      <c r="B702" t="s">
        <v>17</v>
      </c>
      <c r="C702">
        <v>1822.17554</v>
      </c>
      <c r="D702">
        <v>1856.4438500000001</v>
      </c>
      <c r="E702">
        <v>1785.9021</v>
      </c>
      <c r="F702">
        <v>1792.86499</v>
      </c>
      <c r="G702">
        <v>11321944113</v>
      </c>
      <c r="H702" t="s">
        <v>18</v>
      </c>
    </row>
    <row r="703" spans="1:8" x14ac:dyDescent="0.3">
      <c r="A703" t="s">
        <v>136</v>
      </c>
      <c r="B703" t="s">
        <v>19</v>
      </c>
      <c r="C703">
        <v>607.70410000000004</v>
      </c>
      <c r="D703">
        <v>608.58294999999998</v>
      </c>
      <c r="E703">
        <v>597.93499999999995</v>
      </c>
      <c r="F703">
        <v>603.61847</v>
      </c>
      <c r="G703">
        <v>1452152303</v>
      </c>
      <c r="H703" t="s">
        <v>20</v>
      </c>
    </row>
    <row r="704" spans="1:8" x14ac:dyDescent="0.3">
      <c r="A704" t="s">
        <v>137</v>
      </c>
      <c r="B704" t="s">
        <v>9</v>
      </c>
      <c r="C704">
        <v>0.70398000000000005</v>
      </c>
      <c r="D704">
        <v>0.72819</v>
      </c>
      <c r="E704">
        <v>0.68435000000000001</v>
      </c>
      <c r="F704">
        <v>0.70548</v>
      </c>
      <c r="G704">
        <v>895129397</v>
      </c>
      <c r="H704" t="s">
        <v>10</v>
      </c>
    </row>
    <row r="705" spans="1:8" x14ac:dyDescent="0.3">
      <c r="A705" t="s">
        <v>137</v>
      </c>
      <c r="B705" t="s">
        <v>11</v>
      </c>
      <c r="C705">
        <v>93755.304690000004</v>
      </c>
      <c r="D705">
        <v>95598.492190000004</v>
      </c>
      <c r="E705">
        <v>92860.804690000004</v>
      </c>
      <c r="F705">
        <v>94978.75</v>
      </c>
      <c r="G705">
        <v>32363449569</v>
      </c>
      <c r="H705" t="s">
        <v>12</v>
      </c>
    </row>
    <row r="706" spans="1:8" x14ac:dyDescent="0.3">
      <c r="A706" t="s">
        <v>137</v>
      </c>
      <c r="B706" t="s">
        <v>13</v>
      </c>
      <c r="C706">
        <v>148.24516</v>
      </c>
      <c r="D706">
        <v>153.20769999999999</v>
      </c>
      <c r="E706">
        <v>144.89144999999999</v>
      </c>
      <c r="F706">
        <v>147.80994000000001</v>
      </c>
      <c r="G706">
        <v>3819502747</v>
      </c>
      <c r="H706" t="s">
        <v>14</v>
      </c>
    </row>
    <row r="707" spans="1:8" x14ac:dyDescent="0.3">
      <c r="A707" t="s">
        <v>137</v>
      </c>
      <c r="B707" t="s">
        <v>15</v>
      </c>
      <c r="C707">
        <v>2.25624</v>
      </c>
      <c r="D707">
        <v>2.3521899999999998</v>
      </c>
      <c r="E707">
        <v>2.22709</v>
      </c>
      <c r="F707">
        <v>2.29514</v>
      </c>
      <c r="G707">
        <v>4354002634</v>
      </c>
      <c r="H707" t="s">
        <v>16</v>
      </c>
    </row>
    <row r="708" spans="1:8" x14ac:dyDescent="0.3">
      <c r="A708" t="s">
        <v>137</v>
      </c>
      <c r="B708" t="s">
        <v>17</v>
      </c>
      <c r="C708">
        <v>1792.4461699999999</v>
      </c>
      <c r="D708">
        <v>1827.4822999999999</v>
      </c>
      <c r="E708">
        <v>1747.7268099999999</v>
      </c>
      <c r="F708">
        <v>1798.8518099999999</v>
      </c>
      <c r="G708">
        <v>17043640437</v>
      </c>
      <c r="H708" t="s">
        <v>18</v>
      </c>
    </row>
    <row r="709" spans="1:8" x14ac:dyDescent="0.3">
      <c r="A709" t="s">
        <v>137</v>
      </c>
      <c r="B709" t="s">
        <v>19</v>
      </c>
      <c r="C709">
        <v>603.62463000000002</v>
      </c>
      <c r="D709">
        <v>608.15117999999995</v>
      </c>
      <c r="E709">
        <v>598.99370999999996</v>
      </c>
      <c r="F709">
        <v>606.36499000000003</v>
      </c>
      <c r="G709">
        <v>1478956158</v>
      </c>
      <c r="H709" t="s">
        <v>20</v>
      </c>
    </row>
    <row r="710" spans="1:8" x14ac:dyDescent="0.3">
      <c r="A710" t="s">
        <v>138</v>
      </c>
      <c r="B710" t="s">
        <v>9</v>
      </c>
      <c r="C710">
        <v>0.70548</v>
      </c>
      <c r="D710">
        <v>0.71762999999999999</v>
      </c>
      <c r="E710">
        <v>0.69032000000000004</v>
      </c>
      <c r="F710">
        <v>0.69633</v>
      </c>
      <c r="G710">
        <v>839231770</v>
      </c>
      <c r="H710" t="s">
        <v>10</v>
      </c>
    </row>
    <row r="711" spans="1:8" x14ac:dyDescent="0.3">
      <c r="A711" t="s">
        <v>138</v>
      </c>
      <c r="B711" t="s">
        <v>11</v>
      </c>
      <c r="C711">
        <v>94981.859379999994</v>
      </c>
      <c r="D711">
        <v>95485.414059999996</v>
      </c>
      <c r="E711">
        <v>93796.632809999996</v>
      </c>
      <c r="F711">
        <v>94284.789059999996</v>
      </c>
      <c r="G711">
        <v>25806129921</v>
      </c>
      <c r="H711" t="s">
        <v>12</v>
      </c>
    </row>
    <row r="712" spans="1:8" x14ac:dyDescent="0.3">
      <c r="A712" t="s">
        <v>138</v>
      </c>
      <c r="B712" t="s">
        <v>13</v>
      </c>
      <c r="C712">
        <v>147.80994000000001</v>
      </c>
      <c r="D712">
        <v>150.04418999999999</v>
      </c>
      <c r="E712">
        <v>145.16933</v>
      </c>
      <c r="F712">
        <v>146.42787000000001</v>
      </c>
      <c r="G712">
        <v>2872743502</v>
      </c>
      <c r="H712" t="s">
        <v>14</v>
      </c>
    </row>
    <row r="713" spans="1:8" x14ac:dyDescent="0.3">
      <c r="A713" t="s">
        <v>138</v>
      </c>
      <c r="B713" t="s">
        <v>15</v>
      </c>
      <c r="C713">
        <v>2.2951100000000002</v>
      </c>
      <c r="D713">
        <v>2.3117800000000002</v>
      </c>
      <c r="E713">
        <v>2.2238899999999999</v>
      </c>
      <c r="F713">
        <v>2.2408000000000001</v>
      </c>
      <c r="G713">
        <v>2889426361</v>
      </c>
      <c r="H713" t="s">
        <v>16</v>
      </c>
    </row>
    <row r="714" spans="1:8" x14ac:dyDescent="0.3">
      <c r="A714" t="s">
        <v>138</v>
      </c>
      <c r="B714" t="s">
        <v>17</v>
      </c>
      <c r="C714">
        <v>1798.9122299999999</v>
      </c>
      <c r="D714">
        <v>1842.0330799999999</v>
      </c>
      <c r="E714">
        <v>1782.28125</v>
      </c>
      <c r="F714">
        <v>1799.1756600000001</v>
      </c>
      <c r="G714">
        <v>14734257744</v>
      </c>
      <c r="H714" t="s">
        <v>18</v>
      </c>
    </row>
    <row r="715" spans="1:8" x14ac:dyDescent="0.3">
      <c r="A715" t="s">
        <v>138</v>
      </c>
      <c r="B715" t="s">
        <v>19</v>
      </c>
      <c r="C715">
        <v>606.36499000000003</v>
      </c>
      <c r="D715">
        <v>610.64044000000001</v>
      </c>
      <c r="E715">
        <v>598.66027999999994</v>
      </c>
      <c r="F715">
        <v>601.02899000000002</v>
      </c>
      <c r="G715">
        <v>1587553456</v>
      </c>
      <c r="H715" t="s">
        <v>20</v>
      </c>
    </row>
    <row r="716" spans="1:8" x14ac:dyDescent="0.3">
      <c r="A716" t="s">
        <v>139</v>
      </c>
      <c r="B716" t="s">
        <v>9</v>
      </c>
      <c r="C716">
        <v>0.69633</v>
      </c>
      <c r="D716">
        <v>0.70282999999999995</v>
      </c>
      <c r="E716">
        <v>0.66688999999999998</v>
      </c>
      <c r="F716">
        <v>0.68193000000000004</v>
      </c>
      <c r="G716">
        <v>664786586</v>
      </c>
      <c r="H716" t="s">
        <v>10</v>
      </c>
    </row>
    <row r="717" spans="1:8" x14ac:dyDescent="0.3">
      <c r="A717" t="s">
        <v>139</v>
      </c>
      <c r="B717" t="s">
        <v>11</v>
      </c>
      <c r="C717">
        <v>94286.46875</v>
      </c>
      <c r="D717">
        <v>95249.320309999996</v>
      </c>
      <c r="E717">
        <v>92979.640629999994</v>
      </c>
      <c r="F717">
        <v>94207.3125</v>
      </c>
      <c r="G717">
        <v>28344679831</v>
      </c>
      <c r="H717" t="s">
        <v>12</v>
      </c>
    </row>
    <row r="718" spans="1:8" x14ac:dyDescent="0.3">
      <c r="A718" t="s">
        <v>139</v>
      </c>
      <c r="B718" t="s">
        <v>13</v>
      </c>
      <c r="C718">
        <v>146.42749000000001</v>
      </c>
      <c r="D718">
        <v>148.20929000000001</v>
      </c>
      <c r="E718">
        <v>140.71209999999999</v>
      </c>
      <c r="F718">
        <v>147.64320000000001</v>
      </c>
      <c r="G718">
        <v>3017472875</v>
      </c>
      <c r="H718" t="s">
        <v>14</v>
      </c>
    </row>
    <row r="719" spans="1:8" x14ac:dyDescent="0.3">
      <c r="A719" t="s">
        <v>139</v>
      </c>
      <c r="B719" t="s">
        <v>15</v>
      </c>
      <c r="C719">
        <v>2.2407900000000001</v>
      </c>
      <c r="D719">
        <v>2.2582800000000001</v>
      </c>
      <c r="E719">
        <v>2.1297700000000002</v>
      </c>
      <c r="F719">
        <v>2.19156</v>
      </c>
      <c r="G719">
        <v>3691303521</v>
      </c>
      <c r="H719" t="s">
        <v>16</v>
      </c>
    </row>
    <row r="720" spans="1:8" x14ac:dyDescent="0.3">
      <c r="A720" t="s">
        <v>139</v>
      </c>
      <c r="B720" t="s">
        <v>17</v>
      </c>
      <c r="C720">
        <v>1799.20911</v>
      </c>
      <c r="D720">
        <v>1816.68994</v>
      </c>
      <c r="E720">
        <v>1736.14294</v>
      </c>
      <c r="F720">
        <v>1793.77539</v>
      </c>
      <c r="G720">
        <v>14810431362</v>
      </c>
      <c r="H720" t="s">
        <v>18</v>
      </c>
    </row>
    <row r="721" spans="1:8" x14ac:dyDescent="0.3">
      <c r="A721" t="s">
        <v>139</v>
      </c>
      <c r="B721" t="s">
        <v>19</v>
      </c>
      <c r="C721">
        <v>601.01898000000006</v>
      </c>
      <c r="D721">
        <v>604.47784000000001</v>
      </c>
      <c r="E721">
        <v>592.41778999999997</v>
      </c>
      <c r="F721">
        <v>599.68169999999998</v>
      </c>
      <c r="G721">
        <v>1504095222</v>
      </c>
      <c r="H721" t="s">
        <v>20</v>
      </c>
    </row>
    <row r="722" spans="1:8" x14ac:dyDescent="0.3">
      <c r="A722" t="s">
        <v>140</v>
      </c>
      <c r="B722" t="s">
        <v>9</v>
      </c>
      <c r="C722">
        <v>0.68193999999999999</v>
      </c>
      <c r="D722">
        <v>0.71379999999999999</v>
      </c>
      <c r="E722">
        <v>0.68183000000000005</v>
      </c>
      <c r="F722">
        <v>0.70543</v>
      </c>
      <c r="G722">
        <v>602107137</v>
      </c>
      <c r="H722" t="s">
        <v>10</v>
      </c>
    </row>
    <row r="723" spans="1:8" x14ac:dyDescent="0.3">
      <c r="A723" t="s">
        <v>140</v>
      </c>
      <c r="B723" t="s">
        <v>11</v>
      </c>
      <c r="C723">
        <v>94212.859379999994</v>
      </c>
      <c r="D723">
        <v>97437.960940000004</v>
      </c>
      <c r="E723">
        <v>94153.632809999996</v>
      </c>
      <c r="F723">
        <v>96492.335940000004</v>
      </c>
      <c r="G723">
        <v>32875889623</v>
      </c>
      <c r="H723" t="s">
        <v>12</v>
      </c>
    </row>
    <row r="724" spans="1:8" x14ac:dyDescent="0.3">
      <c r="A724" t="s">
        <v>140</v>
      </c>
      <c r="B724" t="s">
        <v>13</v>
      </c>
      <c r="C724">
        <v>147.64497</v>
      </c>
      <c r="D724">
        <v>153.86591000000001</v>
      </c>
      <c r="E724">
        <v>147.61297999999999</v>
      </c>
      <c r="F724">
        <v>150.84658999999999</v>
      </c>
      <c r="G724">
        <v>3224541533</v>
      </c>
      <c r="H724" t="s">
        <v>14</v>
      </c>
    </row>
    <row r="725" spans="1:8" x14ac:dyDescent="0.3">
      <c r="A725" t="s">
        <v>140</v>
      </c>
      <c r="B725" t="s">
        <v>15</v>
      </c>
      <c r="C725">
        <v>2.19157</v>
      </c>
      <c r="D725">
        <v>2.2549800000000002</v>
      </c>
      <c r="E725">
        <v>2.1911299999999998</v>
      </c>
      <c r="F725">
        <v>2.2141600000000001</v>
      </c>
      <c r="G725">
        <v>2221046439</v>
      </c>
      <c r="H725" t="s">
        <v>16</v>
      </c>
    </row>
    <row r="726" spans="1:8" x14ac:dyDescent="0.3">
      <c r="A726" t="s">
        <v>140</v>
      </c>
      <c r="B726" t="s">
        <v>17</v>
      </c>
      <c r="C726">
        <v>1794.0410199999999</v>
      </c>
      <c r="D726">
        <v>1872.93958</v>
      </c>
      <c r="E726">
        <v>1793.15112</v>
      </c>
      <c r="F726">
        <v>1839.22156</v>
      </c>
      <c r="G726">
        <v>15861442721</v>
      </c>
      <c r="H726" t="s">
        <v>18</v>
      </c>
    </row>
    <row r="727" spans="1:8" x14ac:dyDescent="0.3">
      <c r="A727" t="s">
        <v>140</v>
      </c>
      <c r="B727" t="s">
        <v>19</v>
      </c>
      <c r="C727">
        <v>599.68718999999999</v>
      </c>
      <c r="D727">
        <v>605.13726999999994</v>
      </c>
      <c r="E727">
        <v>598.48859000000004</v>
      </c>
      <c r="F727">
        <v>599.91821000000004</v>
      </c>
      <c r="G727">
        <v>1406049035</v>
      </c>
      <c r="H727" t="s">
        <v>20</v>
      </c>
    </row>
    <row r="728" spans="1:8" x14ac:dyDescent="0.3">
      <c r="A728" t="s">
        <v>141</v>
      </c>
      <c r="B728" t="s">
        <v>9</v>
      </c>
      <c r="C728">
        <v>0.70543</v>
      </c>
      <c r="D728">
        <v>0.72433999999999998</v>
      </c>
      <c r="E728">
        <v>0.69006999999999996</v>
      </c>
      <c r="F728">
        <v>0.69803999999999999</v>
      </c>
      <c r="G728">
        <v>690154754</v>
      </c>
      <c r="H728" t="s">
        <v>10</v>
      </c>
    </row>
    <row r="729" spans="1:8" x14ac:dyDescent="0.3">
      <c r="A729" t="s">
        <v>141</v>
      </c>
      <c r="B729" t="s">
        <v>11</v>
      </c>
      <c r="C729">
        <v>96494.96875</v>
      </c>
      <c r="D729">
        <v>97905.898440000004</v>
      </c>
      <c r="E729">
        <v>96375.945309999996</v>
      </c>
      <c r="F729">
        <v>96910.070309999996</v>
      </c>
      <c r="G729">
        <v>26421924677</v>
      </c>
      <c r="H729" t="s">
        <v>12</v>
      </c>
    </row>
    <row r="730" spans="1:8" x14ac:dyDescent="0.3">
      <c r="A730" t="s">
        <v>141</v>
      </c>
      <c r="B730" t="s">
        <v>13</v>
      </c>
      <c r="C730">
        <v>150.84314000000001</v>
      </c>
      <c r="D730">
        <v>151.73169999999999</v>
      </c>
      <c r="E730">
        <v>147.45223999999999</v>
      </c>
      <c r="F730">
        <v>148.05002999999999</v>
      </c>
      <c r="G730">
        <v>2823970426</v>
      </c>
      <c r="H730" t="s">
        <v>14</v>
      </c>
    </row>
    <row r="731" spans="1:8" x14ac:dyDescent="0.3">
      <c r="A731" t="s">
        <v>141</v>
      </c>
      <c r="B731" t="s">
        <v>15</v>
      </c>
      <c r="C731">
        <v>2.2141700000000002</v>
      </c>
      <c r="D731">
        <v>2.23882</v>
      </c>
      <c r="E731">
        <v>2.1949200000000002</v>
      </c>
      <c r="F731">
        <v>2.2098300000000002</v>
      </c>
      <c r="G731">
        <v>2148434217</v>
      </c>
      <c r="H731" t="s">
        <v>16</v>
      </c>
    </row>
    <row r="732" spans="1:8" x14ac:dyDescent="0.3">
      <c r="A732" t="s">
        <v>141</v>
      </c>
      <c r="B732" t="s">
        <v>17</v>
      </c>
      <c r="C732">
        <v>1839.17481</v>
      </c>
      <c r="D732">
        <v>1869.5300299999999</v>
      </c>
      <c r="E732">
        <v>1814.73047</v>
      </c>
      <c r="F732">
        <v>1842.7078899999999</v>
      </c>
      <c r="G732">
        <v>13570171872</v>
      </c>
      <c r="H732" t="s">
        <v>18</v>
      </c>
    </row>
    <row r="733" spans="1:8" x14ac:dyDescent="0.3">
      <c r="A733" t="s">
        <v>141</v>
      </c>
      <c r="B733" t="s">
        <v>19</v>
      </c>
      <c r="C733">
        <v>599.92902000000004</v>
      </c>
      <c r="D733">
        <v>603.50507000000005</v>
      </c>
      <c r="E733">
        <v>595.82965000000002</v>
      </c>
      <c r="F733">
        <v>601.16417999999999</v>
      </c>
      <c r="G733">
        <v>1444818831</v>
      </c>
      <c r="H733" t="s">
        <v>20</v>
      </c>
    </row>
    <row r="734" spans="1:8" x14ac:dyDescent="0.3">
      <c r="A734" t="s">
        <v>142</v>
      </c>
      <c r="B734" t="s">
        <v>9</v>
      </c>
      <c r="C734">
        <v>0.69803999999999999</v>
      </c>
      <c r="D734">
        <v>0.72836000000000001</v>
      </c>
      <c r="E734">
        <v>0.69271000000000005</v>
      </c>
      <c r="F734">
        <v>0.70103000000000004</v>
      </c>
      <c r="G734">
        <v>778920755</v>
      </c>
      <c r="H734" t="s">
        <v>10</v>
      </c>
    </row>
    <row r="735" spans="1:8" x14ac:dyDescent="0.3">
      <c r="A735" t="s">
        <v>142</v>
      </c>
      <c r="B735" t="s">
        <v>11</v>
      </c>
      <c r="C735">
        <v>96904.632809999996</v>
      </c>
      <c r="D735">
        <v>96943.882809999996</v>
      </c>
      <c r="E735">
        <v>95821.289059999996</v>
      </c>
      <c r="F735">
        <v>95891.796879999994</v>
      </c>
      <c r="G735">
        <v>15775154889</v>
      </c>
      <c r="H735" t="s">
        <v>12</v>
      </c>
    </row>
    <row r="736" spans="1:8" x14ac:dyDescent="0.3">
      <c r="A736" t="s">
        <v>142</v>
      </c>
      <c r="B736" t="s">
        <v>13</v>
      </c>
      <c r="C736">
        <v>148.04984999999999</v>
      </c>
      <c r="D736">
        <v>148.95946000000001</v>
      </c>
      <c r="E736">
        <v>146.1095</v>
      </c>
      <c r="F736">
        <v>146.79605000000001</v>
      </c>
      <c r="G736">
        <v>1567415096</v>
      </c>
      <c r="H736" t="s">
        <v>14</v>
      </c>
    </row>
    <row r="737" spans="1:8" x14ac:dyDescent="0.3">
      <c r="A737" t="s">
        <v>142</v>
      </c>
      <c r="B737" t="s">
        <v>15</v>
      </c>
      <c r="C737">
        <v>2.2098300000000002</v>
      </c>
      <c r="D737">
        <v>2.21922</v>
      </c>
      <c r="E737">
        <v>2.1809699999999999</v>
      </c>
      <c r="F737">
        <v>2.1883699999999999</v>
      </c>
      <c r="G737">
        <v>1427745527</v>
      </c>
      <c r="H737" t="s">
        <v>16</v>
      </c>
    </row>
    <row r="738" spans="1:8" x14ac:dyDescent="0.3">
      <c r="A738" t="s">
        <v>142</v>
      </c>
      <c r="B738" t="s">
        <v>17</v>
      </c>
      <c r="C738">
        <v>1842.7181399999999</v>
      </c>
      <c r="D738">
        <v>1848.24683</v>
      </c>
      <c r="E738">
        <v>1812.81567</v>
      </c>
      <c r="F738">
        <v>1833.8397199999999</v>
      </c>
      <c r="G738">
        <v>8344452620</v>
      </c>
      <c r="H738" t="s">
        <v>18</v>
      </c>
    </row>
    <row r="739" spans="1:8" x14ac:dyDescent="0.3">
      <c r="A739" t="s">
        <v>142</v>
      </c>
      <c r="B739" t="s">
        <v>19</v>
      </c>
      <c r="C739">
        <v>601.16436999999996</v>
      </c>
      <c r="D739">
        <v>601.29443000000003</v>
      </c>
      <c r="E739">
        <v>595.59320000000002</v>
      </c>
      <c r="F739">
        <v>599.33136000000002</v>
      </c>
      <c r="G739">
        <v>1221915136</v>
      </c>
      <c r="H739" t="s">
        <v>20</v>
      </c>
    </row>
    <row r="740" spans="1:8" x14ac:dyDescent="0.3">
      <c r="A740" t="s">
        <v>143</v>
      </c>
      <c r="B740" t="s">
        <v>9</v>
      </c>
      <c r="C740">
        <v>0.70103000000000004</v>
      </c>
      <c r="D740">
        <v>0.71336999999999995</v>
      </c>
      <c r="E740">
        <v>0.67339000000000004</v>
      </c>
      <c r="F740">
        <v>0.67669000000000001</v>
      </c>
      <c r="G740">
        <v>704179966</v>
      </c>
      <c r="H740" t="s">
        <v>10</v>
      </c>
    </row>
    <row r="741" spans="1:8" x14ac:dyDescent="0.3">
      <c r="A741" t="s">
        <v>143</v>
      </c>
      <c r="B741" t="s">
        <v>11</v>
      </c>
      <c r="C741">
        <v>95877.1875</v>
      </c>
      <c r="D741">
        <v>96318.921879999994</v>
      </c>
      <c r="E741">
        <v>94173.429690000004</v>
      </c>
      <c r="F741">
        <v>94315.976559999996</v>
      </c>
      <c r="G741">
        <v>18198688416</v>
      </c>
      <c r="H741" t="s">
        <v>12</v>
      </c>
    </row>
    <row r="742" spans="1:8" x14ac:dyDescent="0.3">
      <c r="A742" t="s">
        <v>143</v>
      </c>
      <c r="B742" t="s">
        <v>13</v>
      </c>
      <c r="C742">
        <v>146.79596000000001</v>
      </c>
      <c r="D742">
        <v>147.68251000000001</v>
      </c>
      <c r="E742">
        <v>143.82241999999999</v>
      </c>
      <c r="F742">
        <v>143.98305999999999</v>
      </c>
      <c r="G742">
        <v>1636835620</v>
      </c>
      <c r="H742" t="s">
        <v>14</v>
      </c>
    </row>
    <row r="743" spans="1:8" x14ac:dyDescent="0.3">
      <c r="A743" t="s">
        <v>143</v>
      </c>
      <c r="B743" t="s">
        <v>15</v>
      </c>
      <c r="C743">
        <v>2.1883599999999999</v>
      </c>
      <c r="D743">
        <v>2.2153900000000002</v>
      </c>
      <c r="E743">
        <v>2.1541800000000002</v>
      </c>
      <c r="F743">
        <v>2.1577899999999999</v>
      </c>
      <c r="G743">
        <v>1606676574</v>
      </c>
      <c r="H743" t="s">
        <v>16</v>
      </c>
    </row>
    <row r="744" spans="1:8" x14ac:dyDescent="0.3">
      <c r="A744" t="s">
        <v>143</v>
      </c>
      <c r="B744" t="s">
        <v>17</v>
      </c>
      <c r="C744">
        <v>1833.6472200000001</v>
      </c>
      <c r="D744">
        <v>1849.99854</v>
      </c>
      <c r="E744">
        <v>1804.49512</v>
      </c>
      <c r="F744">
        <v>1808.5942399999999</v>
      </c>
      <c r="G744">
        <v>8918979887</v>
      </c>
      <c r="H744" t="s">
        <v>18</v>
      </c>
    </row>
    <row r="745" spans="1:8" x14ac:dyDescent="0.3">
      <c r="A745" t="s">
        <v>143</v>
      </c>
      <c r="B745" t="s">
        <v>19</v>
      </c>
      <c r="C745">
        <v>599.33136000000002</v>
      </c>
      <c r="D745">
        <v>600.44348000000002</v>
      </c>
      <c r="E745">
        <v>585.30811000000006</v>
      </c>
      <c r="F745">
        <v>585.99505999999997</v>
      </c>
      <c r="G745">
        <v>1306600030</v>
      </c>
      <c r="H745" t="s">
        <v>20</v>
      </c>
    </row>
    <row r="746" spans="1:8" x14ac:dyDescent="0.3">
      <c r="A746" t="s">
        <v>144</v>
      </c>
      <c r="B746" t="s">
        <v>9</v>
      </c>
      <c r="C746">
        <v>0.67669000000000001</v>
      </c>
      <c r="D746">
        <v>0.68979000000000001</v>
      </c>
      <c r="E746">
        <v>0.65600000000000003</v>
      </c>
      <c r="F746">
        <v>0.66298000000000001</v>
      </c>
      <c r="G746">
        <v>699151297</v>
      </c>
      <c r="H746" t="s">
        <v>10</v>
      </c>
    </row>
    <row r="747" spans="1:8" x14ac:dyDescent="0.3">
      <c r="A747" t="s">
        <v>144</v>
      </c>
      <c r="B747" t="s">
        <v>11</v>
      </c>
      <c r="C747">
        <v>94319.5625</v>
      </c>
      <c r="D747">
        <v>95193.1875</v>
      </c>
      <c r="E747">
        <v>93566.265629999994</v>
      </c>
      <c r="F747">
        <v>94748.054690000004</v>
      </c>
      <c r="G747">
        <v>25816260327</v>
      </c>
      <c r="H747" t="s">
        <v>12</v>
      </c>
    </row>
    <row r="748" spans="1:8" x14ac:dyDescent="0.3">
      <c r="A748" t="s">
        <v>144</v>
      </c>
      <c r="B748" t="s">
        <v>13</v>
      </c>
      <c r="C748">
        <v>143.98593</v>
      </c>
      <c r="D748">
        <v>147.61659</v>
      </c>
      <c r="E748">
        <v>142.89989</v>
      </c>
      <c r="F748">
        <v>146.69664</v>
      </c>
      <c r="G748">
        <v>2238980623</v>
      </c>
      <c r="H748" t="s">
        <v>14</v>
      </c>
    </row>
    <row r="749" spans="1:8" x14ac:dyDescent="0.3">
      <c r="A749" t="s">
        <v>144</v>
      </c>
      <c r="B749" t="s">
        <v>15</v>
      </c>
      <c r="C749">
        <v>2.1577600000000001</v>
      </c>
      <c r="D749">
        <v>2.19354</v>
      </c>
      <c r="E749">
        <v>2.1095799999999998</v>
      </c>
      <c r="F749">
        <v>2.1356099999999998</v>
      </c>
      <c r="G749">
        <v>2518838395</v>
      </c>
      <c r="H749" t="s">
        <v>16</v>
      </c>
    </row>
    <row r="750" spans="1:8" x14ac:dyDescent="0.3">
      <c r="A750" t="s">
        <v>144</v>
      </c>
      <c r="B750" t="s">
        <v>17</v>
      </c>
      <c r="C750">
        <v>1808.70496</v>
      </c>
      <c r="D750">
        <v>1832.05078</v>
      </c>
      <c r="E750">
        <v>1783.3148200000001</v>
      </c>
      <c r="F750">
        <v>1819.69751</v>
      </c>
      <c r="G750">
        <v>11389336489</v>
      </c>
      <c r="H750" t="s">
        <v>18</v>
      </c>
    </row>
    <row r="751" spans="1:8" x14ac:dyDescent="0.3">
      <c r="A751" t="s">
        <v>144</v>
      </c>
      <c r="B751" t="s">
        <v>19</v>
      </c>
      <c r="C751">
        <v>585.99505999999997</v>
      </c>
      <c r="D751">
        <v>599.85222999999996</v>
      </c>
      <c r="E751">
        <v>584.60968000000003</v>
      </c>
      <c r="F751">
        <v>597.68975999999998</v>
      </c>
      <c r="G751">
        <v>1465943685</v>
      </c>
      <c r="H751" t="s">
        <v>20</v>
      </c>
    </row>
    <row r="752" spans="1:8" x14ac:dyDescent="0.3">
      <c r="A752" t="s">
        <v>145</v>
      </c>
      <c r="B752" t="s">
        <v>9</v>
      </c>
      <c r="C752">
        <v>0.66298000000000001</v>
      </c>
      <c r="D752">
        <v>0.67996999999999996</v>
      </c>
      <c r="E752">
        <v>0.64463000000000004</v>
      </c>
      <c r="F752">
        <v>0.67837999999999998</v>
      </c>
      <c r="G752">
        <v>592765534</v>
      </c>
      <c r="H752" t="s">
        <v>10</v>
      </c>
    </row>
    <row r="753" spans="1:8" x14ac:dyDescent="0.3">
      <c r="A753" t="s">
        <v>145</v>
      </c>
      <c r="B753" t="s">
        <v>11</v>
      </c>
      <c r="C753">
        <v>94748.382809999996</v>
      </c>
      <c r="D753">
        <v>96889.179690000004</v>
      </c>
      <c r="E753">
        <v>93399.859379999994</v>
      </c>
      <c r="F753">
        <v>96802.476559999996</v>
      </c>
      <c r="G753">
        <v>26551275827</v>
      </c>
      <c r="H753" t="s">
        <v>12</v>
      </c>
    </row>
    <row r="754" spans="1:8" x14ac:dyDescent="0.3">
      <c r="A754" t="s">
        <v>145</v>
      </c>
      <c r="B754" t="s">
        <v>13</v>
      </c>
      <c r="C754">
        <v>146.69577000000001</v>
      </c>
      <c r="D754">
        <v>147.08965000000001</v>
      </c>
      <c r="E754">
        <v>141.67053000000001</v>
      </c>
      <c r="F754">
        <v>146.7664</v>
      </c>
      <c r="G754">
        <v>2728680947</v>
      </c>
      <c r="H754" t="s">
        <v>14</v>
      </c>
    </row>
    <row r="755" spans="1:8" x14ac:dyDescent="0.3">
      <c r="A755" t="s">
        <v>145</v>
      </c>
      <c r="B755" t="s">
        <v>15</v>
      </c>
      <c r="C755">
        <v>2.1355300000000002</v>
      </c>
      <c r="D755">
        <v>2.15781</v>
      </c>
      <c r="E755">
        <v>2.0805400000000001</v>
      </c>
      <c r="F755">
        <v>2.15543</v>
      </c>
      <c r="G755">
        <v>2458675034</v>
      </c>
      <c r="H755" t="s">
        <v>16</v>
      </c>
    </row>
    <row r="756" spans="1:8" x14ac:dyDescent="0.3">
      <c r="A756" t="s">
        <v>145</v>
      </c>
      <c r="B756" t="s">
        <v>17</v>
      </c>
      <c r="C756">
        <v>1819.7340099999999</v>
      </c>
      <c r="D756">
        <v>1820.7966300000001</v>
      </c>
      <c r="E756">
        <v>1753.3154300000001</v>
      </c>
      <c r="F756">
        <v>1815.08752</v>
      </c>
      <c r="G756">
        <v>13206516310</v>
      </c>
      <c r="H756" t="s">
        <v>18</v>
      </c>
    </row>
    <row r="757" spans="1:8" x14ac:dyDescent="0.3">
      <c r="A757" t="s">
        <v>145</v>
      </c>
      <c r="B757" t="s">
        <v>19</v>
      </c>
      <c r="C757">
        <v>597.68975999999998</v>
      </c>
      <c r="D757">
        <v>602.96862999999996</v>
      </c>
      <c r="E757">
        <v>593.59900000000005</v>
      </c>
      <c r="F757">
        <v>602.47388000000001</v>
      </c>
      <c r="G757">
        <v>1594251780</v>
      </c>
      <c r="H757" t="s">
        <v>20</v>
      </c>
    </row>
    <row r="758" spans="1:8" x14ac:dyDescent="0.3">
      <c r="A758" t="s">
        <v>146</v>
      </c>
      <c r="B758" t="s">
        <v>9</v>
      </c>
      <c r="C758">
        <v>0.67837000000000003</v>
      </c>
      <c r="D758">
        <v>0.68784000000000001</v>
      </c>
      <c r="E758">
        <v>0.65654000000000001</v>
      </c>
      <c r="F758">
        <v>0.67118999999999995</v>
      </c>
      <c r="G758">
        <v>615619795</v>
      </c>
      <c r="H758" t="s">
        <v>10</v>
      </c>
    </row>
    <row r="759" spans="1:8" x14ac:dyDescent="0.3">
      <c r="A759" t="s">
        <v>146</v>
      </c>
      <c r="B759" t="s">
        <v>11</v>
      </c>
      <c r="C759">
        <v>96800.195309999996</v>
      </c>
      <c r="D759">
        <v>97625.804690000004</v>
      </c>
      <c r="E759">
        <v>95829.335940000004</v>
      </c>
      <c r="F759">
        <v>97032.320309999996</v>
      </c>
      <c r="G759">
        <v>76983822462</v>
      </c>
      <c r="H759" t="s">
        <v>12</v>
      </c>
    </row>
    <row r="760" spans="1:8" x14ac:dyDescent="0.3">
      <c r="A760" t="s">
        <v>146</v>
      </c>
      <c r="B760" t="s">
        <v>13</v>
      </c>
      <c r="C760">
        <v>146.76688999999999</v>
      </c>
      <c r="D760">
        <v>149.33984000000001</v>
      </c>
      <c r="E760">
        <v>144.88271</v>
      </c>
      <c r="F760">
        <v>147.21375</v>
      </c>
      <c r="G760">
        <v>4316881378</v>
      </c>
      <c r="H760" t="s">
        <v>14</v>
      </c>
    </row>
    <row r="761" spans="1:8" x14ac:dyDescent="0.3">
      <c r="A761" t="s">
        <v>146</v>
      </c>
      <c r="B761" t="s">
        <v>15</v>
      </c>
      <c r="C761">
        <v>2.1553499999999999</v>
      </c>
      <c r="D761">
        <v>2.1697199999999999</v>
      </c>
      <c r="E761">
        <v>2.1089199999999999</v>
      </c>
      <c r="F761">
        <v>2.1261700000000001</v>
      </c>
      <c r="G761">
        <v>3808556620</v>
      </c>
      <c r="H761" t="s">
        <v>16</v>
      </c>
    </row>
    <row r="762" spans="1:8" x14ac:dyDescent="0.3">
      <c r="A762" t="s">
        <v>146</v>
      </c>
      <c r="B762" t="s">
        <v>17</v>
      </c>
      <c r="C762">
        <v>1815.01892</v>
      </c>
      <c r="D762">
        <v>1849.6584499999999</v>
      </c>
      <c r="E762">
        <v>1788.6873800000001</v>
      </c>
      <c r="F762">
        <v>1811.6066900000001</v>
      </c>
      <c r="G762">
        <v>50540755039</v>
      </c>
      <c r="H762" t="s">
        <v>18</v>
      </c>
    </row>
    <row r="763" spans="1:8" x14ac:dyDescent="0.3">
      <c r="A763" t="s">
        <v>146</v>
      </c>
      <c r="B763" t="s">
        <v>19</v>
      </c>
      <c r="C763">
        <v>602.47388000000001</v>
      </c>
      <c r="D763">
        <v>608.98584000000005</v>
      </c>
      <c r="E763">
        <v>598.29723999999999</v>
      </c>
      <c r="F763">
        <v>603.27966000000004</v>
      </c>
      <c r="G763">
        <v>1537003234</v>
      </c>
      <c r="H763" t="s">
        <v>20</v>
      </c>
    </row>
    <row r="764" spans="1:8" x14ac:dyDescent="0.3">
      <c r="A764" t="s">
        <v>147</v>
      </c>
      <c r="B764" t="s">
        <v>9</v>
      </c>
      <c r="C764">
        <v>0.67120999999999997</v>
      </c>
      <c r="D764">
        <v>0.76834000000000002</v>
      </c>
      <c r="E764">
        <v>0.67078000000000004</v>
      </c>
      <c r="F764">
        <v>0.76659999999999995</v>
      </c>
      <c r="G764">
        <v>1352507618</v>
      </c>
      <c r="H764" t="s">
        <v>10</v>
      </c>
    </row>
    <row r="765" spans="1:8" x14ac:dyDescent="0.3">
      <c r="A765" t="s">
        <v>147</v>
      </c>
      <c r="B765" t="s">
        <v>11</v>
      </c>
      <c r="C765">
        <v>97034.25</v>
      </c>
      <c r="D765">
        <v>103969.53909999999</v>
      </c>
      <c r="E765">
        <v>96913.875</v>
      </c>
      <c r="F765">
        <v>103241.46090000001</v>
      </c>
      <c r="G765">
        <v>69895404397</v>
      </c>
      <c r="H765" t="s">
        <v>12</v>
      </c>
    </row>
    <row r="766" spans="1:8" x14ac:dyDescent="0.3">
      <c r="A766" t="s">
        <v>147</v>
      </c>
      <c r="B766" t="s">
        <v>13</v>
      </c>
      <c r="C766">
        <v>147.21727000000001</v>
      </c>
      <c r="D766">
        <v>163.97505000000001</v>
      </c>
      <c r="E766">
        <v>147.21419</v>
      </c>
      <c r="F766">
        <v>163.96078</v>
      </c>
      <c r="G766">
        <v>6372889923</v>
      </c>
      <c r="H766" t="s">
        <v>14</v>
      </c>
    </row>
    <row r="767" spans="1:8" x14ac:dyDescent="0.3">
      <c r="A767" t="s">
        <v>147</v>
      </c>
      <c r="B767" t="s">
        <v>15</v>
      </c>
      <c r="C767">
        <v>2.1261700000000001</v>
      </c>
      <c r="D767">
        <v>2.3246699999999998</v>
      </c>
      <c r="E767">
        <v>2.11931</v>
      </c>
      <c r="F767">
        <v>2.3231799999999998</v>
      </c>
      <c r="G767">
        <v>4714441484</v>
      </c>
      <c r="H767" t="s">
        <v>16</v>
      </c>
    </row>
    <row r="768" spans="1:8" x14ac:dyDescent="0.3">
      <c r="A768" t="s">
        <v>147</v>
      </c>
      <c r="B768" t="s">
        <v>17</v>
      </c>
      <c r="C768">
        <v>1811.54639</v>
      </c>
      <c r="D768">
        <v>2222.2055700000001</v>
      </c>
      <c r="E768">
        <v>1809.4569100000001</v>
      </c>
      <c r="F768">
        <v>2206.5146500000001</v>
      </c>
      <c r="G768">
        <v>37777245241</v>
      </c>
      <c r="H768" t="s">
        <v>18</v>
      </c>
    </row>
    <row r="769" spans="1:8" x14ac:dyDescent="0.3">
      <c r="A769" t="s">
        <v>147</v>
      </c>
      <c r="B769" t="s">
        <v>19</v>
      </c>
      <c r="C769">
        <v>603.27941999999996</v>
      </c>
      <c r="D769">
        <v>628.67174999999997</v>
      </c>
      <c r="E769">
        <v>601.00787000000003</v>
      </c>
      <c r="F769">
        <v>628.66345000000001</v>
      </c>
      <c r="G769">
        <v>2061341461</v>
      </c>
      <c r="H769" t="s">
        <v>20</v>
      </c>
    </row>
    <row r="770" spans="1:8" x14ac:dyDescent="0.3">
      <c r="A770" t="s">
        <v>148</v>
      </c>
      <c r="B770" t="s">
        <v>9</v>
      </c>
      <c r="C770">
        <v>0.76673999999999998</v>
      </c>
      <c r="D770">
        <v>0.81616999999999995</v>
      </c>
      <c r="E770">
        <v>0.75585999999999998</v>
      </c>
      <c r="F770">
        <v>0.77771000000000001</v>
      </c>
      <c r="G770">
        <v>1495123581</v>
      </c>
      <c r="H770" t="s">
        <v>10</v>
      </c>
    </row>
    <row r="771" spans="1:8" x14ac:dyDescent="0.3">
      <c r="A771" t="s">
        <v>148</v>
      </c>
      <c r="B771" t="s">
        <v>11</v>
      </c>
      <c r="C771">
        <v>103239.125</v>
      </c>
      <c r="D771">
        <v>104297.49219999999</v>
      </c>
      <c r="E771">
        <v>102343.0938</v>
      </c>
      <c r="F771">
        <v>102970.85159999999</v>
      </c>
      <c r="G771">
        <v>58198593958</v>
      </c>
      <c r="H771" t="s">
        <v>12</v>
      </c>
    </row>
    <row r="772" spans="1:8" x14ac:dyDescent="0.3">
      <c r="A772" t="s">
        <v>148</v>
      </c>
      <c r="B772" t="s">
        <v>13</v>
      </c>
      <c r="C772">
        <v>163.96024</v>
      </c>
      <c r="D772">
        <v>175.86207999999999</v>
      </c>
      <c r="E772">
        <v>161.24777</v>
      </c>
      <c r="F772">
        <v>172.82828000000001</v>
      </c>
      <c r="G772">
        <v>7452318987</v>
      </c>
      <c r="H772" t="s">
        <v>14</v>
      </c>
    </row>
    <row r="773" spans="1:8" x14ac:dyDescent="0.3">
      <c r="A773" t="s">
        <v>148</v>
      </c>
      <c r="B773" t="s">
        <v>15</v>
      </c>
      <c r="C773">
        <v>2.3231700000000002</v>
      </c>
      <c r="D773">
        <v>2.4253999999999998</v>
      </c>
      <c r="E773">
        <v>2.2902499999999999</v>
      </c>
      <c r="F773">
        <v>2.3446699999999998</v>
      </c>
      <c r="G773">
        <v>5991870742</v>
      </c>
      <c r="H773" t="s">
        <v>16</v>
      </c>
    </row>
    <row r="774" spans="1:8" x14ac:dyDescent="0.3">
      <c r="A774" t="s">
        <v>148</v>
      </c>
      <c r="B774" t="s">
        <v>17</v>
      </c>
      <c r="C774">
        <v>2206.12817</v>
      </c>
      <c r="D774">
        <v>2486.00684</v>
      </c>
      <c r="E774">
        <v>2186.0544399999999</v>
      </c>
      <c r="F774">
        <v>2345.5073200000002</v>
      </c>
      <c r="G774">
        <v>43766026875</v>
      </c>
      <c r="H774" t="s">
        <v>18</v>
      </c>
    </row>
    <row r="775" spans="1:8" x14ac:dyDescent="0.3">
      <c r="A775" t="s">
        <v>148</v>
      </c>
      <c r="B775" t="s">
        <v>19</v>
      </c>
      <c r="C775">
        <v>628.65288999999996</v>
      </c>
      <c r="D775">
        <v>667.80034999999998</v>
      </c>
      <c r="E775">
        <v>623.88347999999996</v>
      </c>
      <c r="F775">
        <v>666.87847999999997</v>
      </c>
      <c r="G775">
        <v>2418287835</v>
      </c>
      <c r="H775" t="s">
        <v>20</v>
      </c>
    </row>
    <row r="776" spans="1:8" x14ac:dyDescent="0.3">
      <c r="A776" t="s">
        <v>149</v>
      </c>
      <c r="B776" t="s">
        <v>9</v>
      </c>
      <c r="C776">
        <v>0.77771000000000001</v>
      </c>
      <c r="D776">
        <v>0.84148000000000001</v>
      </c>
      <c r="E776">
        <v>0.77302999999999999</v>
      </c>
      <c r="F776">
        <v>0.84126999999999996</v>
      </c>
      <c r="G776">
        <v>1434324472</v>
      </c>
      <c r="H776" t="s">
        <v>10</v>
      </c>
    </row>
    <row r="777" spans="1:8" x14ac:dyDescent="0.3">
      <c r="A777" t="s">
        <v>149</v>
      </c>
      <c r="B777" t="s">
        <v>11</v>
      </c>
      <c r="C777">
        <v>102973.71090000001</v>
      </c>
      <c r="D777">
        <v>104961.7656</v>
      </c>
      <c r="E777">
        <v>102830.4844</v>
      </c>
      <c r="F777">
        <v>104696.3281</v>
      </c>
      <c r="G777">
        <v>42276713994</v>
      </c>
      <c r="H777" t="s">
        <v>12</v>
      </c>
    </row>
    <row r="778" spans="1:8" x14ac:dyDescent="0.3">
      <c r="A778" t="s">
        <v>149</v>
      </c>
      <c r="B778" t="s">
        <v>13</v>
      </c>
      <c r="C778">
        <v>172.82769999999999</v>
      </c>
      <c r="D778">
        <v>178.57185000000001</v>
      </c>
      <c r="E778">
        <v>168.92940999999999</v>
      </c>
      <c r="F778">
        <v>177.62181000000001</v>
      </c>
      <c r="G778">
        <v>4012477696</v>
      </c>
      <c r="H778" t="s">
        <v>14</v>
      </c>
    </row>
    <row r="779" spans="1:8" x14ac:dyDescent="0.3">
      <c r="A779" t="s">
        <v>149</v>
      </c>
      <c r="B779" t="s">
        <v>15</v>
      </c>
      <c r="C779">
        <v>2.34463</v>
      </c>
      <c r="D779">
        <v>2.4726699999999999</v>
      </c>
      <c r="E779">
        <v>2.3401800000000001</v>
      </c>
      <c r="F779">
        <v>2.4720300000000002</v>
      </c>
      <c r="G779">
        <v>4373016278</v>
      </c>
      <c r="H779" t="s">
        <v>16</v>
      </c>
    </row>
    <row r="780" spans="1:8" x14ac:dyDescent="0.3">
      <c r="A780" t="s">
        <v>149</v>
      </c>
      <c r="B780" t="s">
        <v>17</v>
      </c>
      <c r="C780">
        <v>2345.7604999999999</v>
      </c>
      <c r="D780">
        <v>2597.5434599999999</v>
      </c>
      <c r="E780">
        <v>2320.2351100000001</v>
      </c>
      <c r="F780">
        <v>2582.4226100000001</v>
      </c>
      <c r="G780">
        <v>30265913403</v>
      </c>
      <c r="H780" t="s">
        <v>18</v>
      </c>
    </row>
    <row r="781" spans="1:8" x14ac:dyDescent="0.3">
      <c r="A781" t="s">
        <v>149</v>
      </c>
      <c r="B781" t="s">
        <v>19</v>
      </c>
      <c r="C781">
        <v>666.88927999999999</v>
      </c>
      <c r="D781">
        <v>677.35338999999999</v>
      </c>
      <c r="E781">
        <v>649.35950000000003</v>
      </c>
      <c r="F781">
        <v>663.61725000000001</v>
      </c>
      <c r="G781">
        <v>2282413256</v>
      </c>
      <c r="H781" t="s">
        <v>20</v>
      </c>
    </row>
    <row r="782" spans="1:8" x14ac:dyDescent="0.3">
      <c r="A782" t="s">
        <v>150</v>
      </c>
      <c r="B782" t="s">
        <v>9</v>
      </c>
      <c r="C782">
        <v>0.84126000000000001</v>
      </c>
      <c r="D782">
        <v>0.84355999999999998</v>
      </c>
      <c r="E782">
        <v>0.78427000000000002</v>
      </c>
      <c r="F782">
        <v>0.80498999999999998</v>
      </c>
      <c r="G782">
        <v>1092674369</v>
      </c>
      <c r="H782" t="s">
        <v>10</v>
      </c>
    </row>
    <row r="783" spans="1:8" x14ac:dyDescent="0.3">
      <c r="A783" t="s">
        <v>150</v>
      </c>
      <c r="B783" t="s">
        <v>11</v>
      </c>
      <c r="C783">
        <v>104701.07030000001</v>
      </c>
      <c r="D783">
        <v>104937.99219999999</v>
      </c>
      <c r="E783">
        <v>103364.74219999999</v>
      </c>
      <c r="F783">
        <v>104106.3594</v>
      </c>
      <c r="G783">
        <v>46285517406</v>
      </c>
      <c r="H783" t="s">
        <v>12</v>
      </c>
    </row>
    <row r="784" spans="1:8" x14ac:dyDescent="0.3">
      <c r="A784" t="s">
        <v>150</v>
      </c>
      <c r="B784" t="s">
        <v>13</v>
      </c>
      <c r="C784">
        <v>177.62289000000001</v>
      </c>
      <c r="D784">
        <v>179.62253000000001</v>
      </c>
      <c r="E784">
        <v>169.71772999999999</v>
      </c>
      <c r="F784">
        <v>173.02645999999999</v>
      </c>
      <c r="G784">
        <v>4025374577</v>
      </c>
      <c r="H784" t="s">
        <v>14</v>
      </c>
    </row>
    <row r="785" spans="1:8" x14ac:dyDescent="0.3">
      <c r="A785" t="s">
        <v>150</v>
      </c>
      <c r="B785" t="s">
        <v>15</v>
      </c>
      <c r="C785">
        <v>2.472</v>
      </c>
      <c r="D785">
        <v>2.4762499999999998</v>
      </c>
      <c r="E785">
        <v>2.33392</v>
      </c>
      <c r="F785">
        <v>2.36652</v>
      </c>
      <c r="G785">
        <v>3965697853</v>
      </c>
      <c r="H785" t="s">
        <v>16</v>
      </c>
    </row>
    <row r="786" spans="1:8" x14ac:dyDescent="0.3">
      <c r="A786" t="s">
        <v>150</v>
      </c>
      <c r="B786" t="s">
        <v>17</v>
      </c>
      <c r="C786">
        <v>2582.71045</v>
      </c>
      <c r="D786">
        <v>2603.2644</v>
      </c>
      <c r="E786">
        <v>2441.7307099999998</v>
      </c>
      <c r="F786">
        <v>2510.2377900000001</v>
      </c>
      <c r="G786">
        <v>26496368543</v>
      </c>
      <c r="H786" t="s">
        <v>18</v>
      </c>
    </row>
    <row r="787" spans="1:8" x14ac:dyDescent="0.3">
      <c r="A787" t="s">
        <v>150</v>
      </c>
      <c r="B787" t="s">
        <v>19</v>
      </c>
      <c r="C787">
        <v>663.61652000000004</v>
      </c>
      <c r="D787">
        <v>667.63549999999998</v>
      </c>
      <c r="E787">
        <v>648.84807999999998</v>
      </c>
      <c r="F787">
        <v>650.62543000000005</v>
      </c>
      <c r="G787">
        <v>1906600802</v>
      </c>
      <c r="H787" t="s">
        <v>20</v>
      </c>
    </row>
    <row r="788" spans="1:8" x14ac:dyDescent="0.3">
      <c r="A788" t="s">
        <v>151</v>
      </c>
      <c r="B788" t="s">
        <v>9</v>
      </c>
      <c r="C788">
        <v>0.80498999999999998</v>
      </c>
      <c r="D788">
        <v>0.86082999999999998</v>
      </c>
      <c r="E788">
        <v>0.78725000000000001</v>
      </c>
      <c r="F788">
        <v>0.81764000000000003</v>
      </c>
      <c r="G788">
        <v>2013365721</v>
      </c>
      <c r="H788" t="s">
        <v>10</v>
      </c>
    </row>
    <row r="789" spans="1:8" x14ac:dyDescent="0.3">
      <c r="A789" t="s">
        <v>151</v>
      </c>
      <c r="B789" t="s">
        <v>11</v>
      </c>
      <c r="C789">
        <v>104106.96090000001</v>
      </c>
      <c r="D789">
        <v>105747.4531</v>
      </c>
      <c r="E789">
        <v>100814.4063</v>
      </c>
      <c r="F789">
        <v>102812.9531</v>
      </c>
      <c r="G789">
        <v>63250475404</v>
      </c>
      <c r="H789" t="s">
        <v>12</v>
      </c>
    </row>
    <row r="790" spans="1:8" x14ac:dyDescent="0.3">
      <c r="A790" t="s">
        <v>151</v>
      </c>
      <c r="B790" t="s">
        <v>13</v>
      </c>
      <c r="C790">
        <v>173.03667999999999</v>
      </c>
      <c r="D790">
        <v>180.95149000000001</v>
      </c>
      <c r="E790">
        <v>169.07826</v>
      </c>
      <c r="F790">
        <v>174.24789000000001</v>
      </c>
      <c r="G790">
        <v>6940951587</v>
      </c>
      <c r="H790" t="s">
        <v>14</v>
      </c>
    </row>
    <row r="791" spans="1:8" x14ac:dyDescent="0.3">
      <c r="A791" t="s">
        <v>151</v>
      </c>
      <c r="B791" t="s">
        <v>15</v>
      </c>
      <c r="C791">
        <v>2.3665400000000001</v>
      </c>
      <c r="D791">
        <v>2.6396799999999998</v>
      </c>
      <c r="E791">
        <v>2.3588</v>
      </c>
      <c r="F791">
        <v>2.5446399999999998</v>
      </c>
      <c r="G791">
        <v>10613122884</v>
      </c>
      <c r="H791" t="s">
        <v>16</v>
      </c>
    </row>
    <row r="792" spans="1:8" x14ac:dyDescent="0.3">
      <c r="A792" t="s">
        <v>151</v>
      </c>
      <c r="B792" t="s">
        <v>17</v>
      </c>
      <c r="C792">
        <v>2510.2893100000001</v>
      </c>
      <c r="D792">
        <v>2620.8972199999998</v>
      </c>
      <c r="E792">
        <v>2411.5944800000002</v>
      </c>
      <c r="F792">
        <v>2496.3977100000002</v>
      </c>
      <c r="G792">
        <v>32121858921</v>
      </c>
      <c r="H792" t="s">
        <v>18</v>
      </c>
    </row>
    <row r="793" spans="1:8" x14ac:dyDescent="0.3">
      <c r="A793" t="s">
        <v>151</v>
      </c>
      <c r="B793" t="s">
        <v>19</v>
      </c>
      <c r="C793">
        <v>650.62543000000005</v>
      </c>
      <c r="D793">
        <v>690.37823000000003</v>
      </c>
      <c r="E793">
        <v>648.96227999999996</v>
      </c>
      <c r="F793">
        <v>660.48431000000005</v>
      </c>
      <c r="G793">
        <v>2609669556</v>
      </c>
      <c r="H793" t="s">
        <v>20</v>
      </c>
    </row>
    <row r="794" spans="1:8" x14ac:dyDescent="0.3">
      <c r="A794" t="s">
        <v>152</v>
      </c>
      <c r="B794" t="s">
        <v>9</v>
      </c>
      <c r="C794">
        <v>0.81764000000000003</v>
      </c>
      <c r="D794">
        <v>0.84075999999999995</v>
      </c>
      <c r="E794">
        <v>0.77427000000000001</v>
      </c>
      <c r="F794">
        <v>0.83155999999999997</v>
      </c>
      <c r="G794">
        <v>1325631679</v>
      </c>
      <c r="H794" t="s">
        <v>10</v>
      </c>
    </row>
    <row r="795" spans="1:8" x14ac:dyDescent="0.3">
      <c r="A795" t="s">
        <v>152</v>
      </c>
      <c r="B795" t="s">
        <v>11</v>
      </c>
      <c r="C795">
        <v>102812.49219999999</v>
      </c>
      <c r="D795">
        <v>104997.4219</v>
      </c>
      <c r="E795">
        <v>101515.0938</v>
      </c>
      <c r="F795">
        <v>104169.8125</v>
      </c>
      <c r="G795">
        <v>52608876410</v>
      </c>
      <c r="H795" t="s">
        <v>12</v>
      </c>
    </row>
    <row r="796" spans="1:8" x14ac:dyDescent="0.3">
      <c r="A796" t="s">
        <v>152</v>
      </c>
      <c r="B796" t="s">
        <v>13</v>
      </c>
      <c r="C796">
        <v>174.24619999999999</v>
      </c>
      <c r="D796">
        <v>184.70140000000001</v>
      </c>
      <c r="E796">
        <v>166.80731</v>
      </c>
      <c r="F796">
        <v>184.00626</v>
      </c>
      <c r="G796">
        <v>5170161208</v>
      </c>
      <c r="H796" t="s">
        <v>14</v>
      </c>
    </row>
    <row r="797" spans="1:8" x14ac:dyDescent="0.3">
      <c r="A797" t="s">
        <v>152</v>
      </c>
      <c r="B797" t="s">
        <v>15</v>
      </c>
      <c r="C797">
        <v>2.5446300000000002</v>
      </c>
      <c r="D797">
        <v>2.6009000000000002</v>
      </c>
      <c r="E797">
        <v>2.4276300000000002</v>
      </c>
      <c r="F797">
        <v>2.5865499999999999</v>
      </c>
      <c r="G797">
        <v>6176519868</v>
      </c>
      <c r="H797" t="s">
        <v>16</v>
      </c>
    </row>
    <row r="798" spans="1:8" x14ac:dyDescent="0.3">
      <c r="A798" t="s">
        <v>152</v>
      </c>
      <c r="B798" t="s">
        <v>17</v>
      </c>
      <c r="C798">
        <v>2496.3373999999999</v>
      </c>
      <c r="D798">
        <v>2736.89014</v>
      </c>
      <c r="E798">
        <v>2418.3256799999999</v>
      </c>
      <c r="F798">
        <v>2680.1296400000001</v>
      </c>
      <c r="G798">
        <v>33528741590</v>
      </c>
      <c r="H798" t="s">
        <v>18</v>
      </c>
    </row>
    <row r="799" spans="1:8" x14ac:dyDescent="0.3">
      <c r="A799" t="s">
        <v>152</v>
      </c>
      <c r="B799" t="s">
        <v>19</v>
      </c>
      <c r="C799">
        <v>660.48431000000005</v>
      </c>
      <c r="D799">
        <v>670.89550999999994</v>
      </c>
      <c r="E799">
        <v>641.68286000000001</v>
      </c>
      <c r="F799">
        <v>665.57056</v>
      </c>
      <c r="G799">
        <v>2108811440</v>
      </c>
      <c r="H799" t="s">
        <v>20</v>
      </c>
    </row>
    <row r="800" spans="1:8" x14ac:dyDescent="0.3">
      <c r="A800" t="s">
        <v>153</v>
      </c>
      <c r="B800" t="s">
        <v>9</v>
      </c>
      <c r="C800">
        <v>0.83157999999999999</v>
      </c>
      <c r="D800">
        <v>0.83172000000000001</v>
      </c>
      <c r="E800">
        <v>0.79076000000000002</v>
      </c>
      <c r="F800">
        <v>0.79952000000000001</v>
      </c>
      <c r="G800">
        <v>1149087779</v>
      </c>
      <c r="H800" t="s">
        <v>10</v>
      </c>
    </row>
    <row r="801" spans="1:8" x14ac:dyDescent="0.3">
      <c r="A801" t="s">
        <v>153</v>
      </c>
      <c r="B801" t="s">
        <v>11</v>
      </c>
      <c r="C801">
        <v>104167.3281</v>
      </c>
      <c r="D801">
        <v>104303.5625</v>
      </c>
      <c r="E801">
        <v>102618.2969</v>
      </c>
      <c r="F801">
        <v>103539.41409999999</v>
      </c>
      <c r="G801">
        <v>45956071155</v>
      </c>
      <c r="H801" t="s">
        <v>12</v>
      </c>
    </row>
    <row r="802" spans="1:8" x14ac:dyDescent="0.3">
      <c r="A802" t="s">
        <v>153</v>
      </c>
      <c r="B802" t="s">
        <v>13</v>
      </c>
      <c r="C802">
        <v>184.00630000000001</v>
      </c>
      <c r="D802">
        <v>184.71818999999999</v>
      </c>
      <c r="E802">
        <v>173.73174</v>
      </c>
      <c r="F802">
        <v>176.70922999999999</v>
      </c>
      <c r="G802">
        <v>4610872279</v>
      </c>
      <c r="H802" t="s">
        <v>14</v>
      </c>
    </row>
    <row r="803" spans="1:8" x14ac:dyDescent="0.3">
      <c r="A803" t="s">
        <v>153</v>
      </c>
      <c r="B803" t="s">
        <v>15</v>
      </c>
      <c r="C803">
        <v>2.58656</v>
      </c>
      <c r="D803">
        <v>2.64574</v>
      </c>
      <c r="E803">
        <v>2.52413</v>
      </c>
      <c r="F803">
        <v>2.5527000000000002</v>
      </c>
      <c r="G803">
        <v>4955686643</v>
      </c>
      <c r="H803" t="s">
        <v>16</v>
      </c>
    </row>
    <row r="804" spans="1:8" x14ac:dyDescent="0.3">
      <c r="A804" t="s">
        <v>153</v>
      </c>
      <c r="B804" t="s">
        <v>17</v>
      </c>
      <c r="C804">
        <v>2680.2622099999999</v>
      </c>
      <c r="D804">
        <v>2721.9499500000002</v>
      </c>
      <c r="E804">
        <v>2549.6850599999998</v>
      </c>
      <c r="F804">
        <v>2610.0632300000002</v>
      </c>
      <c r="G804">
        <v>26602676588</v>
      </c>
      <c r="H804" t="s">
        <v>18</v>
      </c>
    </row>
    <row r="805" spans="1:8" x14ac:dyDescent="0.3">
      <c r="A805" t="s">
        <v>153</v>
      </c>
      <c r="B805" t="s">
        <v>19</v>
      </c>
      <c r="C805">
        <v>665.61199999999997</v>
      </c>
      <c r="D805">
        <v>665.65295000000003</v>
      </c>
      <c r="E805">
        <v>648.12048000000004</v>
      </c>
      <c r="F805">
        <v>652.57104000000004</v>
      </c>
      <c r="G805">
        <v>1876674692</v>
      </c>
      <c r="H805" t="s">
        <v>20</v>
      </c>
    </row>
    <row r="806" spans="1:8" x14ac:dyDescent="0.3">
      <c r="A806" t="s">
        <v>154</v>
      </c>
      <c r="B806" t="s">
        <v>9</v>
      </c>
      <c r="C806">
        <v>0.79952999999999996</v>
      </c>
      <c r="D806">
        <v>0.80967999999999996</v>
      </c>
      <c r="E806">
        <v>0.74685000000000001</v>
      </c>
      <c r="F806">
        <v>0.76124000000000003</v>
      </c>
      <c r="G806">
        <v>1282600970</v>
      </c>
      <c r="H806" t="s">
        <v>10</v>
      </c>
    </row>
    <row r="807" spans="1:8" x14ac:dyDescent="0.3">
      <c r="A807" t="s">
        <v>154</v>
      </c>
      <c r="B807" t="s">
        <v>11</v>
      </c>
      <c r="C807">
        <v>103538.8281</v>
      </c>
      <c r="D807">
        <v>104153.61719999999</v>
      </c>
      <c r="E807">
        <v>101440.8125</v>
      </c>
      <c r="F807">
        <v>103744.6406</v>
      </c>
      <c r="G807">
        <v>50408241840</v>
      </c>
      <c r="H807" t="s">
        <v>12</v>
      </c>
    </row>
    <row r="808" spans="1:8" x14ac:dyDescent="0.3">
      <c r="A808" t="s">
        <v>154</v>
      </c>
      <c r="B808" t="s">
        <v>13</v>
      </c>
      <c r="C808">
        <v>176.70866000000001</v>
      </c>
      <c r="D808">
        <v>178.10504</v>
      </c>
      <c r="E808">
        <v>167.28017</v>
      </c>
      <c r="F808">
        <v>169.00998999999999</v>
      </c>
      <c r="G808">
        <v>4347587992</v>
      </c>
      <c r="H808" t="s">
        <v>14</v>
      </c>
    </row>
    <row r="809" spans="1:8" x14ac:dyDescent="0.3">
      <c r="A809" t="s">
        <v>154</v>
      </c>
      <c r="B809" t="s">
        <v>15</v>
      </c>
      <c r="C809">
        <v>2.5527000000000002</v>
      </c>
      <c r="D809">
        <v>2.5709200000000001</v>
      </c>
      <c r="E809">
        <v>2.359</v>
      </c>
      <c r="F809">
        <v>2.3803700000000001</v>
      </c>
      <c r="G809">
        <v>5374268326</v>
      </c>
      <c r="H809" t="s">
        <v>16</v>
      </c>
    </row>
    <row r="810" spans="1:8" x14ac:dyDescent="0.3">
      <c r="A810" t="s">
        <v>154</v>
      </c>
      <c r="B810" t="s">
        <v>17</v>
      </c>
      <c r="C810">
        <v>2610.02783</v>
      </c>
      <c r="D810">
        <v>2645.07422</v>
      </c>
      <c r="E810">
        <v>2482.2128899999998</v>
      </c>
      <c r="F810">
        <v>2546.8569299999999</v>
      </c>
      <c r="G810">
        <v>26637688883</v>
      </c>
      <c r="H810" t="s">
        <v>18</v>
      </c>
    </row>
    <row r="811" spans="1:8" x14ac:dyDescent="0.3">
      <c r="A811" t="s">
        <v>154</v>
      </c>
      <c r="B811" t="s">
        <v>19</v>
      </c>
      <c r="C811">
        <v>652.57117000000005</v>
      </c>
      <c r="D811">
        <v>660.28045999999995</v>
      </c>
      <c r="E811">
        <v>643.45941000000005</v>
      </c>
      <c r="F811">
        <v>651.26422000000002</v>
      </c>
      <c r="G811">
        <v>1888457576</v>
      </c>
      <c r="H811" t="s">
        <v>20</v>
      </c>
    </row>
    <row r="812" spans="1:8" x14ac:dyDescent="0.3">
      <c r="A812" t="s">
        <v>155</v>
      </c>
      <c r="B812" t="s">
        <v>9</v>
      </c>
      <c r="C812">
        <v>0.76127</v>
      </c>
      <c r="D812">
        <v>0.78498000000000001</v>
      </c>
      <c r="E812">
        <v>0.75290999999999997</v>
      </c>
      <c r="F812">
        <v>0.75927</v>
      </c>
      <c r="G812">
        <v>761962011</v>
      </c>
      <c r="H812" t="s">
        <v>10</v>
      </c>
    </row>
    <row r="813" spans="1:8" x14ac:dyDescent="0.3">
      <c r="A813" t="s">
        <v>155</v>
      </c>
      <c r="B813" t="s">
        <v>11</v>
      </c>
      <c r="C813">
        <v>103735.6563</v>
      </c>
      <c r="D813">
        <v>104533.4844</v>
      </c>
      <c r="E813">
        <v>103137.47659999999</v>
      </c>
      <c r="F813">
        <v>103489.28909999999</v>
      </c>
      <c r="G813">
        <v>44386499364</v>
      </c>
      <c r="H813" t="s">
        <v>12</v>
      </c>
    </row>
    <row r="814" spans="1:8" x14ac:dyDescent="0.3">
      <c r="A814" t="s">
        <v>155</v>
      </c>
      <c r="B814" t="s">
        <v>13</v>
      </c>
      <c r="C814">
        <v>169.01469</v>
      </c>
      <c r="D814">
        <v>173.9581</v>
      </c>
      <c r="E814">
        <v>166.75722999999999</v>
      </c>
      <c r="F814">
        <v>167.33394999999999</v>
      </c>
      <c r="G814">
        <v>3495576096</v>
      </c>
      <c r="H814" t="s">
        <v>14</v>
      </c>
    </row>
    <row r="815" spans="1:8" x14ac:dyDescent="0.3">
      <c r="A815" t="s">
        <v>155</v>
      </c>
      <c r="B815" t="s">
        <v>15</v>
      </c>
      <c r="C815">
        <v>2.38036</v>
      </c>
      <c r="D815">
        <v>2.4367100000000002</v>
      </c>
      <c r="E815">
        <v>2.3506499999999999</v>
      </c>
      <c r="F815">
        <v>2.3809800000000001</v>
      </c>
      <c r="G815">
        <v>3792750565</v>
      </c>
      <c r="H815" t="s">
        <v>16</v>
      </c>
    </row>
    <row r="816" spans="1:8" x14ac:dyDescent="0.3">
      <c r="A816" t="s">
        <v>155</v>
      </c>
      <c r="B816" t="s">
        <v>17</v>
      </c>
      <c r="C816">
        <v>2547.0583499999998</v>
      </c>
      <c r="D816">
        <v>2645.6079100000002</v>
      </c>
      <c r="E816">
        <v>2532.0270999999998</v>
      </c>
      <c r="F816">
        <v>2536.2976100000001</v>
      </c>
      <c r="G816">
        <v>21298907763</v>
      </c>
      <c r="H816" t="s">
        <v>18</v>
      </c>
    </row>
    <row r="817" spans="1:8" x14ac:dyDescent="0.3">
      <c r="A817" t="s">
        <v>155</v>
      </c>
      <c r="B817" t="s">
        <v>19</v>
      </c>
      <c r="C817">
        <v>651.26233000000002</v>
      </c>
      <c r="D817">
        <v>659.68859999999995</v>
      </c>
      <c r="E817">
        <v>644.38604999999995</v>
      </c>
      <c r="F817">
        <v>646.32135000000005</v>
      </c>
      <c r="G817">
        <v>1634445685</v>
      </c>
      <c r="H817" t="s">
        <v>20</v>
      </c>
    </row>
    <row r="818" spans="1:8" x14ac:dyDescent="0.3">
      <c r="A818" t="s">
        <v>156</v>
      </c>
      <c r="B818" t="s">
        <v>9</v>
      </c>
      <c r="C818">
        <v>0.75927</v>
      </c>
      <c r="D818">
        <v>0.78027999999999997</v>
      </c>
      <c r="E818">
        <v>0.72946999999999995</v>
      </c>
      <c r="F818">
        <v>0.74238999999999999</v>
      </c>
      <c r="G818">
        <v>974561722</v>
      </c>
      <c r="H818" t="s">
        <v>10</v>
      </c>
    </row>
    <row r="819" spans="1:8" x14ac:dyDescent="0.3">
      <c r="A819" t="s">
        <v>156</v>
      </c>
      <c r="B819" t="s">
        <v>11</v>
      </c>
      <c r="C819">
        <v>103489.28909999999</v>
      </c>
      <c r="D819">
        <v>103716.94530000001</v>
      </c>
      <c r="E819">
        <v>102659.17969999999</v>
      </c>
      <c r="F819">
        <v>103191.08590000001</v>
      </c>
      <c r="G819">
        <v>37898552742</v>
      </c>
      <c r="H819" t="s">
        <v>12</v>
      </c>
    </row>
    <row r="820" spans="1:8" x14ac:dyDescent="0.3">
      <c r="A820" t="s">
        <v>156</v>
      </c>
      <c r="B820" t="s">
        <v>13</v>
      </c>
      <c r="C820">
        <v>167.33394999999999</v>
      </c>
      <c r="D820">
        <v>169.76828</v>
      </c>
      <c r="E820">
        <v>164.22495000000001</v>
      </c>
      <c r="F820">
        <v>165.93082999999999</v>
      </c>
      <c r="G820">
        <v>2783616834</v>
      </c>
      <c r="H820" t="s">
        <v>14</v>
      </c>
    </row>
    <row r="821" spans="1:8" x14ac:dyDescent="0.3">
      <c r="A821" t="s">
        <v>156</v>
      </c>
      <c r="B821" t="s">
        <v>15</v>
      </c>
      <c r="C821">
        <v>2.3809800000000001</v>
      </c>
      <c r="D821">
        <v>2.3883100000000002</v>
      </c>
      <c r="E821">
        <v>2.3031999999999999</v>
      </c>
      <c r="F821">
        <v>2.3543599999999998</v>
      </c>
      <c r="G821">
        <v>3022317383</v>
      </c>
      <c r="H821" t="s">
        <v>16</v>
      </c>
    </row>
    <row r="822" spans="1:8" x14ac:dyDescent="0.3">
      <c r="A822" t="s">
        <v>156</v>
      </c>
      <c r="B822" t="s">
        <v>17</v>
      </c>
      <c r="C822">
        <v>2536.2976100000001</v>
      </c>
      <c r="D822">
        <v>2537.7817399999999</v>
      </c>
      <c r="E822">
        <v>2449.06934</v>
      </c>
      <c r="F822">
        <v>2475.7543999999998</v>
      </c>
      <c r="G822">
        <v>18830706230</v>
      </c>
      <c r="H822" t="s">
        <v>18</v>
      </c>
    </row>
    <row r="823" spans="1:8" x14ac:dyDescent="0.3">
      <c r="A823" t="s">
        <v>156</v>
      </c>
      <c r="B823" t="s">
        <v>19</v>
      </c>
      <c r="C823">
        <v>646.32135000000005</v>
      </c>
      <c r="D823">
        <v>646.72204999999997</v>
      </c>
      <c r="E823">
        <v>635.48486000000003</v>
      </c>
      <c r="F823">
        <v>639.61890000000005</v>
      </c>
      <c r="G823">
        <v>1449713512</v>
      </c>
      <c r="H823" t="s">
        <v>20</v>
      </c>
    </row>
    <row r="824" spans="1:8" x14ac:dyDescent="0.3">
      <c r="A824" t="s">
        <v>157</v>
      </c>
      <c r="B824" t="s">
        <v>9</v>
      </c>
      <c r="C824">
        <v>0.74238999999999999</v>
      </c>
      <c r="D824">
        <v>0.77524999999999999</v>
      </c>
      <c r="E824">
        <v>0.72462000000000004</v>
      </c>
      <c r="F824">
        <v>0.76063000000000003</v>
      </c>
      <c r="G824">
        <v>940509064</v>
      </c>
      <c r="H824" t="s">
        <v>10</v>
      </c>
    </row>
    <row r="825" spans="1:8" x14ac:dyDescent="0.3">
      <c r="A825" t="s">
        <v>157</v>
      </c>
      <c r="B825" t="s">
        <v>11</v>
      </c>
      <c r="C825">
        <v>103186.9531</v>
      </c>
      <c r="D825">
        <v>106597.1719</v>
      </c>
      <c r="E825">
        <v>103142.60159999999</v>
      </c>
      <c r="F825">
        <v>106446.00780000001</v>
      </c>
      <c r="G825">
        <v>49887082058</v>
      </c>
      <c r="H825" t="s">
        <v>12</v>
      </c>
    </row>
    <row r="826" spans="1:8" x14ac:dyDescent="0.3">
      <c r="A826" t="s">
        <v>157</v>
      </c>
      <c r="B826" t="s">
        <v>13</v>
      </c>
      <c r="C826">
        <v>165.93198000000001</v>
      </c>
      <c r="D826">
        <v>176.49248</v>
      </c>
      <c r="E826">
        <v>165.51353</v>
      </c>
      <c r="F826">
        <v>173.89870999999999</v>
      </c>
      <c r="G826">
        <v>3866092629</v>
      </c>
      <c r="H826" t="s">
        <v>14</v>
      </c>
    </row>
    <row r="827" spans="1:8" x14ac:dyDescent="0.3">
      <c r="A827" t="s">
        <v>157</v>
      </c>
      <c r="B827" t="s">
        <v>15</v>
      </c>
      <c r="C827">
        <v>2.3543599999999998</v>
      </c>
      <c r="D827">
        <v>2.4428999999999998</v>
      </c>
      <c r="E827">
        <v>2.3522799999999999</v>
      </c>
      <c r="F827">
        <v>2.4341699999999999</v>
      </c>
      <c r="G827">
        <v>2943528946</v>
      </c>
      <c r="H827" t="s">
        <v>16</v>
      </c>
    </row>
    <row r="828" spans="1:8" x14ac:dyDescent="0.3">
      <c r="A828" t="s">
        <v>157</v>
      </c>
      <c r="B828" t="s">
        <v>17</v>
      </c>
      <c r="C828">
        <v>2475.76953</v>
      </c>
      <c r="D828">
        <v>2585.6970200000001</v>
      </c>
      <c r="E828">
        <v>2344.6682099999998</v>
      </c>
      <c r="F828">
        <v>2498.2336399999999</v>
      </c>
      <c r="G828">
        <v>25005164865</v>
      </c>
      <c r="H828" t="s">
        <v>18</v>
      </c>
    </row>
    <row r="829" spans="1:8" x14ac:dyDescent="0.3">
      <c r="A829" t="s">
        <v>157</v>
      </c>
      <c r="B829" t="s">
        <v>19</v>
      </c>
      <c r="C829">
        <v>639.61890000000005</v>
      </c>
      <c r="D829">
        <v>654.71496999999999</v>
      </c>
      <c r="E829">
        <v>635.41168000000005</v>
      </c>
      <c r="F829">
        <v>652.16431</v>
      </c>
      <c r="G829">
        <v>1592388678</v>
      </c>
      <c r="H829" t="s">
        <v>20</v>
      </c>
    </row>
    <row r="830" spans="1:8" x14ac:dyDescent="0.3">
      <c r="A830" t="s">
        <v>158</v>
      </c>
      <c r="B830" t="s">
        <v>9</v>
      </c>
      <c r="C830">
        <v>0.76060000000000005</v>
      </c>
      <c r="D830">
        <v>0.76322999999999996</v>
      </c>
      <c r="E830">
        <v>0.71201000000000003</v>
      </c>
      <c r="F830">
        <v>0.74306000000000005</v>
      </c>
      <c r="G830">
        <v>870207859</v>
      </c>
      <c r="H830" t="s">
        <v>10</v>
      </c>
    </row>
    <row r="831" spans="1:8" x14ac:dyDescent="0.3">
      <c r="A831" t="s">
        <v>158</v>
      </c>
      <c r="B831" t="s">
        <v>11</v>
      </c>
      <c r="C831">
        <v>106430.5313</v>
      </c>
      <c r="D831">
        <v>107068.7188</v>
      </c>
      <c r="E831">
        <v>102112.6875</v>
      </c>
      <c r="F831">
        <v>105606.17969999999</v>
      </c>
      <c r="G831">
        <v>61761126647</v>
      </c>
      <c r="H831" t="s">
        <v>12</v>
      </c>
    </row>
    <row r="832" spans="1:8" x14ac:dyDescent="0.3">
      <c r="A832" t="s">
        <v>158</v>
      </c>
      <c r="B832" t="s">
        <v>13</v>
      </c>
      <c r="C832">
        <v>173.83578</v>
      </c>
      <c r="D832">
        <v>173.83852999999999</v>
      </c>
      <c r="E832">
        <v>159.64749</v>
      </c>
      <c r="F832">
        <v>166.86422999999999</v>
      </c>
      <c r="G832">
        <v>4498613127</v>
      </c>
      <c r="H832" t="s">
        <v>14</v>
      </c>
    </row>
    <row r="833" spans="1:8" x14ac:dyDescent="0.3">
      <c r="A833" t="s">
        <v>158</v>
      </c>
      <c r="B833" t="s">
        <v>15</v>
      </c>
      <c r="C833">
        <v>2.4334699999999998</v>
      </c>
      <c r="D833">
        <v>2.4357899999999999</v>
      </c>
      <c r="E833">
        <v>2.2868599999999999</v>
      </c>
      <c r="F833">
        <v>2.3813800000000001</v>
      </c>
      <c r="G833">
        <v>3735931351</v>
      </c>
      <c r="H833" t="s">
        <v>16</v>
      </c>
    </row>
    <row r="834" spans="1:8" x14ac:dyDescent="0.3">
      <c r="A834" t="s">
        <v>158</v>
      </c>
      <c r="B834" t="s">
        <v>17</v>
      </c>
      <c r="C834">
        <v>2498.8000499999998</v>
      </c>
      <c r="D834">
        <v>2545.4611799999998</v>
      </c>
      <c r="E834">
        <v>2353.4270000000001</v>
      </c>
      <c r="F834">
        <v>2529.1667499999999</v>
      </c>
      <c r="G834">
        <v>27351331811</v>
      </c>
      <c r="H834" t="s">
        <v>18</v>
      </c>
    </row>
    <row r="835" spans="1:8" x14ac:dyDescent="0.3">
      <c r="A835" t="s">
        <v>158</v>
      </c>
      <c r="B835" t="s">
        <v>19</v>
      </c>
      <c r="C835">
        <v>652.11639000000002</v>
      </c>
      <c r="D835">
        <v>652.98859000000004</v>
      </c>
      <c r="E835">
        <v>634.18268</v>
      </c>
      <c r="F835">
        <v>649.85290999999995</v>
      </c>
      <c r="G835">
        <v>1595233688</v>
      </c>
      <c r="H835" t="s">
        <v>20</v>
      </c>
    </row>
    <row r="836" spans="1:8" x14ac:dyDescent="0.3">
      <c r="A836" t="s">
        <v>159</v>
      </c>
      <c r="B836" t="s">
        <v>9</v>
      </c>
      <c r="C836">
        <v>0.74306000000000005</v>
      </c>
      <c r="D836">
        <v>0.75248999999999999</v>
      </c>
      <c r="E836">
        <v>0.72382000000000002</v>
      </c>
      <c r="F836">
        <v>0.74573</v>
      </c>
      <c r="G836">
        <v>718031523</v>
      </c>
      <c r="H836" t="s">
        <v>10</v>
      </c>
    </row>
    <row r="837" spans="1:8" x14ac:dyDescent="0.3">
      <c r="A837" t="s">
        <v>159</v>
      </c>
      <c r="B837" t="s">
        <v>11</v>
      </c>
      <c r="C837">
        <v>105605.4063</v>
      </c>
      <c r="D837">
        <v>107307.11719999999</v>
      </c>
      <c r="E837">
        <v>104206.5156</v>
      </c>
      <c r="F837">
        <v>106791.08590000001</v>
      </c>
      <c r="G837">
        <v>36515726122</v>
      </c>
      <c r="H837" t="s">
        <v>12</v>
      </c>
    </row>
    <row r="838" spans="1:8" x14ac:dyDescent="0.3">
      <c r="A838" t="s">
        <v>159</v>
      </c>
      <c r="B838" t="s">
        <v>13</v>
      </c>
      <c r="C838">
        <v>166.86421000000001</v>
      </c>
      <c r="D838">
        <v>172.86057</v>
      </c>
      <c r="E838">
        <v>164.77965</v>
      </c>
      <c r="F838">
        <v>168.48369</v>
      </c>
      <c r="G838">
        <v>3787047019</v>
      </c>
      <c r="H838" t="s">
        <v>14</v>
      </c>
    </row>
    <row r="839" spans="1:8" x14ac:dyDescent="0.3">
      <c r="A839" t="s">
        <v>159</v>
      </c>
      <c r="B839" t="s">
        <v>15</v>
      </c>
      <c r="C839">
        <v>2.3813800000000001</v>
      </c>
      <c r="D839">
        <v>2.4056600000000001</v>
      </c>
      <c r="E839">
        <v>2.3174299999999999</v>
      </c>
      <c r="F839">
        <v>2.35676</v>
      </c>
      <c r="G839">
        <v>2990978075</v>
      </c>
      <c r="H839" t="s">
        <v>16</v>
      </c>
    </row>
    <row r="840" spans="1:8" x14ac:dyDescent="0.3">
      <c r="A840" t="s">
        <v>159</v>
      </c>
      <c r="B840" t="s">
        <v>17</v>
      </c>
      <c r="C840">
        <v>2529.13501</v>
      </c>
      <c r="D840">
        <v>2585.61987</v>
      </c>
      <c r="E840">
        <v>2446.4467800000002</v>
      </c>
      <c r="F840">
        <v>2524.1731</v>
      </c>
      <c r="G840">
        <v>23453322578</v>
      </c>
      <c r="H840" t="s">
        <v>18</v>
      </c>
    </row>
    <row r="841" spans="1:8" x14ac:dyDescent="0.3">
      <c r="A841" t="s">
        <v>159</v>
      </c>
      <c r="B841" t="s">
        <v>19</v>
      </c>
      <c r="C841">
        <v>649.84636999999998</v>
      </c>
      <c r="D841">
        <v>653.40210000000002</v>
      </c>
      <c r="E841">
        <v>641.16443000000004</v>
      </c>
      <c r="F841">
        <v>650.33081000000004</v>
      </c>
      <c r="G841">
        <v>1512635652</v>
      </c>
      <c r="H841" t="s">
        <v>20</v>
      </c>
    </row>
    <row r="842" spans="1:8" x14ac:dyDescent="0.3">
      <c r="A842" t="s">
        <v>160</v>
      </c>
      <c r="B842" t="s">
        <v>9</v>
      </c>
      <c r="C842">
        <v>0.74572000000000005</v>
      </c>
      <c r="D842">
        <v>0.78207000000000004</v>
      </c>
      <c r="E842">
        <v>0.73946000000000001</v>
      </c>
      <c r="F842">
        <v>0.77071999999999996</v>
      </c>
      <c r="G842">
        <v>1107919947</v>
      </c>
      <c r="H842" t="s">
        <v>10</v>
      </c>
    </row>
    <row r="843" spans="1:8" x14ac:dyDescent="0.3">
      <c r="A843" t="s">
        <v>160</v>
      </c>
      <c r="B843" t="s">
        <v>11</v>
      </c>
      <c r="C843">
        <v>106791.3125</v>
      </c>
      <c r="D843">
        <v>110724.46090000001</v>
      </c>
      <c r="E843">
        <v>106127.2344</v>
      </c>
      <c r="F843">
        <v>109678.0781</v>
      </c>
      <c r="G843">
        <v>78086364051</v>
      </c>
      <c r="H843" t="s">
        <v>12</v>
      </c>
    </row>
    <row r="844" spans="1:8" x14ac:dyDescent="0.3">
      <c r="A844" t="s">
        <v>160</v>
      </c>
      <c r="B844" t="s">
        <v>13</v>
      </c>
      <c r="C844">
        <v>168.48411999999999</v>
      </c>
      <c r="D844">
        <v>175.52242000000001</v>
      </c>
      <c r="E844">
        <v>166.30486999999999</v>
      </c>
      <c r="F844">
        <v>173.68172999999999</v>
      </c>
      <c r="G844">
        <v>5254974027</v>
      </c>
      <c r="H844" t="s">
        <v>14</v>
      </c>
    </row>
    <row r="845" spans="1:8" x14ac:dyDescent="0.3">
      <c r="A845" t="s">
        <v>160</v>
      </c>
      <c r="B845" t="s">
        <v>15</v>
      </c>
      <c r="C845">
        <v>2.3567399999999998</v>
      </c>
      <c r="D845">
        <v>2.42611</v>
      </c>
      <c r="E845">
        <v>2.3348800000000001</v>
      </c>
      <c r="F845">
        <v>2.39893</v>
      </c>
      <c r="G845">
        <v>3837944483</v>
      </c>
      <c r="H845" t="s">
        <v>16</v>
      </c>
    </row>
    <row r="846" spans="1:8" x14ac:dyDescent="0.3">
      <c r="A846" t="s">
        <v>160</v>
      </c>
      <c r="B846" t="s">
        <v>17</v>
      </c>
      <c r="C846">
        <v>2524.1591800000001</v>
      </c>
      <c r="D846">
        <v>2614.06079</v>
      </c>
      <c r="E846">
        <v>2454.53784</v>
      </c>
      <c r="F846">
        <v>2552.34717</v>
      </c>
      <c r="G846">
        <v>31952904125</v>
      </c>
      <c r="H846" t="s">
        <v>18</v>
      </c>
    </row>
    <row r="847" spans="1:8" x14ac:dyDescent="0.3">
      <c r="A847" t="s">
        <v>160</v>
      </c>
      <c r="B847" t="s">
        <v>19</v>
      </c>
      <c r="C847">
        <v>650.33081000000004</v>
      </c>
      <c r="D847">
        <v>677.02899000000002</v>
      </c>
      <c r="E847">
        <v>649.13451999999995</v>
      </c>
      <c r="F847">
        <v>673.14862000000005</v>
      </c>
      <c r="G847">
        <v>2377493291</v>
      </c>
      <c r="H847" t="s">
        <v>20</v>
      </c>
    </row>
    <row r="848" spans="1:8" x14ac:dyDescent="0.3">
      <c r="A848" t="s">
        <v>161</v>
      </c>
      <c r="B848" t="s">
        <v>9</v>
      </c>
      <c r="C848">
        <v>0.77071999999999996</v>
      </c>
      <c r="D848">
        <v>0.80984999999999996</v>
      </c>
      <c r="E848">
        <v>0.76988999999999996</v>
      </c>
      <c r="F848">
        <v>0.80813999999999997</v>
      </c>
      <c r="G848">
        <v>1060144223</v>
      </c>
      <c r="H848" t="s">
        <v>10</v>
      </c>
    </row>
    <row r="849" spans="1:8" x14ac:dyDescent="0.3">
      <c r="A849" t="s">
        <v>161</v>
      </c>
      <c r="B849" t="s">
        <v>11</v>
      </c>
      <c r="C849">
        <v>109673.49219999999</v>
      </c>
      <c r="D849">
        <v>111970.1719</v>
      </c>
      <c r="E849">
        <v>109285.07030000001</v>
      </c>
      <c r="F849">
        <v>111673.2813</v>
      </c>
      <c r="G849">
        <v>70157575642</v>
      </c>
      <c r="H849" t="s">
        <v>12</v>
      </c>
    </row>
    <row r="850" spans="1:8" x14ac:dyDescent="0.3">
      <c r="A850" t="s">
        <v>161</v>
      </c>
      <c r="B850" t="s">
        <v>13</v>
      </c>
      <c r="C850">
        <v>173.68221</v>
      </c>
      <c r="D850">
        <v>180.54624999999999</v>
      </c>
      <c r="E850">
        <v>172.75524999999999</v>
      </c>
      <c r="F850">
        <v>179.69094999999999</v>
      </c>
      <c r="G850">
        <v>4913432701</v>
      </c>
      <c r="H850" t="s">
        <v>14</v>
      </c>
    </row>
    <row r="851" spans="1:8" x14ac:dyDescent="0.3">
      <c r="A851" t="s">
        <v>161</v>
      </c>
      <c r="B851" t="s">
        <v>15</v>
      </c>
      <c r="C851">
        <v>2.3989500000000001</v>
      </c>
      <c r="D851">
        <v>2.4517199999999999</v>
      </c>
      <c r="E851">
        <v>2.39235</v>
      </c>
      <c r="F851">
        <v>2.4298000000000002</v>
      </c>
      <c r="G851">
        <v>3399409382</v>
      </c>
      <c r="H851" t="s">
        <v>16</v>
      </c>
    </row>
    <row r="852" spans="1:8" x14ac:dyDescent="0.3">
      <c r="A852" t="s">
        <v>161</v>
      </c>
      <c r="B852" t="s">
        <v>17</v>
      </c>
      <c r="C852">
        <v>2552.76685</v>
      </c>
      <c r="D852">
        <v>2691.1023</v>
      </c>
      <c r="E852">
        <v>2546.4348100000002</v>
      </c>
      <c r="F852">
        <v>2664.1569800000002</v>
      </c>
      <c r="G852">
        <v>26596978352</v>
      </c>
      <c r="H852" t="s">
        <v>18</v>
      </c>
    </row>
    <row r="853" spans="1:8" x14ac:dyDescent="0.3">
      <c r="A853" t="s">
        <v>161</v>
      </c>
      <c r="B853" t="s">
        <v>19</v>
      </c>
      <c r="C853">
        <v>673.15051000000005</v>
      </c>
      <c r="D853">
        <v>688.05840999999998</v>
      </c>
      <c r="E853">
        <v>673.13140999999996</v>
      </c>
      <c r="F853">
        <v>686.23566000000005</v>
      </c>
      <c r="G853">
        <v>2248278627</v>
      </c>
      <c r="H853" t="s">
        <v>20</v>
      </c>
    </row>
    <row r="854" spans="1:8" x14ac:dyDescent="0.3">
      <c r="A854" t="s">
        <v>162</v>
      </c>
      <c r="B854" t="s">
        <v>9</v>
      </c>
      <c r="C854">
        <v>0.80815999999999999</v>
      </c>
      <c r="D854">
        <v>0.83962000000000003</v>
      </c>
      <c r="E854">
        <v>0.74502000000000002</v>
      </c>
      <c r="F854">
        <v>0.74638000000000004</v>
      </c>
      <c r="G854">
        <v>1438828552</v>
      </c>
      <c r="H854" t="s">
        <v>10</v>
      </c>
    </row>
    <row r="855" spans="1:8" x14ac:dyDescent="0.3">
      <c r="A855" t="s">
        <v>162</v>
      </c>
      <c r="B855" t="s">
        <v>11</v>
      </c>
      <c r="C855">
        <v>111679.3594</v>
      </c>
      <c r="D855">
        <v>111798.9063</v>
      </c>
      <c r="E855">
        <v>106841.30469999999</v>
      </c>
      <c r="F855">
        <v>107287.7969</v>
      </c>
      <c r="G855">
        <v>67548133399</v>
      </c>
      <c r="H855" t="s">
        <v>12</v>
      </c>
    </row>
    <row r="856" spans="1:8" x14ac:dyDescent="0.3">
      <c r="A856" t="s">
        <v>162</v>
      </c>
      <c r="B856" t="s">
        <v>13</v>
      </c>
      <c r="C856">
        <v>179.69147000000001</v>
      </c>
      <c r="D856">
        <v>187.27975000000001</v>
      </c>
      <c r="E856">
        <v>173.57062999999999</v>
      </c>
      <c r="F856">
        <v>173.82542000000001</v>
      </c>
      <c r="G856">
        <v>7488253558</v>
      </c>
      <c r="H856" t="s">
        <v>14</v>
      </c>
    </row>
    <row r="857" spans="1:8" x14ac:dyDescent="0.3">
      <c r="A857" t="s">
        <v>162</v>
      </c>
      <c r="B857" t="s">
        <v>15</v>
      </c>
      <c r="C857">
        <v>2.4298000000000002</v>
      </c>
      <c r="D857">
        <v>2.4765199999999998</v>
      </c>
      <c r="E857">
        <v>2.29033</v>
      </c>
      <c r="F857">
        <v>2.2943199999999999</v>
      </c>
      <c r="G857">
        <v>4394718207</v>
      </c>
      <c r="H857" t="s">
        <v>16</v>
      </c>
    </row>
    <row r="858" spans="1:8" x14ac:dyDescent="0.3">
      <c r="A858" t="s">
        <v>162</v>
      </c>
      <c r="B858" t="s">
        <v>17</v>
      </c>
      <c r="C858">
        <v>2664.08203</v>
      </c>
      <c r="D858">
        <v>2731.2206999999999</v>
      </c>
      <c r="E858">
        <v>2504.87354</v>
      </c>
      <c r="F858">
        <v>2526.4418999999998</v>
      </c>
      <c r="G858">
        <v>30536501878</v>
      </c>
      <c r="H858" t="s">
        <v>18</v>
      </c>
    </row>
    <row r="859" spans="1:8" x14ac:dyDescent="0.3">
      <c r="A859" t="s">
        <v>162</v>
      </c>
      <c r="B859" t="s">
        <v>19</v>
      </c>
      <c r="C859">
        <v>686.25139999999999</v>
      </c>
      <c r="D859">
        <v>690.92003999999997</v>
      </c>
      <c r="E859">
        <v>654.88103999999998</v>
      </c>
      <c r="F859">
        <v>656.23168999999996</v>
      </c>
      <c r="G859">
        <v>1996132529</v>
      </c>
      <c r="H859" t="s">
        <v>20</v>
      </c>
    </row>
    <row r="860" spans="1:8" x14ac:dyDescent="0.3">
      <c r="A860" t="s">
        <v>163</v>
      </c>
      <c r="B860" t="s">
        <v>9</v>
      </c>
      <c r="C860">
        <v>0.74638000000000004</v>
      </c>
      <c r="D860">
        <v>0.76593</v>
      </c>
      <c r="E860">
        <v>0.74278</v>
      </c>
      <c r="F860">
        <v>0.74719000000000002</v>
      </c>
      <c r="G860">
        <v>606044855</v>
      </c>
      <c r="H860" t="s">
        <v>10</v>
      </c>
    </row>
    <row r="861" spans="1:8" x14ac:dyDescent="0.3">
      <c r="A861" t="s">
        <v>163</v>
      </c>
      <c r="B861" t="s">
        <v>11</v>
      </c>
      <c r="C861">
        <v>107278.50780000001</v>
      </c>
      <c r="D861">
        <v>109454.52340000001</v>
      </c>
      <c r="E861">
        <v>106895.28909999999</v>
      </c>
      <c r="F861">
        <v>107791.1563</v>
      </c>
      <c r="G861">
        <v>45903627163</v>
      </c>
      <c r="H861" t="s">
        <v>12</v>
      </c>
    </row>
    <row r="862" spans="1:8" x14ac:dyDescent="0.3">
      <c r="A862" t="s">
        <v>163</v>
      </c>
      <c r="B862" t="s">
        <v>13</v>
      </c>
      <c r="C862">
        <v>173.84040999999999</v>
      </c>
      <c r="D862">
        <v>178.14275000000001</v>
      </c>
      <c r="E862">
        <v>172.79172</v>
      </c>
      <c r="F862">
        <v>176.04239999999999</v>
      </c>
      <c r="G862">
        <v>3002798120</v>
      </c>
      <c r="H862" t="s">
        <v>14</v>
      </c>
    </row>
    <row r="863" spans="1:8" x14ac:dyDescent="0.3">
      <c r="A863" t="s">
        <v>163</v>
      </c>
      <c r="B863" t="s">
        <v>15</v>
      </c>
      <c r="C863">
        <v>2.2944599999999999</v>
      </c>
      <c r="D863">
        <v>2.3588100000000001</v>
      </c>
      <c r="E863">
        <v>2.2924099999999998</v>
      </c>
      <c r="F863">
        <v>2.3328700000000002</v>
      </c>
      <c r="G863">
        <v>1496547562</v>
      </c>
      <c r="H863" t="s">
        <v>16</v>
      </c>
    </row>
    <row r="864" spans="1:8" x14ac:dyDescent="0.3">
      <c r="A864" t="s">
        <v>163</v>
      </c>
      <c r="B864" t="s">
        <v>17</v>
      </c>
      <c r="C864">
        <v>2526.3879400000001</v>
      </c>
      <c r="D864">
        <v>2575.1313500000001</v>
      </c>
      <c r="E864">
        <v>2516.0180700000001</v>
      </c>
      <c r="F864">
        <v>2530.64624</v>
      </c>
      <c r="G864">
        <v>11380899856</v>
      </c>
      <c r="H864" t="s">
        <v>18</v>
      </c>
    </row>
    <row r="865" spans="1:8" x14ac:dyDescent="0.3">
      <c r="A865" t="s">
        <v>163</v>
      </c>
      <c r="B865" t="s">
        <v>19</v>
      </c>
      <c r="C865">
        <v>656.23041000000001</v>
      </c>
      <c r="D865">
        <v>676.86432000000002</v>
      </c>
      <c r="E865">
        <v>656.12780999999995</v>
      </c>
      <c r="F865">
        <v>668.30651999999998</v>
      </c>
      <c r="G865">
        <v>1475660792</v>
      </c>
      <c r="H865" t="s">
        <v>20</v>
      </c>
    </row>
    <row r="866" spans="1:8" x14ac:dyDescent="0.3">
      <c r="A866" t="s">
        <v>164</v>
      </c>
      <c r="B866" t="s">
        <v>9</v>
      </c>
      <c r="C866">
        <v>0.74719000000000002</v>
      </c>
      <c r="D866">
        <v>0.76</v>
      </c>
      <c r="E866">
        <v>0.72990999999999995</v>
      </c>
      <c r="F866">
        <v>0.75997999999999999</v>
      </c>
      <c r="G866">
        <v>665579932</v>
      </c>
      <c r="H866" t="s">
        <v>10</v>
      </c>
    </row>
    <row r="867" spans="1:8" x14ac:dyDescent="0.3">
      <c r="A867" t="s">
        <v>164</v>
      </c>
      <c r="B867" t="s">
        <v>11</v>
      </c>
      <c r="C867">
        <v>107802.27340000001</v>
      </c>
      <c r="D867">
        <v>109313.30469999999</v>
      </c>
      <c r="E867">
        <v>106683.375</v>
      </c>
      <c r="F867">
        <v>109035.3906</v>
      </c>
      <c r="G867">
        <v>47518041841</v>
      </c>
      <c r="H867" t="s">
        <v>12</v>
      </c>
    </row>
    <row r="868" spans="1:8" x14ac:dyDescent="0.3">
      <c r="A868" t="s">
        <v>164</v>
      </c>
      <c r="B868" t="s">
        <v>13</v>
      </c>
      <c r="C868">
        <v>176.03448</v>
      </c>
      <c r="D868">
        <v>176.72130000000001</v>
      </c>
      <c r="E868">
        <v>169.35778999999999</v>
      </c>
      <c r="F868">
        <v>175.72548</v>
      </c>
      <c r="G868">
        <v>3395309315</v>
      </c>
      <c r="H868" t="s">
        <v>14</v>
      </c>
    </row>
    <row r="869" spans="1:8" x14ac:dyDescent="0.3">
      <c r="A869" t="s">
        <v>164</v>
      </c>
      <c r="B869" t="s">
        <v>15</v>
      </c>
      <c r="C869">
        <v>2.3328700000000002</v>
      </c>
      <c r="D869">
        <v>2.3441900000000002</v>
      </c>
      <c r="E869">
        <v>2.2705299999999999</v>
      </c>
      <c r="F869">
        <v>2.3429700000000002</v>
      </c>
      <c r="G869">
        <v>2117325121</v>
      </c>
      <c r="H869" t="s">
        <v>16</v>
      </c>
    </row>
    <row r="870" spans="1:8" x14ac:dyDescent="0.3">
      <c r="A870" t="s">
        <v>164</v>
      </c>
      <c r="B870" t="s">
        <v>17</v>
      </c>
      <c r="C870">
        <v>2530.89014</v>
      </c>
      <c r="D870">
        <v>2553.8691399999998</v>
      </c>
      <c r="E870">
        <v>2467.88013</v>
      </c>
      <c r="F870">
        <v>2551.7639199999999</v>
      </c>
      <c r="G870">
        <v>14556431364</v>
      </c>
      <c r="H870" t="s">
        <v>18</v>
      </c>
    </row>
    <row r="871" spans="1:8" x14ac:dyDescent="0.3">
      <c r="A871" t="s">
        <v>164</v>
      </c>
      <c r="B871" t="s">
        <v>19</v>
      </c>
      <c r="C871">
        <v>668.30651999999998</v>
      </c>
      <c r="D871">
        <v>671.45794999999998</v>
      </c>
      <c r="E871">
        <v>658.15264999999999</v>
      </c>
      <c r="F871">
        <v>669.91687000000002</v>
      </c>
      <c r="G871">
        <v>1591152958</v>
      </c>
      <c r="H871" t="s">
        <v>20</v>
      </c>
    </row>
    <row r="872" spans="1:8" x14ac:dyDescent="0.3">
      <c r="A872" t="s">
        <v>165</v>
      </c>
      <c r="B872" t="s">
        <v>9</v>
      </c>
      <c r="C872">
        <v>0.75997999999999999</v>
      </c>
      <c r="D872">
        <v>0.77568000000000004</v>
      </c>
      <c r="E872">
        <v>0.75295999999999996</v>
      </c>
      <c r="F872">
        <v>0.75954999999999995</v>
      </c>
      <c r="G872">
        <v>648219927</v>
      </c>
      <c r="H872" t="s">
        <v>10</v>
      </c>
    </row>
    <row r="873" spans="1:8" x14ac:dyDescent="0.3">
      <c r="A873" t="s">
        <v>165</v>
      </c>
      <c r="B873" t="s">
        <v>11</v>
      </c>
      <c r="C873">
        <v>109023.7813</v>
      </c>
      <c r="D873">
        <v>110376.88280000001</v>
      </c>
      <c r="E873">
        <v>108735.6406</v>
      </c>
      <c r="F873">
        <v>109440.36719999999</v>
      </c>
      <c r="G873">
        <v>45950461571</v>
      </c>
      <c r="H873" t="s">
        <v>12</v>
      </c>
    </row>
    <row r="874" spans="1:8" x14ac:dyDescent="0.3">
      <c r="A874" t="s">
        <v>165</v>
      </c>
      <c r="B874" t="s">
        <v>13</v>
      </c>
      <c r="C874">
        <v>175.72566</v>
      </c>
      <c r="D874">
        <v>178.97800000000001</v>
      </c>
      <c r="E874">
        <v>173.70024000000001</v>
      </c>
      <c r="F874">
        <v>174.90790000000001</v>
      </c>
      <c r="G874">
        <v>2872898398</v>
      </c>
      <c r="H874" t="s">
        <v>14</v>
      </c>
    </row>
    <row r="875" spans="1:8" x14ac:dyDescent="0.3">
      <c r="A875" t="s">
        <v>165</v>
      </c>
      <c r="B875" t="s">
        <v>15</v>
      </c>
      <c r="C875">
        <v>2.3429500000000001</v>
      </c>
      <c r="D875">
        <v>2.3580899999999998</v>
      </c>
      <c r="E875">
        <v>2.2987500000000001</v>
      </c>
      <c r="F875">
        <v>2.3106599999999999</v>
      </c>
      <c r="G875">
        <v>1930678300</v>
      </c>
      <c r="H875" t="s">
        <v>16</v>
      </c>
    </row>
    <row r="876" spans="1:8" x14ac:dyDescent="0.3">
      <c r="A876" t="s">
        <v>165</v>
      </c>
      <c r="B876" t="s">
        <v>17</v>
      </c>
      <c r="C876">
        <v>2551.3808600000002</v>
      </c>
      <c r="D876">
        <v>2598.5666500000002</v>
      </c>
      <c r="E876">
        <v>2530.3215300000002</v>
      </c>
      <c r="F876">
        <v>2564.13843</v>
      </c>
      <c r="G876">
        <v>14936610009</v>
      </c>
      <c r="H876" t="s">
        <v>18</v>
      </c>
    </row>
    <row r="877" spans="1:8" x14ac:dyDescent="0.3">
      <c r="A877" t="s">
        <v>165</v>
      </c>
      <c r="B877" t="s">
        <v>19</v>
      </c>
      <c r="C877">
        <v>669.91747999999995</v>
      </c>
      <c r="D877">
        <v>677.67908</v>
      </c>
      <c r="E877">
        <v>668.8999</v>
      </c>
      <c r="F877">
        <v>674.39264000000003</v>
      </c>
      <c r="G877">
        <v>1568627598</v>
      </c>
      <c r="H877" t="s">
        <v>20</v>
      </c>
    </row>
    <row r="878" spans="1:8" x14ac:dyDescent="0.3">
      <c r="A878" t="s">
        <v>166</v>
      </c>
      <c r="B878" t="s">
        <v>9</v>
      </c>
      <c r="C878">
        <v>0.75954999999999995</v>
      </c>
      <c r="D878">
        <v>0.77497000000000005</v>
      </c>
      <c r="E878">
        <v>0.74568999999999996</v>
      </c>
      <c r="F878">
        <v>0.75868000000000002</v>
      </c>
      <c r="G878">
        <v>707175899</v>
      </c>
      <c r="H878" t="s">
        <v>10</v>
      </c>
    </row>
    <row r="879" spans="1:8" x14ac:dyDescent="0.3">
      <c r="A879" t="s">
        <v>166</v>
      </c>
      <c r="B879" t="s">
        <v>11</v>
      </c>
      <c r="C879">
        <v>109440.4063</v>
      </c>
      <c r="D879">
        <v>110744.21090000001</v>
      </c>
      <c r="E879">
        <v>107609.55469999999</v>
      </c>
      <c r="F879">
        <v>108994.6406</v>
      </c>
      <c r="G879">
        <v>57450176272</v>
      </c>
      <c r="H879" t="s">
        <v>12</v>
      </c>
    </row>
    <row r="880" spans="1:8" x14ac:dyDescent="0.3">
      <c r="A880" t="s">
        <v>166</v>
      </c>
      <c r="B880" t="s">
        <v>13</v>
      </c>
      <c r="C880">
        <v>174.90770000000001</v>
      </c>
      <c r="D880">
        <v>179.22127</v>
      </c>
      <c r="E880">
        <v>171.57544999999999</v>
      </c>
      <c r="F880">
        <v>176.81519</v>
      </c>
      <c r="G880">
        <v>3737068836</v>
      </c>
      <c r="H880" t="s">
        <v>14</v>
      </c>
    </row>
    <row r="881" spans="1:8" x14ac:dyDescent="0.3">
      <c r="A881" t="s">
        <v>166</v>
      </c>
      <c r="B881" t="s">
        <v>15</v>
      </c>
      <c r="C881">
        <v>2.3106399999999998</v>
      </c>
      <c r="D881">
        <v>2.3520400000000001</v>
      </c>
      <c r="E881">
        <v>2.2724500000000001</v>
      </c>
      <c r="F881">
        <v>2.31867</v>
      </c>
      <c r="G881">
        <v>2373797283</v>
      </c>
      <c r="H881" t="s">
        <v>16</v>
      </c>
    </row>
    <row r="882" spans="1:8" x14ac:dyDescent="0.3">
      <c r="A882" t="s">
        <v>166</v>
      </c>
      <c r="B882" t="s">
        <v>17</v>
      </c>
      <c r="C882">
        <v>2564.1408700000002</v>
      </c>
      <c r="D882">
        <v>2712.2851599999999</v>
      </c>
      <c r="E882">
        <v>2512.58862</v>
      </c>
      <c r="F882">
        <v>2663.0698200000002</v>
      </c>
      <c r="G882">
        <v>26264200536</v>
      </c>
      <c r="H882" t="s">
        <v>18</v>
      </c>
    </row>
    <row r="883" spans="1:8" x14ac:dyDescent="0.3">
      <c r="A883" t="s">
        <v>166</v>
      </c>
      <c r="B883" t="s">
        <v>19</v>
      </c>
      <c r="C883">
        <v>674.39264000000003</v>
      </c>
      <c r="D883">
        <v>695.86841000000004</v>
      </c>
      <c r="E883">
        <v>667.23095999999998</v>
      </c>
      <c r="F883">
        <v>687.15948000000003</v>
      </c>
      <c r="G883">
        <v>2019130226</v>
      </c>
      <c r="H883" t="s">
        <v>20</v>
      </c>
    </row>
    <row r="884" spans="1:8" x14ac:dyDescent="0.3">
      <c r="A884" t="s">
        <v>167</v>
      </c>
      <c r="B884" t="s">
        <v>9</v>
      </c>
      <c r="C884">
        <v>0.75868000000000002</v>
      </c>
      <c r="D884">
        <v>0.76034000000000002</v>
      </c>
      <c r="E884">
        <v>0.73346999999999996</v>
      </c>
      <c r="F884">
        <v>0.74689000000000005</v>
      </c>
      <c r="G884">
        <v>597350861</v>
      </c>
      <c r="H884" t="s">
        <v>10</v>
      </c>
    </row>
    <row r="885" spans="1:8" x14ac:dyDescent="0.3">
      <c r="A885" t="s">
        <v>167</v>
      </c>
      <c r="B885" t="s">
        <v>11</v>
      </c>
      <c r="C885">
        <v>108992.1719</v>
      </c>
      <c r="D885">
        <v>109298.28909999999</v>
      </c>
      <c r="E885">
        <v>106812.92969999999</v>
      </c>
      <c r="F885">
        <v>107802.3281</v>
      </c>
      <c r="G885">
        <v>49155377493</v>
      </c>
      <c r="H885" t="s">
        <v>12</v>
      </c>
    </row>
    <row r="886" spans="1:8" x14ac:dyDescent="0.3">
      <c r="A886" t="s">
        <v>167</v>
      </c>
      <c r="B886" t="s">
        <v>13</v>
      </c>
      <c r="C886">
        <v>176.81465</v>
      </c>
      <c r="D886">
        <v>177.37599</v>
      </c>
      <c r="E886">
        <v>169.10570000000001</v>
      </c>
      <c r="F886">
        <v>172.18956</v>
      </c>
      <c r="G886">
        <v>3454599629</v>
      </c>
      <c r="H886" t="s">
        <v>14</v>
      </c>
    </row>
    <row r="887" spans="1:8" x14ac:dyDescent="0.3">
      <c r="A887" t="s">
        <v>167</v>
      </c>
      <c r="B887" t="s">
        <v>15</v>
      </c>
      <c r="C887">
        <v>2.3186399999999998</v>
      </c>
      <c r="D887">
        <v>2.3214100000000002</v>
      </c>
      <c r="E887">
        <v>2.2305299999999999</v>
      </c>
      <c r="F887">
        <v>2.2742499999999999</v>
      </c>
      <c r="G887">
        <v>2373668637</v>
      </c>
      <c r="H887" t="s">
        <v>16</v>
      </c>
    </row>
    <row r="888" spans="1:8" x14ac:dyDescent="0.3">
      <c r="A888" t="s">
        <v>167</v>
      </c>
      <c r="B888" t="s">
        <v>17</v>
      </c>
      <c r="C888">
        <v>2663.0102499999998</v>
      </c>
      <c r="D888">
        <v>2688.7421899999999</v>
      </c>
      <c r="E888">
        <v>2611.1608900000001</v>
      </c>
      <c r="F888">
        <v>2682.2128899999998</v>
      </c>
      <c r="G888">
        <v>19087366068</v>
      </c>
      <c r="H888" t="s">
        <v>18</v>
      </c>
    </row>
    <row r="889" spans="1:8" x14ac:dyDescent="0.3">
      <c r="A889" t="s">
        <v>167</v>
      </c>
      <c r="B889" t="s">
        <v>19</v>
      </c>
      <c r="C889">
        <v>687.16021999999998</v>
      </c>
      <c r="D889">
        <v>688.97760000000005</v>
      </c>
      <c r="E889">
        <v>680.66528000000005</v>
      </c>
      <c r="F889">
        <v>687.40552000000002</v>
      </c>
      <c r="G889">
        <v>1759924602</v>
      </c>
      <c r="H889" t="s">
        <v>20</v>
      </c>
    </row>
    <row r="890" spans="1:8" x14ac:dyDescent="0.3">
      <c r="A890" t="s">
        <v>168</v>
      </c>
      <c r="B890" t="s">
        <v>9</v>
      </c>
      <c r="C890">
        <v>0.74689000000000005</v>
      </c>
      <c r="D890">
        <v>0.76449</v>
      </c>
      <c r="E890">
        <v>0.72209000000000001</v>
      </c>
      <c r="F890">
        <v>0.72233999999999998</v>
      </c>
      <c r="G890">
        <v>722295527</v>
      </c>
      <c r="H890" t="s">
        <v>10</v>
      </c>
    </row>
    <row r="891" spans="1:8" x14ac:dyDescent="0.3">
      <c r="A891" t="s">
        <v>168</v>
      </c>
      <c r="B891" t="s">
        <v>11</v>
      </c>
      <c r="C891">
        <v>107795.57030000001</v>
      </c>
      <c r="D891">
        <v>108910.0469</v>
      </c>
      <c r="E891">
        <v>105374.39840000001</v>
      </c>
      <c r="F891">
        <v>105641.75780000001</v>
      </c>
      <c r="G891">
        <v>56022752042</v>
      </c>
      <c r="H891" t="s">
        <v>12</v>
      </c>
    </row>
    <row r="892" spans="1:8" x14ac:dyDescent="0.3">
      <c r="A892" t="s">
        <v>168</v>
      </c>
      <c r="B892" t="s">
        <v>13</v>
      </c>
      <c r="C892">
        <v>172.19059999999999</v>
      </c>
      <c r="D892">
        <v>175.18428</v>
      </c>
      <c r="E892">
        <v>166.25851</v>
      </c>
      <c r="F892">
        <v>166.58817999999999</v>
      </c>
      <c r="G892">
        <v>3480369993</v>
      </c>
      <c r="H892" t="s">
        <v>14</v>
      </c>
    </row>
    <row r="893" spans="1:8" x14ac:dyDescent="0.3">
      <c r="A893" t="s">
        <v>168</v>
      </c>
      <c r="B893" t="s">
        <v>15</v>
      </c>
      <c r="C893">
        <v>2.2742599999999999</v>
      </c>
      <c r="D893">
        <v>2.3111299999999999</v>
      </c>
      <c r="E893">
        <v>2.2440199999999999</v>
      </c>
      <c r="F893">
        <v>2.2442500000000001</v>
      </c>
      <c r="G893">
        <v>2465662898</v>
      </c>
      <c r="H893" t="s">
        <v>16</v>
      </c>
    </row>
    <row r="894" spans="1:8" x14ac:dyDescent="0.3">
      <c r="A894" t="s">
        <v>168</v>
      </c>
      <c r="B894" t="s">
        <v>17</v>
      </c>
      <c r="C894">
        <v>2681.8432600000001</v>
      </c>
      <c r="D894">
        <v>2784.7524400000002</v>
      </c>
      <c r="E894">
        <v>2620.9826699999999</v>
      </c>
      <c r="F894">
        <v>2632.65479</v>
      </c>
      <c r="G894">
        <v>27567479811</v>
      </c>
      <c r="H894" t="s">
        <v>18</v>
      </c>
    </row>
    <row r="895" spans="1:8" x14ac:dyDescent="0.3">
      <c r="A895" t="s">
        <v>168</v>
      </c>
      <c r="B895" t="s">
        <v>19</v>
      </c>
      <c r="C895">
        <v>687.40581999999995</v>
      </c>
      <c r="D895">
        <v>690.84369000000004</v>
      </c>
      <c r="E895">
        <v>673.92742999999996</v>
      </c>
      <c r="F895">
        <v>675.17218000000003</v>
      </c>
      <c r="G895">
        <v>1938258667</v>
      </c>
      <c r="H895" t="s">
        <v>20</v>
      </c>
    </row>
    <row r="896" spans="1:8" x14ac:dyDescent="0.3">
      <c r="A896" t="s">
        <v>169</v>
      </c>
      <c r="B896" t="s">
        <v>9</v>
      </c>
      <c r="C896">
        <v>0.72233999999999998</v>
      </c>
      <c r="D896">
        <v>0.72709000000000001</v>
      </c>
      <c r="E896">
        <v>0.68711</v>
      </c>
      <c r="F896">
        <v>0.68933</v>
      </c>
      <c r="G896">
        <v>1028958874</v>
      </c>
      <c r="H896" t="s">
        <v>10</v>
      </c>
    </row>
    <row r="897" spans="1:8" x14ac:dyDescent="0.3">
      <c r="A897" t="s">
        <v>169</v>
      </c>
      <c r="B897" t="s">
        <v>11</v>
      </c>
      <c r="C897">
        <v>105646.21090000001</v>
      </c>
      <c r="D897">
        <v>106308.94530000001</v>
      </c>
      <c r="E897">
        <v>103685.78909999999</v>
      </c>
      <c r="F897">
        <v>103998.57030000001</v>
      </c>
      <c r="G897">
        <v>57655287183</v>
      </c>
      <c r="H897" t="s">
        <v>12</v>
      </c>
    </row>
    <row r="898" spans="1:8" x14ac:dyDescent="0.3">
      <c r="A898" t="s">
        <v>169</v>
      </c>
      <c r="B898" t="s">
        <v>13</v>
      </c>
      <c r="C898">
        <v>166.59343000000001</v>
      </c>
      <c r="D898">
        <v>167.34711999999999</v>
      </c>
      <c r="E898">
        <v>156.03465</v>
      </c>
      <c r="F898">
        <v>156.23471000000001</v>
      </c>
      <c r="G898">
        <v>4458908034</v>
      </c>
      <c r="H898" t="s">
        <v>14</v>
      </c>
    </row>
    <row r="899" spans="1:8" x14ac:dyDescent="0.3">
      <c r="A899" t="s">
        <v>169</v>
      </c>
      <c r="B899" t="s">
        <v>15</v>
      </c>
      <c r="C899">
        <v>2.2442299999999999</v>
      </c>
      <c r="D899">
        <v>2.2506300000000001</v>
      </c>
      <c r="E899">
        <v>2.1384500000000002</v>
      </c>
      <c r="F899">
        <v>2.13863</v>
      </c>
      <c r="G899">
        <v>3891788509</v>
      </c>
      <c r="H899" t="s">
        <v>16</v>
      </c>
    </row>
    <row r="900" spans="1:8" x14ac:dyDescent="0.3">
      <c r="A900" t="s">
        <v>169</v>
      </c>
      <c r="B900" t="s">
        <v>17</v>
      </c>
      <c r="C900">
        <v>2632.8359399999999</v>
      </c>
      <c r="D900">
        <v>2648.2607400000002</v>
      </c>
      <c r="E900">
        <v>2510.1638200000002</v>
      </c>
      <c r="F900">
        <v>2529.9436000000001</v>
      </c>
      <c r="G900">
        <v>24599403943</v>
      </c>
      <c r="H900" t="s">
        <v>18</v>
      </c>
    </row>
    <row r="901" spans="1:8" x14ac:dyDescent="0.3">
      <c r="A901" t="s">
        <v>169</v>
      </c>
      <c r="B901" t="s">
        <v>19</v>
      </c>
      <c r="C901">
        <v>675.2002</v>
      </c>
      <c r="D901">
        <v>678.15557999999999</v>
      </c>
      <c r="E901">
        <v>654.65062999999998</v>
      </c>
      <c r="F901">
        <v>655.48217999999997</v>
      </c>
      <c r="G901">
        <v>1904377880</v>
      </c>
      <c r="H901" t="s">
        <v>20</v>
      </c>
    </row>
    <row r="902" spans="1:8" x14ac:dyDescent="0.3">
      <c r="A902" t="s">
        <v>170</v>
      </c>
      <c r="B902" t="s">
        <v>9</v>
      </c>
      <c r="C902">
        <v>0.68933</v>
      </c>
      <c r="D902">
        <v>0.69464000000000004</v>
      </c>
      <c r="E902">
        <v>0.65808999999999995</v>
      </c>
      <c r="F902">
        <v>0.68606999999999996</v>
      </c>
      <c r="G902">
        <v>812725496</v>
      </c>
      <c r="H902" t="s">
        <v>10</v>
      </c>
    </row>
    <row r="903" spans="1:8" x14ac:dyDescent="0.3">
      <c r="A903" t="s">
        <v>170</v>
      </c>
      <c r="B903" t="s">
        <v>11</v>
      </c>
      <c r="C903">
        <v>103994.7188</v>
      </c>
      <c r="D903">
        <v>104927.10159999999</v>
      </c>
      <c r="E903">
        <v>103136.11719999999</v>
      </c>
      <c r="F903">
        <v>104638.0938</v>
      </c>
      <c r="G903">
        <v>38997843858</v>
      </c>
      <c r="H903" t="s">
        <v>12</v>
      </c>
    </row>
    <row r="904" spans="1:8" x14ac:dyDescent="0.3">
      <c r="A904" t="s">
        <v>170</v>
      </c>
      <c r="B904" t="s">
        <v>13</v>
      </c>
      <c r="C904">
        <v>156.23595</v>
      </c>
      <c r="D904">
        <v>157.93669</v>
      </c>
      <c r="E904">
        <v>152.44165000000001</v>
      </c>
      <c r="F904">
        <v>156.63894999999999</v>
      </c>
      <c r="G904">
        <v>2817151487</v>
      </c>
      <c r="H904" t="s">
        <v>14</v>
      </c>
    </row>
    <row r="905" spans="1:8" x14ac:dyDescent="0.3">
      <c r="A905" t="s">
        <v>170</v>
      </c>
      <c r="B905" t="s">
        <v>15</v>
      </c>
      <c r="C905">
        <v>2.1387200000000002</v>
      </c>
      <c r="D905">
        <v>2.2038799999999998</v>
      </c>
      <c r="E905">
        <v>2.0855299999999999</v>
      </c>
      <c r="F905">
        <v>2.1750600000000002</v>
      </c>
      <c r="G905">
        <v>2684904446</v>
      </c>
      <c r="H905" t="s">
        <v>16</v>
      </c>
    </row>
    <row r="906" spans="1:8" x14ac:dyDescent="0.3">
      <c r="A906" t="s">
        <v>170</v>
      </c>
      <c r="B906" t="s">
        <v>17</v>
      </c>
      <c r="C906">
        <v>2529.8339799999999</v>
      </c>
      <c r="D906">
        <v>2550.4836399999999</v>
      </c>
      <c r="E906">
        <v>2484.21558</v>
      </c>
      <c r="F906">
        <v>2529.0873999999999</v>
      </c>
      <c r="G906">
        <v>13992843765</v>
      </c>
      <c r="H906" t="s">
        <v>18</v>
      </c>
    </row>
    <row r="907" spans="1:8" x14ac:dyDescent="0.3">
      <c r="A907" t="s">
        <v>170</v>
      </c>
      <c r="B907" t="s">
        <v>19</v>
      </c>
      <c r="C907">
        <v>655.51085999999998</v>
      </c>
      <c r="D907">
        <v>661.30864999999994</v>
      </c>
      <c r="E907">
        <v>646.96294999999998</v>
      </c>
      <c r="F907">
        <v>658.50127999999995</v>
      </c>
      <c r="G907">
        <v>1478599983</v>
      </c>
      <c r="H907" t="s">
        <v>20</v>
      </c>
    </row>
    <row r="908" spans="1:8" x14ac:dyDescent="0.3">
      <c r="A908" t="s">
        <v>171</v>
      </c>
      <c r="B908" t="s">
        <v>9</v>
      </c>
      <c r="C908">
        <v>0.68606999999999996</v>
      </c>
      <c r="D908">
        <v>0.68706999999999996</v>
      </c>
      <c r="E908">
        <v>0.65671000000000002</v>
      </c>
      <c r="F908">
        <v>0.68496999999999997</v>
      </c>
      <c r="G908">
        <v>601446044</v>
      </c>
      <c r="H908" t="s">
        <v>10</v>
      </c>
    </row>
    <row r="909" spans="1:8" x14ac:dyDescent="0.3">
      <c r="A909" t="s">
        <v>171</v>
      </c>
      <c r="B909" t="s">
        <v>11</v>
      </c>
      <c r="C909">
        <v>104637.2969</v>
      </c>
      <c r="D909">
        <v>105884.5469</v>
      </c>
      <c r="E909">
        <v>103826.9531</v>
      </c>
      <c r="F909">
        <v>105652.10159999999</v>
      </c>
      <c r="G909">
        <v>37397056873</v>
      </c>
      <c r="H909" t="s">
        <v>12</v>
      </c>
    </row>
    <row r="910" spans="1:8" x14ac:dyDescent="0.3">
      <c r="A910" t="s">
        <v>171</v>
      </c>
      <c r="B910" t="s">
        <v>13</v>
      </c>
      <c r="C910">
        <v>156.63789</v>
      </c>
      <c r="D910">
        <v>157.82785000000001</v>
      </c>
      <c r="E910">
        <v>150.84341000000001</v>
      </c>
      <c r="F910">
        <v>157.78455</v>
      </c>
      <c r="G910">
        <v>2554572841</v>
      </c>
      <c r="H910" t="s">
        <v>14</v>
      </c>
    </row>
    <row r="911" spans="1:8" x14ac:dyDescent="0.3">
      <c r="A911" t="s">
        <v>171</v>
      </c>
      <c r="B911" t="s">
        <v>15</v>
      </c>
      <c r="C911">
        <v>2.1751100000000001</v>
      </c>
      <c r="D911">
        <v>2.18716</v>
      </c>
      <c r="E911">
        <v>2.1289699999999998</v>
      </c>
      <c r="F911">
        <v>2.1791800000000001</v>
      </c>
      <c r="G911">
        <v>1763611233</v>
      </c>
      <c r="H911" t="s">
        <v>16</v>
      </c>
    </row>
    <row r="912" spans="1:8" x14ac:dyDescent="0.3">
      <c r="A912" t="s">
        <v>171</v>
      </c>
      <c r="B912" t="s">
        <v>17</v>
      </c>
      <c r="C912">
        <v>2529.0966800000001</v>
      </c>
      <c r="D912">
        <v>2547.77295</v>
      </c>
      <c r="E912">
        <v>2472.5407700000001</v>
      </c>
      <c r="F912">
        <v>2536.2663600000001</v>
      </c>
      <c r="G912">
        <v>13287852482</v>
      </c>
      <c r="H912" t="s">
        <v>18</v>
      </c>
    </row>
    <row r="913" spans="1:8" x14ac:dyDescent="0.3">
      <c r="A913" t="s">
        <v>171</v>
      </c>
      <c r="B913" t="s">
        <v>19</v>
      </c>
      <c r="C913">
        <v>658.49956999999995</v>
      </c>
      <c r="D913">
        <v>662.34833000000003</v>
      </c>
      <c r="E913">
        <v>648.25982999999997</v>
      </c>
      <c r="F913">
        <v>660.99176</v>
      </c>
      <c r="G913">
        <v>1468711165</v>
      </c>
      <c r="H913" t="s">
        <v>20</v>
      </c>
    </row>
    <row r="914" spans="1:8" x14ac:dyDescent="0.3">
      <c r="A914" t="s">
        <v>172</v>
      </c>
      <c r="B914" t="s">
        <v>9</v>
      </c>
      <c r="C914">
        <v>0.68496999999999997</v>
      </c>
      <c r="D914">
        <v>0.6915</v>
      </c>
      <c r="E914">
        <v>0.66527000000000003</v>
      </c>
      <c r="F914">
        <v>0.68967999999999996</v>
      </c>
      <c r="G914">
        <v>644713300</v>
      </c>
      <c r="H914" t="s">
        <v>10</v>
      </c>
    </row>
    <row r="915" spans="1:8" x14ac:dyDescent="0.3">
      <c r="A915" t="s">
        <v>172</v>
      </c>
      <c r="B915" t="s">
        <v>11</v>
      </c>
      <c r="C915">
        <v>105649.8125</v>
      </c>
      <c r="D915">
        <v>105958.3125</v>
      </c>
      <c r="E915">
        <v>103727.5469</v>
      </c>
      <c r="F915">
        <v>105881.5313</v>
      </c>
      <c r="G915">
        <v>45819706290</v>
      </c>
      <c r="H915" t="s">
        <v>12</v>
      </c>
    </row>
    <row r="916" spans="1:8" x14ac:dyDescent="0.3">
      <c r="A916" t="s">
        <v>172</v>
      </c>
      <c r="B916" t="s">
        <v>13</v>
      </c>
      <c r="C916">
        <v>157.78373999999999</v>
      </c>
      <c r="D916">
        <v>158.89464000000001</v>
      </c>
      <c r="E916">
        <v>151.99744999999999</v>
      </c>
      <c r="F916">
        <v>156.99806000000001</v>
      </c>
      <c r="G916">
        <v>3070599881</v>
      </c>
      <c r="H916" t="s">
        <v>14</v>
      </c>
    </row>
    <row r="917" spans="1:8" x14ac:dyDescent="0.3">
      <c r="A917" t="s">
        <v>172</v>
      </c>
      <c r="B917" t="s">
        <v>15</v>
      </c>
      <c r="C917">
        <v>2.1791800000000001</v>
      </c>
      <c r="D917">
        <v>2.2030599999999998</v>
      </c>
      <c r="E917">
        <v>2.1388500000000001</v>
      </c>
      <c r="F917">
        <v>2.1977600000000002</v>
      </c>
      <c r="G917">
        <v>2150527408</v>
      </c>
      <c r="H917" t="s">
        <v>16</v>
      </c>
    </row>
    <row r="918" spans="1:8" x14ac:dyDescent="0.3">
      <c r="A918" t="s">
        <v>172</v>
      </c>
      <c r="B918" t="s">
        <v>17</v>
      </c>
      <c r="C918">
        <v>2536.1848100000002</v>
      </c>
      <c r="D918">
        <v>2615.5156299999999</v>
      </c>
      <c r="E918">
        <v>2477.2927300000001</v>
      </c>
      <c r="F918">
        <v>2607.0974099999999</v>
      </c>
      <c r="G918">
        <v>16744168824</v>
      </c>
      <c r="H918" t="s">
        <v>18</v>
      </c>
    </row>
    <row r="919" spans="1:8" x14ac:dyDescent="0.3">
      <c r="A919" t="s">
        <v>172</v>
      </c>
      <c r="B919" t="s">
        <v>19</v>
      </c>
      <c r="C919">
        <v>660.98546999999996</v>
      </c>
      <c r="D919">
        <v>666.99492999999995</v>
      </c>
      <c r="E919">
        <v>650.44970999999998</v>
      </c>
      <c r="F919">
        <v>666.59076000000005</v>
      </c>
      <c r="G919">
        <v>1782539875</v>
      </c>
      <c r="H919" t="s">
        <v>20</v>
      </c>
    </row>
    <row r="920" spans="1:8" x14ac:dyDescent="0.3">
      <c r="A920" t="s">
        <v>173</v>
      </c>
      <c r="B920" t="s">
        <v>9</v>
      </c>
      <c r="C920">
        <v>0.68967999999999996</v>
      </c>
      <c r="D920">
        <v>0.70582999999999996</v>
      </c>
      <c r="E920">
        <v>0.67720000000000002</v>
      </c>
      <c r="F920">
        <v>0.68461000000000005</v>
      </c>
      <c r="G920">
        <v>564411241</v>
      </c>
      <c r="H920" t="s">
        <v>10</v>
      </c>
    </row>
    <row r="921" spans="1:8" x14ac:dyDescent="0.3">
      <c r="A921" t="s">
        <v>173</v>
      </c>
      <c r="B921" t="s">
        <v>11</v>
      </c>
      <c r="C921">
        <v>105888.47659999999</v>
      </c>
      <c r="D921">
        <v>106813.5781</v>
      </c>
      <c r="E921">
        <v>104920.8438</v>
      </c>
      <c r="F921">
        <v>105432.4688</v>
      </c>
      <c r="G921">
        <v>46196508367</v>
      </c>
      <c r="H921" t="s">
        <v>12</v>
      </c>
    </row>
    <row r="922" spans="1:8" x14ac:dyDescent="0.3">
      <c r="A922" t="s">
        <v>173</v>
      </c>
      <c r="B922" t="s">
        <v>13</v>
      </c>
      <c r="C922">
        <v>156.99808999999999</v>
      </c>
      <c r="D922">
        <v>163.39368999999999</v>
      </c>
      <c r="E922">
        <v>154.70766</v>
      </c>
      <c r="F922">
        <v>155.34316999999999</v>
      </c>
      <c r="G922">
        <v>3739800274</v>
      </c>
      <c r="H922" t="s">
        <v>14</v>
      </c>
    </row>
    <row r="923" spans="1:8" x14ac:dyDescent="0.3">
      <c r="A923" t="s">
        <v>173</v>
      </c>
      <c r="B923" t="s">
        <v>15</v>
      </c>
      <c r="C923">
        <v>2.1977600000000002</v>
      </c>
      <c r="D923">
        <v>2.2806999999999999</v>
      </c>
      <c r="E923">
        <v>2.18614</v>
      </c>
      <c r="F923">
        <v>2.2468400000000002</v>
      </c>
      <c r="G923">
        <v>2528637429</v>
      </c>
      <c r="H923" t="s">
        <v>16</v>
      </c>
    </row>
    <row r="924" spans="1:8" x14ac:dyDescent="0.3">
      <c r="A924" t="s">
        <v>173</v>
      </c>
      <c r="B924" t="s">
        <v>17</v>
      </c>
      <c r="C924">
        <v>2607.19751</v>
      </c>
      <c r="D924">
        <v>2652.4187000000002</v>
      </c>
      <c r="E924">
        <v>2582.2504899999999</v>
      </c>
      <c r="F924">
        <v>2593.2802700000002</v>
      </c>
      <c r="G924">
        <v>18291179016</v>
      </c>
      <c r="H924" t="s">
        <v>18</v>
      </c>
    </row>
    <row r="925" spans="1:8" x14ac:dyDescent="0.3">
      <c r="A925" t="s">
        <v>173</v>
      </c>
      <c r="B925" t="s">
        <v>19</v>
      </c>
      <c r="C925">
        <v>666.59076000000005</v>
      </c>
      <c r="D925">
        <v>672.70421999999996</v>
      </c>
      <c r="E925">
        <v>658.54956000000004</v>
      </c>
      <c r="F925">
        <v>661.69890999999996</v>
      </c>
      <c r="G925">
        <v>1696519631</v>
      </c>
      <c r="H925" t="s">
        <v>20</v>
      </c>
    </row>
    <row r="926" spans="1:8" x14ac:dyDescent="0.3">
      <c r="A926" t="s">
        <v>174</v>
      </c>
      <c r="B926" t="s">
        <v>9</v>
      </c>
      <c r="C926">
        <v>0.68461000000000005</v>
      </c>
      <c r="D926">
        <v>0.70133999999999996</v>
      </c>
      <c r="E926">
        <v>0.66391</v>
      </c>
      <c r="F926">
        <v>0.66588999999999998</v>
      </c>
      <c r="G926">
        <v>537207539</v>
      </c>
      <c r="H926" t="s">
        <v>10</v>
      </c>
    </row>
    <row r="927" spans="1:8" x14ac:dyDescent="0.3">
      <c r="A927" t="s">
        <v>174</v>
      </c>
      <c r="B927" t="s">
        <v>11</v>
      </c>
      <c r="C927">
        <v>105434.36719999999</v>
      </c>
      <c r="D927">
        <v>105997.69530000001</v>
      </c>
      <c r="E927">
        <v>104232.7031</v>
      </c>
      <c r="F927">
        <v>104731.9844</v>
      </c>
      <c r="G927">
        <v>44544857105</v>
      </c>
      <c r="H927" t="s">
        <v>12</v>
      </c>
    </row>
    <row r="928" spans="1:8" x14ac:dyDescent="0.3">
      <c r="A928" t="s">
        <v>174</v>
      </c>
      <c r="B928" t="s">
        <v>13</v>
      </c>
      <c r="C928">
        <v>155.34172000000001</v>
      </c>
      <c r="D928">
        <v>157.85303999999999</v>
      </c>
      <c r="E928">
        <v>153.17563999999999</v>
      </c>
      <c r="F928">
        <v>153.35964999999999</v>
      </c>
      <c r="G928">
        <v>2694510572</v>
      </c>
      <c r="H928" t="s">
        <v>14</v>
      </c>
    </row>
    <row r="929" spans="1:8" x14ac:dyDescent="0.3">
      <c r="A929" t="s">
        <v>174</v>
      </c>
      <c r="B929" t="s">
        <v>15</v>
      </c>
      <c r="C929">
        <v>2.2468400000000002</v>
      </c>
      <c r="D929">
        <v>2.2642600000000002</v>
      </c>
      <c r="E929">
        <v>2.1981999999999999</v>
      </c>
      <c r="F929">
        <v>2.2023100000000002</v>
      </c>
      <c r="G929">
        <v>2010134792</v>
      </c>
      <c r="H929" t="s">
        <v>16</v>
      </c>
    </row>
    <row r="930" spans="1:8" x14ac:dyDescent="0.3">
      <c r="A930" t="s">
        <v>174</v>
      </c>
      <c r="B930" t="s">
        <v>17</v>
      </c>
      <c r="C930">
        <v>2593.4826699999999</v>
      </c>
      <c r="D930">
        <v>2677.97046</v>
      </c>
      <c r="E930">
        <v>2585.7377900000001</v>
      </c>
      <c r="F930">
        <v>2608.6430700000001</v>
      </c>
      <c r="G930">
        <v>18621211035</v>
      </c>
      <c r="H930" t="s">
        <v>18</v>
      </c>
    </row>
    <row r="931" spans="1:8" x14ac:dyDescent="0.3">
      <c r="A931" t="s">
        <v>174</v>
      </c>
      <c r="B931" t="s">
        <v>19</v>
      </c>
      <c r="C931">
        <v>661.69897000000003</v>
      </c>
      <c r="D931">
        <v>671.93035999999995</v>
      </c>
      <c r="E931">
        <v>661.37445000000002</v>
      </c>
      <c r="F931">
        <v>663.70630000000006</v>
      </c>
      <c r="G931">
        <v>1561308740</v>
      </c>
      <c r="H931" t="s">
        <v>20</v>
      </c>
    </row>
    <row r="932" spans="1:8" x14ac:dyDescent="0.3">
      <c r="A932" t="s">
        <v>175</v>
      </c>
      <c r="B932" t="s">
        <v>9</v>
      </c>
      <c r="C932">
        <v>0.66588999999999998</v>
      </c>
      <c r="D932">
        <v>0.68910000000000005</v>
      </c>
      <c r="E932">
        <v>0.62104000000000004</v>
      </c>
      <c r="F932">
        <v>0.62756999999999996</v>
      </c>
      <c r="G932">
        <v>884135870</v>
      </c>
      <c r="H932" t="s">
        <v>10</v>
      </c>
    </row>
    <row r="933" spans="1:8" x14ac:dyDescent="0.3">
      <c r="A933" t="s">
        <v>175</v>
      </c>
      <c r="B933" t="s">
        <v>11</v>
      </c>
      <c r="C933">
        <v>104750.7813</v>
      </c>
      <c r="D933">
        <v>105936.6875</v>
      </c>
      <c r="E933">
        <v>100436.88280000001</v>
      </c>
      <c r="F933">
        <v>101575.9531</v>
      </c>
      <c r="G933">
        <v>57479298400</v>
      </c>
      <c r="H933" t="s">
        <v>12</v>
      </c>
    </row>
    <row r="934" spans="1:8" x14ac:dyDescent="0.3">
      <c r="A934" t="s">
        <v>175</v>
      </c>
      <c r="B934" t="s">
        <v>13</v>
      </c>
      <c r="C934">
        <v>153.35933</v>
      </c>
      <c r="D934">
        <v>154.56041999999999</v>
      </c>
      <c r="E934">
        <v>141.90294</v>
      </c>
      <c r="F934">
        <v>144.54294999999999</v>
      </c>
      <c r="G934">
        <v>4691163987</v>
      </c>
      <c r="H934" t="s">
        <v>14</v>
      </c>
    </row>
    <row r="935" spans="1:8" x14ac:dyDescent="0.3">
      <c r="A935" t="s">
        <v>175</v>
      </c>
      <c r="B935" t="s">
        <v>15</v>
      </c>
      <c r="C935">
        <v>2.2023199999999998</v>
      </c>
      <c r="D935">
        <v>2.2252900000000002</v>
      </c>
      <c r="E935">
        <v>2.06473</v>
      </c>
      <c r="F935">
        <v>2.0976300000000001</v>
      </c>
      <c r="G935">
        <v>3283496875</v>
      </c>
      <c r="H935" t="s">
        <v>16</v>
      </c>
    </row>
    <row r="936" spans="1:8" x14ac:dyDescent="0.3">
      <c r="A936" t="s">
        <v>175</v>
      </c>
      <c r="B936" t="s">
        <v>17</v>
      </c>
      <c r="C936">
        <v>2608.60718</v>
      </c>
      <c r="D936">
        <v>2640.6039999999998</v>
      </c>
      <c r="E936">
        <v>2395.7536599999999</v>
      </c>
      <c r="F936">
        <v>2416.2856499999998</v>
      </c>
      <c r="G936">
        <v>26194462737</v>
      </c>
      <c r="H936" t="s">
        <v>18</v>
      </c>
    </row>
    <row r="937" spans="1:8" x14ac:dyDescent="0.3">
      <c r="A937" t="s">
        <v>175</v>
      </c>
      <c r="B937" t="s">
        <v>19</v>
      </c>
      <c r="C937">
        <v>663.70789000000002</v>
      </c>
      <c r="D937">
        <v>670.58056999999997</v>
      </c>
      <c r="E937">
        <v>626.68042000000003</v>
      </c>
      <c r="F937">
        <v>634.05358999999999</v>
      </c>
      <c r="G937">
        <v>1987901562</v>
      </c>
      <c r="H937" t="s">
        <v>20</v>
      </c>
    </row>
    <row r="938" spans="1:8" x14ac:dyDescent="0.3">
      <c r="A938" t="s">
        <v>176</v>
      </c>
      <c r="B938" t="s">
        <v>9</v>
      </c>
      <c r="C938">
        <v>0.62756999999999996</v>
      </c>
      <c r="D938">
        <v>0.67095000000000005</v>
      </c>
      <c r="E938">
        <v>0.62378999999999996</v>
      </c>
      <c r="F938">
        <v>0.65641000000000005</v>
      </c>
      <c r="G938">
        <v>644957374</v>
      </c>
      <c r="H938" t="s">
        <v>10</v>
      </c>
    </row>
    <row r="939" spans="1:8" x14ac:dyDescent="0.3">
      <c r="A939" t="s">
        <v>176</v>
      </c>
      <c r="B939" t="s">
        <v>11</v>
      </c>
      <c r="C939">
        <v>101574.36719999999</v>
      </c>
      <c r="D939">
        <v>105376.77340000001</v>
      </c>
      <c r="E939">
        <v>101169.57030000001</v>
      </c>
      <c r="F939">
        <v>104390.3438</v>
      </c>
      <c r="G939">
        <v>48856653697</v>
      </c>
      <c r="H939" t="s">
        <v>12</v>
      </c>
    </row>
    <row r="940" spans="1:8" x14ac:dyDescent="0.3">
      <c r="A940" t="s">
        <v>176</v>
      </c>
      <c r="B940" t="s">
        <v>13</v>
      </c>
      <c r="C940">
        <v>144.54291000000001</v>
      </c>
      <c r="D940">
        <v>152.02251999999999</v>
      </c>
      <c r="E940">
        <v>144.44040000000001</v>
      </c>
      <c r="F940">
        <v>147.91313</v>
      </c>
      <c r="G940">
        <v>2780168622</v>
      </c>
      <c r="H940" t="s">
        <v>14</v>
      </c>
    </row>
    <row r="941" spans="1:8" x14ac:dyDescent="0.3">
      <c r="A941" t="s">
        <v>176</v>
      </c>
      <c r="B941" t="s">
        <v>15</v>
      </c>
      <c r="C941">
        <v>2.0976499999999998</v>
      </c>
      <c r="D941">
        <v>2.18885</v>
      </c>
      <c r="E941">
        <v>2.08867</v>
      </c>
      <c r="F941">
        <v>2.1624099999999999</v>
      </c>
      <c r="G941">
        <v>2160226661</v>
      </c>
      <c r="H941" t="s">
        <v>16</v>
      </c>
    </row>
    <row r="942" spans="1:8" x14ac:dyDescent="0.3">
      <c r="A942" t="s">
        <v>176</v>
      </c>
      <c r="B942" t="s">
        <v>17</v>
      </c>
      <c r="C942">
        <v>2416.4550800000002</v>
      </c>
      <c r="D942">
        <v>2530.39185</v>
      </c>
      <c r="E942">
        <v>2387.6086399999999</v>
      </c>
      <c r="F942">
        <v>2477.1948200000002</v>
      </c>
      <c r="G942">
        <v>19407449565</v>
      </c>
      <c r="H942" t="s">
        <v>18</v>
      </c>
    </row>
    <row r="943" spans="1:8" x14ac:dyDescent="0.3">
      <c r="A943" t="s">
        <v>176</v>
      </c>
      <c r="B943" t="s">
        <v>19</v>
      </c>
      <c r="C943">
        <v>634.05200000000002</v>
      </c>
      <c r="D943">
        <v>651.37963999999999</v>
      </c>
      <c r="E943">
        <v>631.10675000000003</v>
      </c>
      <c r="F943">
        <v>643.43420000000003</v>
      </c>
      <c r="G943">
        <v>1728825229</v>
      </c>
      <c r="H943" t="s">
        <v>20</v>
      </c>
    </row>
    <row r="944" spans="1:8" x14ac:dyDescent="0.3">
      <c r="A944" t="s">
        <v>177</v>
      </c>
      <c r="B944" t="s">
        <v>9</v>
      </c>
      <c r="C944">
        <v>0.65641000000000005</v>
      </c>
      <c r="D944">
        <v>0.67037999999999998</v>
      </c>
      <c r="E944">
        <v>0.65173000000000003</v>
      </c>
      <c r="F944">
        <v>0.66500999999999999</v>
      </c>
      <c r="G944">
        <v>384375357</v>
      </c>
      <c r="H944" t="s">
        <v>10</v>
      </c>
    </row>
    <row r="945" spans="1:8" x14ac:dyDescent="0.3">
      <c r="A945" t="s">
        <v>177</v>
      </c>
      <c r="B945" t="s">
        <v>11</v>
      </c>
      <c r="C945">
        <v>104390.64840000001</v>
      </c>
      <c r="D945">
        <v>105972.75780000001</v>
      </c>
      <c r="E945">
        <v>103987.3125</v>
      </c>
      <c r="F945">
        <v>105615.625</v>
      </c>
      <c r="G945">
        <v>38365033776</v>
      </c>
      <c r="H945" t="s">
        <v>12</v>
      </c>
    </row>
    <row r="946" spans="1:8" x14ac:dyDescent="0.3">
      <c r="A946" t="s">
        <v>177</v>
      </c>
      <c r="B946" t="s">
        <v>13</v>
      </c>
      <c r="C946">
        <v>147.90805</v>
      </c>
      <c r="D946">
        <v>152.82552999999999</v>
      </c>
      <c r="E946">
        <v>147.18727000000001</v>
      </c>
      <c r="F946">
        <v>150.13406000000001</v>
      </c>
      <c r="G946">
        <v>1895979261</v>
      </c>
      <c r="H946" t="s">
        <v>14</v>
      </c>
    </row>
    <row r="947" spans="1:8" x14ac:dyDescent="0.3">
      <c r="A947" t="s">
        <v>177</v>
      </c>
      <c r="B947" t="s">
        <v>15</v>
      </c>
      <c r="C947">
        <v>2.1624099999999999</v>
      </c>
      <c r="D947">
        <v>2.1910500000000002</v>
      </c>
      <c r="E947">
        <v>2.1518199999999998</v>
      </c>
      <c r="F947">
        <v>2.17855</v>
      </c>
      <c r="G947">
        <v>1225984728</v>
      </c>
      <c r="H947" t="s">
        <v>16</v>
      </c>
    </row>
    <row r="948" spans="1:8" x14ac:dyDescent="0.3">
      <c r="A948" t="s">
        <v>177</v>
      </c>
      <c r="B948" t="s">
        <v>17</v>
      </c>
      <c r="C948">
        <v>2477.1833499999998</v>
      </c>
      <c r="D948">
        <v>2543.0488300000002</v>
      </c>
      <c r="E948">
        <v>2459.1372099999999</v>
      </c>
      <c r="F948">
        <v>2526.5053699999999</v>
      </c>
      <c r="G948">
        <v>11664303387</v>
      </c>
      <c r="H948" t="s">
        <v>18</v>
      </c>
    </row>
    <row r="949" spans="1:8" x14ac:dyDescent="0.3">
      <c r="A949" t="s">
        <v>177</v>
      </c>
      <c r="B949" t="s">
        <v>19</v>
      </c>
      <c r="C949">
        <v>643.44244000000003</v>
      </c>
      <c r="D949">
        <v>653.89116999999999</v>
      </c>
      <c r="E949">
        <v>640.94903999999997</v>
      </c>
      <c r="F949">
        <v>651.15044999999998</v>
      </c>
      <c r="G949">
        <v>1468009270</v>
      </c>
      <c r="H949" t="s">
        <v>20</v>
      </c>
    </row>
    <row r="950" spans="1:8" x14ac:dyDescent="0.3">
      <c r="A950" t="s">
        <v>178</v>
      </c>
      <c r="B950" t="s">
        <v>9</v>
      </c>
      <c r="C950">
        <v>0.66500999999999999</v>
      </c>
      <c r="D950">
        <v>0.67866000000000004</v>
      </c>
      <c r="E950">
        <v>0.65398999999999996</v>
      </c>
      <c r="F950">
        <v>0.66990000000000005</v>
      </c>
      <c r="G950">
        <v>500556195</v>
      </c>
      <c r="H950" t="s">
        <v>10</v>
      </c>
    </row>
    <row r="951" spans="1:8" x14ac:dyDescent="0.3">
      <c r="A951" t="s">
        <v>178</v>
      </c>
      <c r="B951" t="s">
        <v>11</v>
      </c>
      <c r="C951">
        <v>105617.50780000001</v>
      </c>
      <c r="D951">
        <v>106497.0625</v>
      </c>
      <c r="E951">
        <v>105075.3281</v>
      </c>
      <c r="F951">
        <v>105793.64840000001</v>
      </c>
      <c r="G951">
        <v>36626232328</v>
      </c>
      <c r="H951" t="s">
        <v>12</v>
      </c>
    </row>
    <row r="952" spans="1:8" x14ac:dyDescent="0.3">
      <c r="A952" t="s">
        <v>178</v>
      </c>
      <c r="B952" t="s">
        <v>13</v>
      </c>
      <c r="C952">
        <v>150.13390000000001</v>
      </c>
      <c r="D952">
        <v>155.04189</v>
      </c>
      <c r="E952">
        <v>148.22443000000001</v>
      </c>
      <c r="F952">
        <v>152.43010000000001</v>
      </c>
      <c r="G952">
        <v>1928262265</v>
      </c>
      <c r="H952" t="s">
        <v>14</v>
      </c>
    </row>
    <row r="953" spans="1:8" x14ac:dyDescent="0.3">
      <c r="A953" t="s">
        <v>178</v>
      </c>
      <c r="B953" t="s">
        <v>15</v>
      </c>
      <c r="C953">
        <v>2.1785399999999999</v>
      </c>
      <c r="D953">
        <v>2.2942100000000001</v>
      </c>
      <c r="E953">
        <v>2.1692100000000001</v>
      </c>
      <c r="F953">
        <v>2.2654999999999998</v>
      </c>
      <c r="G953">
        <v>2668252038</v>
      </c>
      <c r="H953" t="s">
        <v>16</v>
      </c>
    </row>
    <row r="954" spans="1:8" x14ac:dyDescent="0.3">
      <c r="A954" t="s">
        <v>178</v>
      </c>
      <c r="B954" t="s">
        <v>17</v>
      </c>
      <c r="C954">
        <v>2526.1933600000002</v>
      </c>
      <c r="D954">
        <v>2547.46704</v>
      </c>
      <c r="E954">
        <v>2493.9201699999999</v>
      </c>
      <c r="F954">
        <v>2510.7871100000002</v>
      </c>
      <c r="G954">
        <v>12097170203</v>
      </c>
      <c r="H954" t="s">
        <v>18</v>
      </c>
    </row>
    <row r="955" spans="1:8" x14ac:dyDescent="0.3">
      <c r="A955" t="s">
        <v>178</v>
      </c>
      <c r="B955" t="s">
        <v>19</v>
      </c>
      <c r="C955">
        <v>651.15044999999998</v>
      </c>
      <c r="D955">
        <v>656.27770999999996</v>
      </c>
      <c r="E955">
        <v>646.93127000000004</v>
      </c>
      <c r="F955">
        <v>652.14783</v>
      </c>
      <c r="G955">
        <v>1385072458</v>
      </c>
      <c r="H955" t="s">
        <v>20</v>
      </c>
    </row>
    <row r="956" spans="1:8" x14ac:dyDescent="0.3">
      <c r="A956" t="s">
        <v>179</v>
      </c>
      <c r="B956" t="s">
        <v>9</v>
      </c>
      <c r="C956">
        <v>0.66990000000000005</v>
      </c>
      <c r="D956">
        <v>0.70696000000000003</v>
      </c>
      <c r="E956">
        <v>0.65761000000000003</v>
      </c>
      <c r="F956">
        <v>0.70504999999999995</v>
      </c>
      <c r="G956">
        <v>623912687</v>
      </c>
      <c r="H956" t="s">
        <v>10</v>
      </c>
    </row>
    <row r="957" spans="1:8" x14ac:dyDescent="0.3">
      <c r="A957" t="s">
        <v>179</v>
      </c>
      <c r="B957" t="s">
        <v>11</v>
      </c>
      <c r="C957">
        <v>105793.02340000001</v>
      </c>
      <c r="D957">
        <v>110561.4219</v>
      </c>
      <c r="E957">
        <v>105400.2344</v>
      </c>
      <c r="F957">
        <v>110294.10159999999</v>
      </c>
      <c r="G957">
        <v>55903193732</v>
      </c>
      <c r="H957" t="s">
        <v>12</v>
      </c>
    </row>
    <row r="958" spans="1:8" x14ac:dyDescent="0.3">
      <c r="A958" t="s">
        <v>179</v>
      </c>
      <c r="B958" t="s">
        <v>13</v>
      </c>
      <c r="C958">
        <v>152.43010000000001</v>
      </c>
      <c r="D958">
        <v>161.4991</v>
      </c>
      <c r="E958">
        <v>149.83992000000001</v>
      </c>
      <c r="F958">
        <v>161.08865</v>
      </c>
      <c r="G958">
        <v>3689102023</v>
      </c>
      <c r="H958" t="s">
        <v>14</v>
      </c>
    </row>
    <row r="959" spans="1:8" x14ac:dyDescent="0.3">
      <c r="A959" t="s">
        <v>179</v>
      </c>
      <c r="B959" t="s">
        <v>15</v>
      </c>
      <c r="C959">
        <v>2.2654899999999998</v>
      </c>
      <c r="D959">
        <v>2.3278300000000001</v>
      </c>
      <c r="E959">
        <v>2.2254999999999998</v>
      </c>
      <c r="F959">
        <v>2.32037</v>
      </c>
      <c r="G959">
        <v>2876210477</v>
      </c>
      <c r="H959" t="s">
        <v>16</v>
      </c>
    </row>
    <row r="960" spans="1:8" x14ac:dyDescent="0.3">
      <c r="A960" t="s">
        <v>179</v>
      </c>
      <c r="B960" t="s">
        <v>17</v>
      </c>
      <c r="C960">
        <v>2510.8381399999998</v>
      </c>
      <c r="D960">
        <v>2693.8066399999998</v>
      </c>
      <c r="E960">
        <v>2479.8679200000001</v>
      </c>
      <c r="F960">
        <v>2681.5170899999998</v>
      </c>
      <c r="G960">
        <v>20605172560</v>
      </c>
      <c r="H960" t="s">
        <v>18</v>
      </c>
    </row>
    <row r="961" spans="1:8" x14ac:dyDescent="0.3">
      <c r="A961" t="s">
        <v>179</v>
      </c>
      <c r="B961" t="s">
        <v>19</v>
      </c>
      <c r="C961">
        <v>652.14783</v>
      </c>
      <c r="D961">
        <v>667.71349999999995</v>
      </c>
      <c r="E961">
        <v>648.58330999999998</v>
      </c>
      <c r="F961">
        <v>665.95403999999996</v>
      </c>
      <c r="G961">
        <v>1629752670</v>
      </c>
      <c r="H961" t="s">
        <v>20</v>
      </c>
    </row>
    <row r="962" spans="1:8" x14ac:dyDescent="0.3">
      <c r="A962" t="s">
        <v>180</v>
      </c>
      <c r="B962" t="s">
        <v>9</v>
      </c>
      <c r="C962">
        <v>0.70504999999999995</v>
      </c>
      <c r="D962">
        <v>0.71879000000000004</v>
      </c>
      <c r="E962">
        <v>0.68718000000000001</v>
      </c>
      <c r="F962">
        <v>0.71591000000000005</v>
      </c>
      <c r="G962">
        <v>854432526</v>
      </c>
      <c r="H962" t="s">
        <v>10</v>
      </c>
    </row>
    <row r="963" spans="1:8" x14ac:dyDescent="0.3">
      <c r="A963" t="s">
        <v>180</v>
      </c>
      <c r="B963" t="s">
        <v>11</v>
      </c>
      <c r="C963">
        <v>110295.6875</v>
      </c>
      <c r="D963">
        <v>110380.125</v>
      </c>
      <c r="E963">
        <v>108367.71090000001</v>
      </c>
      <c r="F963">
        <v>110257.2344</v>
      </c>
      <c r="G963">
        <v>54700101509</v>
      </c>
      <c r="H963" t="s">
        <v>12</v>
      </c>
    </row>
    <row r="964" spans="1:8" x14ac:dyDescent="0.3">
      <c r="A964" t="s">
        <v>180</v>
      </c>
      <c r="B964" t="s">
        <v>13</v>
      </c>
      <c r="C964">
        <v>161.09470999999999</v>
      </c>
      <c r="D964">
        <v>165.53391999999999</v>
      </c>
      <c r="E964">
        <v>156.84259</v>
      </c>
      <c r="F964">
        <v>165.02816999999999</v>
      </c>
      <c r="G964">
        <v>4891108456</v>
      </c>
      <c r="H964" t="s">
        <v>14</v>
      </c>
    </row>
    <row r="965" spans="1:8" x14ac:dyDescent="0.3">
      <c r="A965" t="s">
        <v>180</v>
      </c>
      <c r="B965" t="s">
        <v>15</v>
      </c>
      <c r="C965">
        <v>2.32037</v>
      </c>
      <c r="D965">
        <v>2.32483</v>
      </c>
      <c r="E965">
        <v>2.2680099999999999</v>
      </c>
      <c r="F965">
        <v>2.3052800000000002</v>
      </c>
      <c r="G965">
        <v>2753743744</v>
      </c>
      <c r="H965" t="s">
        <v>16</v>
      </c>
    </row>
    <row r="966" spans="1:8" x14ac:dyDescent="0.3">
      <c r="A966" t="s">
        <v>180</v>
      </c>
      <c r="B966" t="s">
        <v>17</v>
      </c>
      <c r="C966">
        <v>2681.2854000000002</v>
      </c>
      <c r="D966">
        <v>2824.8081099999999</v>
      </c>
      <c r="E966">
        <v>2658.6772500000002</v>
      </c>
      <c r="F966">
        <v>2813.5175800000002</v>
      </c>
      <c r="G966">
        <v>35555755055</v>
      </c>
      <c r="H966" t="s">
        <v>18</v>
      </c>
    </row>
    <row r="967" spans="1:8" x14ac:dyDescent="0.3">
      <c r="A967" t="s">
        <v>180</v>
      </c>
      <c r="B967" t="s">
        <v>19</v>
      </c>
      <c r="C967">
        <v>665.95459000000005</v>
      </c>
      <c r="D967">
        <v>673.63073999999995</v>
      </c>
      <c r="E967">
        <v>657.62585000000001</v>
      </c>
      <c r="F967">
        <v>673.61046999999996</v>
      </c>
      <c r="G967">
        <v>1849736872</v>
      </c>
      <c r="H967" t="s">
        <v>20</v>
      </c>
    </row>
    <row r="968" spans="1:8" x14ac:dyDescent="0.3">
      <c r="A968" t="s">
        <v>181</v>
      </c>
      <c r="B968" t="s">
        <v>9</v>
      </c>
      <c r="C968">
        <v>0.71592</v>
      </c>
      <c r="D968">
        <v>0.73036000000000001</v>
      </c>
      <c r="E968">
        <v>0.69211</v>
      </c>
      <c r="F968">
        <v>0.69816</v>
      </c>
      <c r="G968">
        <v>762289525</v>
      </c>
      <c r="H968" t="s">
        <v>10</v>
      </c>
    </row>
    <row r="969" spans="1:8" x14ac:dyDescent="0.3">
      <c r="A969" t="s">
        <v>181</v>
      </c>
      <c r="B969" t="s">
        <v>11</v>
      </c>
      <c r="C969">
        <v>110261.7969</v>
      </c>
      <c r="D969">
        <v>110384.2188</v>
      </c>
      <c r="E969">
        <v>108086.3281</v>
      </c>
      <c r="F969">
        <v>108686.625</v>
      </c>
      <c r="G969">
        <v>50842662052</v>
      </c>
      <c r="H969" t="s">
        <v>12</v>
      </c>
    </row>
    <row r="970" spans="1:8" x14ac:dyDescent="0.3">
      <c r="A970" t="s">
        <v>181</v>
      </c>
      <c r="B970" t="s">
        <v>13</v>
      </c>
      <c r="C970">
        <v>165.02816999999999</v>
      </c>
      <c r="D970">
        <v>168.01811000000001</v>
      </c>
      <c r="E970">
        <v>159.42578</v>
      </c>
      <c r="F970">
        <v>161.05586</v>
      </c>
      <c r="G970">
        <v>5292694830</v>
      </c>
      <c r="H970" t="s">
        <v>14</v>
      </c>
    </row>
    <row r="971" spans="1:8" x14ac:dyDescent="0.3">
      <c r="A971" t="s">
        <v>181</v>
      </c>
      <c r="B971" t="s">
        <v>15</v>
      </c>
      <c r="C971">
        <v>2.30532</v>
      </c>
      <c r="D971">
        <v>2.3354900000000001</v>
      </c>
      <c r="E971">
        <v>2.2572199999999998</v>
      </c>
      <c r="F971">
        <v>2.2708699999999999</v>
      </c>
      <c r="G971">
        <v>3016488242</v>
      </c>
      <c r="H971" t="s">
        <v>16</v>
      </c>
    </row>
    <row r="972" spans="1:8" x14ac:dyDescent="0.3">
      <c r="A972" t="s">
        <v>181</v>
      </c>
      <c r="B972" t="s">
        <v>17</v>
      </c>
      <c r="C972">
        <v>2813.7397500000002</v>
      </c>
      <c r="D972">
        <v>2877.6293999999998</v>
      </c>
      <c r="E972">
        <v>2746.4599600000001</v>
      </c>
      <c r="F972">
        <v>2773.5293000000001</v>
      </c>
      <c r="G972">
        <v>30705408054</v>
      </c>
      <c r="H972" t="s">
        <v>18</v>
      </c>
    </row>
    <row r="973" spans="1:8" x14ac:dyDescent="0.3">
      <c r="A973" t="s">
        <v>181</v>
      </c>
      <c r="B973" t="s">
        <v>19</v>
      </c>
      <c r="C973">
        <v>673.61046999999996</v>
      </c>
      <c r="D973">
        <v>673.95061999999996</v>
      </c>
      <c r="E973">
        <v>663.13640999999996</v>
      </c>
      <c r="F973">
        <v>667.66907000000003</v>
      </c>
      <c r="G973">
        <v>1778663531</v>
      </c>
      <c r="H973" t="s">
        <v>20</v>
      </c>
    </row>
    <row r="974" spans="1:8" x14ac:dyDescent="0.3">
      <c r="A974" t="s">
        <v>182</v>
      </c>
      <c r="B974" t="s">
        <v>9</v>
      </c>
      <c r="C974">
        <v>0.69816</v>
      </c>
      <c r="D974">
        <v>0.69913000000000003</v>
      </c>
      <c r="E974">
        <v>0.65878000000000003</v>
      </c>
      <c r="F974">
        <v>0.66383999999999999</v>
      </c>
      <c r="G974">
        <v>693312281</v>
      </c>
      <c r="H974" t="s">
        <v>10</v>
      </c>
    </row>
    <row r="975" spans="1:8" x14ac:dyDescent="0.3">
      <c r="A975" t="s">
        <v>182</v>
      </c>
      <c r="B975" t="s">
        <v>11</v>
      </c>
      <c r="C975">
        <v>108685.91409999999</v>
      </c>
      <c r="D975">
        <v>108780.69530000001</v>
      </c>
      <c r="E975">
        <v>105785.6875</v>
      </c>
      <c r="F975">
        <v>105929.05469999999</v>
      </c>
      <c r="G975">
        <v>54843867968</v>
      </c>
      <c r="H975" t="s">
        <v>12</v>
      </c>
    </row>
    <row r="976" spans="1:8" x14ac:dyDescent="0.3">
      <c r="A976" t="s">
        <v>182</v>
      </c>
      <c r="B976" t="s">
        <v>13</v>
      </c>
      <c r="C976">
        <v>161.05586</v>
      </c>
      <c r="D976">
        <v>161.20278999999999</v>
      </c>
      <c r="E976">
        <v>152.23741000000001</v>
      </c>
      <c r="F976">
        <v>152.78967</v>
      </c>
      <c r="G976">
        <v>3655760294</v>
      </c>
      <c r="H976" t="s">
        <v>14</v>
      </c>
    </row>
    <row r="977" spans="1:8" x14ac:dyDescent="0.3">
      <c r="A977" t="s">
        <v>182</v>
      </c>
      <c r="B977" t="s">
        <v>15</v>
      </c>
      <c r="C977">
        <v>2.2708699999999999</v>
      </c>
      <c r="D977">
        <v>2.27122</v>
      </c>
      <c r="E977">
        <v>2.17624</v>
      </c>
      <c r="F977">
        <v>2.1947700000000001</v>
      </c>
      <c r="G977">
        <v>2658926570</v>
      </c>
      <c r="H977" t="s">
        <v>16</v>
      </c>
    </row>
    <row r="978" spans="1:8" x14ac:dyDescent="0.3">
      <c r="A978" t="s">
        <v>182</v>
      </c>
      <c r="B978" t="s">
        <v>17</v>
      </c>
      <c r="C978">
        <v>2773.5979000000002</v>
      </c>
      <c r="D978">
        <v>2784.2627000000002</v>
      </c>
      <c r="E978">
        <v>2619.9665500000001</v>
      </c>
      <c r="F978">
        <v>2651.7951699999999</v>
      </c>
      <c r="G978">
        <v>25924959613</v>
      </c>
      <c r="H978" t="s">
        <v>18</v>
      </c>
    </row>
    <row r="979" spans="1:8" x14ac:dyDescent="0.3">
      <c r="A979" t="s">
        <v>182</v>
      </c>
      <c r="B979" t="s">
        <v>19</v>
      </c>
      <c r="C979">
        <v>667.66907000000003</v>
      </c>
      <c r="D979">
        <v>669.51568999999995</v>
      </c>
      <c r="E979">
        <v>652.78972999999996</v>
      </c>
      <c r="F979">
        <v>656.24383999999998</v>
      </c>
      <c r="G979">
        <v>1695465665</v>
      </c>
      <c r="H979" t="s">
        <v>20</v>
      </c>
    </row>
    <row r="980" spans="1:8" x14ac:dyDescent="0.3">
      <c r="A980" t="s">
        <v>183</v>
      </c>
      <c r="B980" t="s">
        <v>9</v>
      </c>
      <c r="C980">
        <v>0.66381999999999997</v>
      </c>
      <c r="D980">
        <v>0.66381999999999997</v>
      </c>
      <c r="E980">
        <v>0.62036000000000002</v>
      </c>
      <c r="F980">
        <v>0.64214000000000004</v>
      </c>
      <c r="G980">
        <v>1056842030</v>
      </c>
      <c r="H980" t="s">
        <v>10</v>
      </c>
    </row>
    <row r="981" spans="1:8" x14ac:dyDescent="0.3">
      <c r="A981" t="s">
        <v>183</v>
      </c>
      <c r="B981" t="s">
        <v>11</v>
      </c>
      <c r="C981">
        <v>105924.5938</v>
      </c>
      <c r="D981">
        <v>106182.5469</v>
      </c>
      <c r="E981">
        <v>102822.02340000001</v>
      </c>
      <c r="F981">
        <v>106090.9688</v>
      </c>
      <c r="G981">
        <v>69550440846</v>
      </c>
      <c r="H981" t="s">
        <v>12</v>
      </c>
    </row>
    <row r="982" spans="1:8" x14ac:dyDescent="0.3">
      <c r="A982" t="s">
        <v>183</v>
      </c>
      <c r="B982" t="s">
        <v>13</v>
      </c>
      <c r="C982">
        <v>152.78704999999999</v>
      </c>
      <c r="D982">
        <v>152.78704999999999</v>
      </c>
      <c r="E982">
        <v>141.43715</v>
      </c>
      <c r="F982">
        <v>148.62835999999999</v>
      </c>
      <c r="G982">
        <v>6346327306</v>
      </c>
      <c r="H982" t="s">
        <v>14</v>
      </c>
    </row>
    <row r="983" spans="1:8" x14ac:dyDescent="0.3">
      <c r="A983" t="s">
        <v>183</v>
      </c>
      <c r="B983" t="s">
        <v>15</v>
      </c>
      <c r="C983">
        <v>2.1947299999999998</v>
      </c>
      <c r="D983">
        <v>2.1947399999999999</v>
      </c>
      <c r="E983">
        <v>2.0890599999999999</v>
      </c>
      <c r="F983">
        <v>2.1490300000000002</v>
      </c>
      <c r="G983">
        <v>4448865758</v>
      </c>
      <c r="H983" t="s">
        <v>16</v>
      </c>
    </row>
    <row r="984" spans="1:8" x14ac:dyDescent="0.3">
      <c r="A984" t="s">
        <v>183</v>
      </c>
      <c r="B984" t="s">
        <v>17</v>
      </c>
      <c r="C984">
        <v>2651.9155300000002</v>
      </c>
      <c r="D984">
        <v>2651.9155300000002</v>
      </c>
      <c r="E984">
        <v>2443.9626499999999</v>
      </c>
      <c r="F984">
        <v>2579.4860800000001</v>
      </c>
      <c r="G984">
        <v>37986747138</v>
      </c>
      <c r="H984" t="s">
        <v>18</v>
      </c>
    </row>
    <row r="985" spans="1:8" x14ac:dyDescent="0.3">
      <c r="A985" t="s">
        <v>183</v>
      </c>
      <c r="B985" t="s">
        <v>19</v>
      </c>
      <c r="C985">
        <v>656.25201000000004</v>
      </c>
      <c r="D985">
        <v>659.31177000000002</v>
      </c>
      <c r="E985">
        <v>641.31232</v>
      </c>
      <c r="F985">
        <v>655.25573999999995</v>
      </c>
      <c r="G985">
        <v>1964558213</v>
      </c>
      <c r="H985" t="s">
        <v>20</v>
      </c>
    </row>
    <row r="986" spans="1:8" x14ac:dyDescent="0.3">
      <c r="A986" t="s">
        <v>184</v>
      </c>
      <c r="B986" t="s">
        <v>9</v>
      </c>
      <c r="C986">
        <v>0.64214000000000004</v>
      </c>
      <c r="D986">
        <v>0.64219999999999999</v>
      </c>
      <c r="E986">
        <v>0.61489000000000005</v>
      </c>
      <c r="F986">
        <v>0.62495000000000001</v>
      </c>
      <c r="G986">
        <v>413673092</v>
      </c>
      <c r="H986" t="s">
        <v>10</v>
      </c>
    </row>
    <row r="987" spans="1:8" x14ac:dyDescent="0.3">
      <c r="A987" t="s">
        <v>184</v>
      </c>
      <c r="B987" t="s">
        <v>11</v>
      </c>
      <c r="C987">
        <v>106108.08590000001</v>
      </c>
      <c r="D987">
        <v>106203.75780000001</v>
      </c>
      <c r="E987">
        <v>104379.36719999999</v>
      </c>
      <c r="F987">
        <v>105472.4063</v>
      </c>
      <c r="G987">
        <v>38007870453</v>
      </c>
      <c r="H987" t="s">
        <v>12</v>
      </c>
    </row>
    <row r="988" spans="1:8" x14ac:dyDescent="0.3">
      <c r="A988" t="s">
        <v>184</v>
      </c>
      <c r="B988" t="s">
        <v>13</v>
      </c>
      <c r="C988">
        <v>148.63222999999999</v>
      </c>
      <c r="D988">
        <v>148.64667</v>
      </c>
      <c r="E988">
        <v>142.22568999999999</v>
      </c>
      <c r="F988">
        <v>144.76374999999999</v>
      </c>
      <c r="G988">
        <v>2159011897</v>
      </c>
      <c r="H988" t="s">
        <v>14</v>
      </c>
    </row>
    <row r="989" spans="1:8" x14ac:dyDescent="0.3">
      <c r="A989" t="s">
        <v>184</v>
      </c>
      <c r="B989" t="s">
        <v>15</v>
      </c>
      <c r="C989">
        <v>2.1490300000000002</v>
      </c>
      <c r="D989">
        <v>2.1783899999999998</v>
      </c>
      <c r="E989">
        <v>2.1139399999999999</v>
      </c>
      <c r="F989">
        <v>2.14141</v>
      </c>
      <c r="G989">
        <v>2001104713</v>
      </c>
      <c r="H989" t="s">
        <v>16</v>
      </c>
    </row>
    <row r="990" spans="1:8" x14ac:dyDescent="0.3">
      <c r="A990" t="s">
        <v>184</v>
      </c>
      <c r="B990" t="s">
        <v>17</v>
      </c>
      <c r="C990">
        <v>2579.7214399999998</v>
      </c>
      <c r="D990">
        <v>2580.1581999999999</v>
      </c>
      <c r="E990">
        <v>2491.4907199999998</v>
      </c>
      <c r="F990">
        <v>2533.44409</v>
      </c>
      <c r="G990">
        <v>14285000473</v>
      </c>
      <c r="H990" t="s">
        <v>18</v>
      </c>
    </row>
    <row r="991" spans="1:8" x14ac:dyDescent="0.3">
      <c r="A991" t="s">
        <v>184</v>
      </c>
      <c r="B991" t="s">
        <v>19</v>
      </c>
      <c r="C991">
        <v>655.26238999999998</v>
      </c>
      <c r="D991">
        <v>655.47838999999999</v>
      </c>
      <c r="E991">
        <v>639.63274999999999</v>
      </c>
      <c r="F991">
        <v>645.91278</v>
      </c>
      <c r="G991">
        <v>1337524307</v>
      </c>
      <c r="H991" t="s">
        <v>20</v>
      </c>
    </row>
    <row r="992" spans="1:8" x14ac:dyDescent="0.3">
      <c r="A992" t="s">
        <v>185</v>
      </c>
      <c r="B992" t="s">
        <v>9</v>
      </c>
      <c r="C992">
        <v>0.62495000000000001</v>
      </c>
      <c r="D992">
        <v>0.63563000000000003</v>
      </c>
      <c r="E992">
        <v>0.62168999999999996</v>
      </c>
      <c r="F992">
        <v>0.63385000000000002</v>
      </c>
      <c r="G992">
        <v>353272482</v>
      </c>
      <c r="H992" t="s">
        <v>10</v>
      </c>
    </row>
    <row r="993" spans="1:8" x14ac:dyDescent="0.3">
      <c r="A993" t="s">
        <v>185</v>
      </c>
      <c r="B993" t="s">
        <v>11</v>
      </c>
      <c r="C993">
        <v>105464.8438</v>
      </c>
      <c r="D993">
        <v>106157.10159999999</v>
      </c>
      <c r="E993">
        <v>104519.88280000001</v>
      </c>
      <c r="F993">
        <v>105552.02340000001</v>
      </c>
      <c r="G993">
        <v>36744307742</v>
      </c>
      <c r="H993" t="s">
        <v>12</v>
      </c>
    </row>
    <row r="994" spans="1:8" x14ac:dyDescent="0.3">
      <c r="A994" t="s">
        <v>185</v>
      </c>
      <c r="B994" t="s">
        <v>13</v>
      </c>
      <c r="C994">
        <v>144.76339999999999</v>
      </c>
      <c r="D994">
        <v>153.21787</v>
      </c>
      <c r="E994">
        <v>144.36363</v>
      </c>
      <c r="F994">
        <v>152.81439</v>
      </c>
      <c r="G994">
        <v>3600058127</v>
      </c>
      <c r="H994" t="s">
        <v>14</v>
      </c>
    </row>
    <row r="995" spans="1:8" x14ac:dyDescent="0.3">
      <c r="A995" t="s">
        <v>185</v>
      </c>
      <c r="B995" t="s">
        <v>15</v>
      </c>
      <c r="C995">
        <v>2.1414</v>
      </c>
      <c r="D995">
        <v>2.1749700000000001</v>
      </c>
      <c r="E995">
        <v>2.1402299999999999</v>
      </c>
      <c r="F995">
        <v>2.1671800000000001</v>
      </c>
      <c r="G995">
        <v>1527791412</v>
      </c>
      <c r="H995" t="s">
        <v>16</v>
      </c>
    </row>
    <row r="996" spans="1:8" x14ac:dyDescent="0.3">
      <c r="A996" t="s">
        <v>185</v>
      </c>
      <c r="B996" t="s">
        <v>17</v>
      </c>
      <c r="C996">
        <v>2533.1833499999998</v>
      </c>
      <c r="D996">
        <v>2558.6777299999999</v>
      </c>
      <c r="E996">
        <v>2493.2045899999998</v>
      </c>
      <c r="F996">
        <v>2546.83716</v>
      </c>
      <c r="G996">
        <v>13961893828</v>
      </c>
      <c r="H996" t="s">
        <v>18</v>
      </c>
    </row>
    <row r="997" spans="1:8" x14ac:dyDescent="0.3">
      <c r="A997" t="s">
        <v>185</v>
      </c>
      <c r="B997" t="s">
        <v>19</v>
      </c>
      <c r="C997">
        <v>645.91234999999995</v>
      </c>
      <c r="D997">
        <v>651.70221000000004</v>
      </c>
      <c r="E997">
        <v>642.99798999999996</v>
      </c>
      <c r="F997">
        <v>648.28075999999999</v>
      </c>
      <c r="G997">
        <v>1352632285</v>
      </c>
      <c r="H997" t="s">
        <v>20</v>
      </c>
    </row>
    <row r="998" spans="1:8" x14ac:dyDescent="0.3">
      <c r="A998" t="s">
        <v>186</v>
      </c>
      <c r="B998" t="s">
        <v>9</v>
      </c>
      <c r="C998">
        <v>0.63385000000000002</v>
      </c>
      <c r="D998">
        <v>0.65678000000000003</v>
      </c>
      <c r="E998">
        <v>0.62599000000000005</v>
      </c>
      <c r="F998">
        <v>0.63163000000000002</v>
      </c>
      <c r="G998">
        <v>676555071</v>
      </c>
      <c r="H998" t="s">
        <v>10</v>
      </c>
    </row>
    <row r="999" spans="1:8" x14ac:dyDescent="0.3">
      <c r="A999" t="s">
        <v>186</v>
      </c>
      <c r="B999" t="s">
        <v>11</v>
      </c>
      <c r="C999">
        <v>105555.5938</v>
      </c>
      <c r="D999">
        <v>108915.375</v>
      </c>
      <c r="E999">
        <v>104997.625</v>
      </c>
      <c r="F999">
        <v>106796.75780000001</v>
      </c>
      <c r="G999">
        <v>50366626945</v>
      </c>
      <c r="H999" t="s">
        <v>12</v>
      </c>
    </row>
    <row r="1000" spans="1:8" x14ac:dyDescent="0.3">
      <c r="A1000" t="s">
        <v>186</v>
      </c>
      <c r="B1000" t="s">
        <v>13</v>
      </c>
      <c r="C1000">
        <v>152.81439</v>
      </c>
      <c r="D1000">
        <v>158.60787999999999</v>
      </c>
      <c r="E1000">
        <v>150.87</v>
      </c>
      <c r="F1000">
        <v>150.87</v>
      </c>
      <c r="G1000">
        <v>4629439778</v>
      </c>
      <c r="H1000" t="s">
        <v>14</v>
      </c>
    </row>
    <row r="1001" spans="1:8" x14ac:dyDescent="0.3">
      <c r="A1001" t="s">
        <v>186</v>
      </c>
      <c r="B1001" t="s">
        <v>15</v>
      </c>
      <c r="C1001">
        <v>2.1671800000000001</v>
      </c>
      <c r="D1001">
        <v>2.33568</v>
      </c>
      <c r="E1001">
        <v>2.15415</v>
      </c>
      <c r="F1001">
        <v>2.2417699999999998</v>
      </c>
      <c r="G1001">
        <v>4685110426</v>
      </c>
      <c r="H1001" t="s">
        <v>16</v>
      </c>
    </row>
    <row r="1002" spans="1:8" x14ac:dyDescent="0.3">
      <c r="A1002" t="s">
        <v>186</v>
      </c>
      <c r="B1002" t="s">
        <v>17</v>
      </c>
      <c r="C1002">
        <v>2547.2268100000001</v>
      </c>
      <c r="D1002">
        <v>2680.0876499999999</v>
      </c>
      <c r="E1002">
        <v>2517.1452599999998</v>
      </c>
      <c r="F1002">
        <v>2540.6049800000001</v>
      </c>
      <c r="G1002">
        <v>22792449577</v>
      </c>
      <c r="H1002" t="s">
        <v>18</v>
      </c>
    </row>
    <row r="1003" spans="1:8" x14ac:dyDescent="0.3">
      <c r="A1003" t="s">
        <v>186</v>
      </c>
      <c r="B1003" t="s">
        <v>19</v>
      </c>
      <c r="C1003">
        <v>648.28179999999998</v>
      </c>
      <c r="D1003">
        <v>659.24341000000004</v>
      </c>
      <c r="E1003">
        <v>646.81329000000005</v>
      </c>
      <c r="F1003">
        <v>650.96172999999999</v>
      </c>
      <c r="G1003">
        <v>1588063609</v>
      </c>
      <c r="H1003" t="s">
        <v>20</v>
      </c>
    </row>
    <row r="1004" spans="1:8" x14ac:dyDescent="0.3">
      <c r="A1004" t="s">
        <v>187</v>
      </c>
      <c r="B1004" t="s">
        <v>9</v>
      </c>
      <c r="C1004">
        <v>0.63143000000000005</v>
      </c>
      <c r="D1004">
        <v>0.64190999999999998</v>
      </c>
      <c r="E1004">
        <v>0.60097</v>
      </c>
      <c r="F1004">
        <v>0.61045000000000005</v>
      </c>
      <c r="G1004">
        <v>716747559</v>
      </c>
      <c r="H1004" t="s">
        <v>10</v>
      </c>
    </row>
    <row r="1005" spans="1:8" x14ac:dyDescent="0.3">
      <c r="A1005" t="s">
        <v>187</v>
      </c>
      <c r="B1005" t="s">
        <v>11</v>
      </c>
      <c r="C1005">
        <v>106794.11719999999</v>
      </c>
      <c r="D1005">
        <v>107750.19530000001</v>
      </c>
      <c r="E1005">
        <v>103396.5313</v>
      </c>
      <c r="F1005">
        <v>104601.11719999999</v>
      </c>
      <c r="G1005">
        <v>55964092176</v>
      </c>
      <c r="H1005" t="s">
        <v>12</v>
      </c>
    </row>
    <row r="1006" spans="1:8" x14ac:dyDescent="0.3">
      <c r="A1006" t="s">
        <v>187</v>
      </c>
      <c r="B1006" t="s">
        <v>13</v>
      </c>
      <c r="C1006">
        <v>150.86487</v>
      </c>
      <c r="D1006">
        <v>154.14801</v>
      </c>
      <c r="E1006">
        <v>145.87115</v>
      </c>
      <c r="F1006">
        <v>147.74979999999999</v>
      </c>
      <c r="G1006">
        <v>4505742897</v>
      </c>
      <c r="H1006" t="s">
        <v>14</v>
      </c>
    </row>
    <row r="1007" spans="1:8" x14ac:dyDescent="0.3">
      <c r="A1007" t="s">
        <v>187</v>
      </c>
      <c r="B1007" t="s">
        <v>15</v>
      </c>
      <c r="C1007">
        <v>2.2416900000000002</v>
      </c>
      <c r="D1007">
        <v>2.2549800000000002</v>
      </c>
      <c r="E1007">
        <v>2.1460599999999999</v>
      </c>
      <c r="F1007">
        <v>2.1607099999999999</v>
      </c>
      <c r="G1007">
        <v>3965189619</v>
      </c>
      <c r="H1007" t="s">
        <v>16</v>
      </c>
    </row>
    <row r="1008" spans="1:8" x14ac:dyDescent="0.3">
      <c r="A1008" t="s">
        <v>187</v>
      </c>
      <c r="B1008" t="s">
        <v>17</v>
      </c>
      <c r="C1008">
        <v>2540.3144499999999</v>
      </c>
      <c r="D1008">
        <v>2617.90137</v>
      </c>
      <c r="E1008">
        <v>2456.6489299999998</v>
      </c>
      <c r="F1008">
        <v>2510.7614800000001</v>
      </c>
      <c r="G1008">
        <v>25653232897</v>
      </c>
      <c r="H1008" t="s">
        <v>18</v>
      </c>
    </row>
    <row r="1009" spans="1:8" x14ac:dyDescent="0.3">
      <c r="A1009" t="s">
        <v>187</v>
      </c>
      <c r="B1009" t="s">
        <v>19</v>
      </c>
      <c r="C1009">
        <v>650.96618999999998</v>
      </c>
      <c r="D1009">
        <v>659.03881999999999</v>
      </c>
      <c r="E1009">
        <v>640.85455000000002</v>
      </c>
      <c r="F1009">
        <v>648.51080000000002</v>
      </c>
      <c r="G1009">
        <v>1784039065</v>
      </c>
      <c r="H1009" t="s">
        <v>20</v>
      </c>
    </row>
    <row r="1010" spans="1:8" x14ac:dyDescent="0.3">
      <c r="A1010" t="s">
        <v>188</v>
      </c>
      <c r="B1010" t="s">
        <v>9</v>
      </c>
      <c r="C1010">
        <v>0.61045000000000005</v>
      </c>
      <c r="D1010">
        <v>0.62075999999999998</v>
      </c>
      <c r="E1010">
        <v>0.58974000000000004</v>
      </c>
      <c r="F1010">
        <v>0.60345000000000004</v>
      </c>
      <c r="G1010">
        <v>721275360</v>
      </c>
      <c r="H1010" t="s">
        <v>10</v>
      </c>
    </row>
    <row r="1011" spans="1:8" x14ac:dyDescent="0.3">
      <c r="A1011" t="s">
        <v>188</v>
      </c>
      <c r="B1011" t="s">
        <v>11</v>
      </c>
      <c r="C1011">
        <v>104602.07030000001</v>
      </c>
      <c r="D1011">
        <v>105581.85159999999</v>
      </c>
      <c r="E1011">
        <v>103602.2656</v>
      </c>
      <c r="F1011">
        <v>104883.3281</v>
      </c>
      <c r="G1011">
        <v>47318089133</v>
      </c>
      <c r="H1011" t="s">
        <v>12</v>
      </c>
    </row>
    <row r="1012" spans="1:8" x14ac:dyDescent="0.3">
      <c r="A1012" t="s">
        <v>188</v>
      </c>
      <c r="B1012" t="s">
        <v>13</v>
      </c>
      <c r="C1012">
        <v>147.74905000000001</v>
      </c>
      <c r="D1012">
        <v>149.15915000000001</v>
      </c>
      <c r="E1012">
        <v>143.96722</v>
      </c>
      <c r="F1012">
        <v>146.35311999999999</v>
      </c>
      <c r="G1012">
        <v>3507323344</v>
      </c>
      <c r="H1012" t="s">
        <v>14</v>
      </c>
    </row>
    <row r="1013" spans="1:8" x14ac:dyDescent="0.3">
      <c r="A1013" t="s">
        <v>188</v>
      </c>
      <c r="B1013" t="s">
        <v>15</v>
      </c>
      <c r="C1013">
        <v>2.1607099999999999</v>
      </c>
      <c r="D1013">
        <v>2.1802600000000001</v>
      </c>
      <c r="E1013">
        <v>2.1209699999999998</v>
      </c>
      <c r="F1013">
        <v>2.16967</v>
      </c>
      <c r="G1013">
        <v>2800813549</v>
      </c>
      <c r="H1013" t="s">
        <v>16</v>
      </c>
    </row>
    <row r="1014" spans="1:8" x14ac:dyDescent="0.3">
      <c r="A1014" t="s">
        <v>188</v>
      </c>
      <c r="B1014" t="s">
        <v>17</v>
      </c>
      <c r="C1014">
        <v>2510.8168999999998</v>
      </c>
      <c r="D1014">
        <v>2546.6274400000002</v>
      </c>
      <c r="E1014">
        <v>2469.0502900000001</v>
      </c>
      <c r="F1014">
        <v>2524.3015099999998</v>
      </c>
      <c r="G1014">
        <v>19873957905</v>
      </c>
      <c r="H1014" t="s">
        <v>18</v>
      </c>
    </row>
    <row r="1015" spans="1:8" x14ac:dyDescent="0.3">
      <c r="A1015" t="s">
        <v>188</v>
      </c>
      <c r="B1015" t="s">
        <v>19</v>
      </c>
      <c r="C1015">
        <v>648.51080000000002</v>
      </c>
      <c r="D1015">
        <v>653.42969000000005</v>
      </c>
      <c r="E1015">
        <v>637.94257000000005</v>
      </c>
      <c r="F1015">
        <v>644.80676000000005</v>
      </c>
      <c r="G1015">
        <v>1667361898</v>
      </c>
      <c r="H1015" t="s">
        <v>20</v>
      </c>
    </row>
    <row r="1016" spans="1:8" x14ac:dyDescent="0.3">
      <c r="A1016" t="s">
        <v>189</v>
      </c>
      <c r="B1016" t="s">
        <v>9</v>
      </c>
      <c r="C1016">
        <v>0.60345000000000004</v>
      </c>
      <c r="D1016">
        <v>0.61084000000000005</v>
      </c>
      <c r="E1016">
        <v>0.59109</v>
      </c>
      <c r="F1016">
        <v>0.60211999999999999</v>
      </c>
      <c r="G1016">
        <v>472917745</v>
      </c>
      <c r="H1016" t="s">
        <v>10</v>
      </c>
    </row>
    <row r="1017" spans="1:8" x14ac:dyDescent="0.3">
      <c r="A1017" t="s">
        <v>189</v>
      </c>
      <c r="B1017" t="s">
        <v>11</v>
      </c>
      <c r="C1017">
        <v>104886.77340000001</v>
      </c>
      <c r="D1017">
        <v>105250.8906</v>
      </c>
      <c r="E1017">
        <v>103940.77340000001</v>
      </c>
      <c r="F1017">
        <v>104684.28909999999</v>
      </c>
      <c r="G1017">
        <v>37333806920</v>
      </c>
      <c r="H1017" t="s">
        <v>12</v>
      </c>
    </row>
    <row r="1018" spans="1:8" x14ac:dyDescent="0.3">
      <c r="A1018" t="s">
        <v>189</v>
      </c>
      <c r="B1018" t="s">
        <v>13</v>
      </c>
      <c r="C1018">
        <v>146.35526999999999</v>
      </c>
      <c r="D1018">
        <v>147.78708</v>
      </c>
      <c r="E1018">
        <v>143.11188000000001</v>
      </c>
      <c r="F1018">
        <v>147.07147000000001</v>
      </c>
      <c r="G1018">
        <v>2754965137</v>
      </c>
      <c r="H1018" t="s">
        <v>14</v>
      </c>
    </row>
    <row r="1019" spans="1:8" x14ac:dyDescent="0.3">
      <c r="A1019" t="s">
        <v>189</v>
      </c>
      <c r="B1019" t="s">
        <v>15</v>
      </c>
      <c r="C1019">
        <v>2.1696800000000001</v>
      </c>
      <c r="D1019">
        <v>2.18208</v>
      </c>
      <c r="E1019">
        <v>2.1463999999999999</v>
      </c>
      <c r="F1019">
        <v>2.16594</v>
      </c>
      <c r="G1019">
        <v>1758762458</v>
      </c>
      <c r="H1019" t="s">
        <v>16</v>
      </c>
    </row>
    <row r="1020" spans="1:8" x14ac:dyDescent="0.3">
      <c r="A1020" t="s">
        <v>189</v>
      </c>
      <c r="B1020" t="s">
        <v>17</v>
      </c>
      <c r="C1020">
        <v>2524.4040500000001</v>
      </c>
      <c r="D1020">
        <v>2546.76953</v>
      </c>
      <c r="E1020">
        <v>2486.1018100000001</v>
      </c>
      <c r="F1020">
        <v>2521.6535600000002</v>
      </c>
      <c r="G1020">
        <v>12782730709</v>
      </c>
      <c r="H1020" t="s">
        <v>18</v>
      </c>
    </row>
    <row r="1021" spans="1:8" x14ac:dyDescent="0.3">
      <c r="A1021" t="s">
        <v>189</v>
      </c>
      <c r="B1021" t="s">
        <v>19</v>
      </c>
      <c r="C1021">
        <v>644.80676000000005</v>
      </c>
      <c r="D1021">
        <v>646.42589999999996</v>
      </c>
      <c r="E1021">
        <v>639.02295000000004</v>
      </c>
      <c r="F1021">
        <v>644.68073000000004</v>
      </c>
      <c r="G1021">
        <v>1374982734</v>
      </c>
      <c r="H1021" t="s">
        <v>20</v>
      </c>
    </row>
    <row r="1022" spans="1:8" x14ac:dyDescent="0.3">
      <c r="A1022" t="s">
        <v>190</v>
      </c>
      <c r="B1022" t="s">
        <v>9</v>
      </c>
      <c r="C1022">
        <v>0.60213000000000005</v>
      </c>
      <c r="D1022">
        <v>0.60592000000000001</v>
      </c>
      <c r="E1022">
        <v>0.56298000000000004</v>
      </c>
      <c r="F1022">
        <v>0.57726</v>
      </c>
      <c r="G1022">
        <v>758958578</v>
      </c>
      <c r="H1022" t="s">
        <v>10</v>
      </c>
    </row>
    <row r="1023" spans="1:8" x14ac:dyDescent="0.3">
      <c r="A1023" t="s">
        <v>190</v>
      </c>
      <c r="B1023" t="s">
        <v>11</v>
      </c>
      <c r="C1023">
        <v>104681.0313</v>
      </c>
      <c r="D1023">
        <v>106539.38280000001</v>
      </c>
      <c r="E1023">
        <v>102372.21090000001</v>
      </c>
      <c r="F1023">
        <v>103309.60159999999</v>
      </c>
      <c r="G1023">
        <v>50951862476</v>
      </c>
      <c r="H1023" t="s">
        <v>12</v>
      </c>
    </row>
    <row r="1024" spans="1:8" x14ac:dyDescent="0.3">
      <c r="A1024" t="s">
        <v>190</v>
      </c>
      <c r="B1024" t="s">
        <v>13</v>
      </c>
      <c r="C1024">
        <v>147.07291000000001</v>
      </c>
      <c r="D1024">
        <v>148.71889999999999</v>
      </c>
      <c r="E1024">
        <v>136.51240999999999</v>
      </c>
      <c r="F1024">
        <v>140.16858999999999</v>
      </c>
      <c r="G1024">
        <v>4112242022</v>
      </c>
      <c r="H1024" t="s">
        <v>14</v>
      </c>
    </row>
    <row r="1025" spans="1:8" x14ac:dyDescent="0.3">
      <c r="A1025" t="s">
        <v>190</v>
      </c>
      <c r="B1025" t="s">
        <v>15</v>
      </c>
      <c r="C1025">
        <v>2.16594</v>
      </c>
      <c r="D1025">
        <v>2.17842</v>
      </c>
      <c r="E1025">
        <v>2.08928</v>
      </c>
      <c r="F1025">
        <v>2.1203500000000002</v>
      </c>
      <c r="G1025">
        <v>2626675896</v>
      </c>
      <c r="H1025" t="s">
        <v>16</v>
      </c>
    </row>
    <row r="1026" spans="1:8" x14ac:dyDescent="0.3">
      <c r="A1026" t="s">
        <v>190</v>
      </c>
      <c r="B1026" t="s">
        <v>17</v>
      </c>
      <c r="C1026">
        <v>2521.52637</v>
      </c>
      <c r="D1026">
        <v>2569.0146500000001</v>
      </c>
      <c r="E1026">
        <v>2371.4743699999999</v>
      </c>
      <c r="F1026">
        <v>2407.3042</v>
      </c>
      <c r="G1026">
        <v>22592586688</v>
      </c>
      <c r="H1026" t="s">
        <v>18</v>
      </c>
    </row>
    <row r="1027" spans="1:8" x14ac:dyDescent="0.3">
      <c r="A1027" t="s">
        <v>190</v>
      </c>
      <c r="B1027" t="s">
        <v>19</v>
      </c>
      <c r="C1027">
        <v>644.68469000000005</v>
      </c>
      <c r="D1027">
        <v>649.59673999999995</v>
      </c>
      <c r="E1027">
        <v>638.65686000000005</v>
      </c>
      <c r="F1027">
        <v>641.78441999999995</v>
      </c>
      <c r="G1027">
        <v>1614121225</v>
      </c>
      <c r="H1027" t="s">
        <v>20</v>
      </c>
    </row>
    <row r="1028" spans="1:8" x14ac:dyDescent="0.3">
      <c r="A1028" t="s">
        <v>191</v>
      </c>
      <c r="B1028" t="s">
        <v>9</v>
      </c>
      <c r="C1028">
        <v>0.57726999999999995</v>
      </c>
      <c r="D1028">
        <v>0.58733999999999997</v>
      </c>
      <c r="E1028">
        <v>0.54666000000000003</v>
      </c>
      <c r="F1028">
        <v>0.55430999999999997</v>
      </c>
      <c r="G1028">
        <v>686354524</v>
      </c>
      <c r="H1028" t="s">
        <v>10</v>
      </c>
    </row>
    <row r="1029" spans="1:8" x14ac:dyDescent="0.3">
      <c r="A1029" t="s">
        <v>191</v>
      </c>
      <c r="B1029" t="s">
        <v>11</v>
      </c>
      <c r="C1029">
        <v>103315.0781</v>
      </c>
      <c r="D1029">
        <v>104015.7813</v>
      </c>
      <c r="E1029">
        <v>100973.0625</v>
      </c>
      <c r="F1029">
        <v>102257.4063</v>
      </c>
      <c r="G1029">
        <v>38360555118</v>
      </c>
      <c r="H1029" t="s">
        <v>12</v>
      </c>
    </row>
    <row r="1030" spans="1:8" x14ac:dyDescent="0.3">
      <c r="A1030" t="s">
        <v>191</v>
      </c>
      <c r="B1030" t="s">
        <v>13</v>
      </c>
      <c r="C1030">
        <v>140.16804999999999</v>
      </c>
      <c r="D1030">
        <v>142.49974</v>
      </c>
      <c r="E1030">
        <v>132.41425000000001</v>
      </c>
      <c r="F1030">
        <v>135.16101</v>
      </c>
      <c r="G1030">
        <v>3335622844</v>
      </c>
      <c r="H1030" t="s">
        <v>14</v>
      </c>
    </row>
    <row r="1031" spans="1:8" x14ac:dyDescent="0.3">
      <c r="A1031" t="s">
        <v>191</v>
      </c>
      <c r="B1031" t="s">
        <v>15</v>
      </c>
      <c r="C1031">
        <v>2.1203500000000002</v>
      </c>
      <c r="D1031">
        <v>2.14398</v>
      </c>
      <c r="E1031">
        <v>2.02677</v>
      </c>
      <c r="F1031">
        <v>2.0575600000000001</v>
      </c>
      <c r="G1031">
        <v>2455229797</v>
      </c>
      <c r="H1031" t="s">
        <v>16</v>
      </c>
    </row>
    <row r="1032" spans="1:8" x14ac:dyDescent="0.3">
      <c r="A1032" t="s">
        <v>191</v>
      </c>
      <c r="B1032" t="s">
        <v>17</v>
      </c>
      <c r="C1032">
        <v>2407.3476599999999</v>
      </c>
      <c r="D1032">
        <v>2448.4116199999999</v>
      </c>
      <c r="E1032">
        <v>2222.8125</v>
      </c>
      <c r="F1032">
        <v>2300.4956099999999</v>
      </c>
      <c r="G1032">
        <v>16108791762</v>
      </c>
      <c r="H1032" t="s">
        <v>18</v>
      </c>
    </row>
    <row r="1033" spans="1:8" x14ac:dyDescent="0.3">
      <c r="A1033" t="s">
        <v>191</v>
      </c>
      <c r="B1033" t="s">
        <v>19</v>
      </c>
      <c r="C1033">
        <v>641.78441999999995</v>
      </c>
      <c r="D1033">
        <v>644.90344000000005</v>
      </c>
      <c r="E1033">
        <v>624.71007999999995</v>
      </c>
      <c r="F1033">
        <v>628.74785999999995</v>
      </c>
      <c r="G1033">
        <v>1486820788</v>
      </c>
      <c r="H1033" t="s">
        <v>20</v>
      </c>
    </row>
    <row r="1034" spans="1:8" x14ac:dyDescent="0.3">
      <c r="A1034" t="s">
        <v>192</v>
      </c>
      <c r="B1034" t="s">
        <v>9</v>
      </c>
      <c r="C1034">
        <v>0.55432000000000003</v>
      </c>
      <c r="D1034">
        <v>0.56264999999999998</v>
      </c>
      <c r="E1034">
        <v>0.51319000000000004</v>
      </c>
      <c r="F1034">
        <v>0.54098000000000002</v>
      </c>
      <c r="G1034">
        <v>1168250598</v>
      </c>
      <c r="H1034" t="s">
        <v>10</v>
      </c>
    </row>
    <row r="1035" spans="1:8" x14ac:dyDescent="0.3">
      <c r="A1035" t="s">
        <v>192</v>
      </c>
      <c r="B1035" t="s">
        <v>11</v>
      </c>
      <c r="C1035">
        <v>102212.0313</v>
      </c>
      <c r="D1035">
        <v>103351.63280000001</v>
      </c>
      <c r="E1035">
        <v>98286.203129999994</v>
      </c>
      <c r="F1035">
        <v>100987.1406</v>
      </c>
      <c r="G1035">
        <v>65536997201</v>
      </c>
      <c r="H1035" t="s">
        <v>12</v>
      </c>
    </row>
    <row r="1036" spans="1:8" x14ac:dyDescent="0.3">
      <c r="A1036" t="s">
        <v>192</v>
      </c>
      <c r="B1036" t="s">
        <v>13</v>
      </c>
      <c r="C1036">
        <v>135.19635</v>
      </c>
      <c r="D1036">
        <v>137.55214000000001</v>
      </c>
      <c r="E1036">
        <v>126.82628</v>
      </c>
      <c r="F1036">
        <v>131.61569</v>
      </c>
      <c r="G1036">
        <v>4990284543</v>
      </c>
      <c r="H1036" t="s">
        <v>14</v>
      </c>
    </row>
    <row r="1037" spans="1:8" x14ac:dyDescent="0.3">
      <c r="A1037" t="s">
        <v>192</v>
      </c>
      <c r="B1037" t="s">
        <v>15</v>
      </c>
      <c r="C1037">
        <v>2.05775</v>
      </c>
      <c r="D1037">
        <v>2.0883600000000002</v>
      </c>
      <c r="E1037">
        <v>1.9131499999999999</v>
      </c>
      <c r="F1037">
        <v>2.01403</v>
      </c>
      <c r="G1037">
        <v>5108058032</v>
      </c>
      <c r="H1037" t="s">
        <v>16</v>
      </c>
    </row>
    <row r="1038" spans="1:8" x14ac:dyDescent="0.3">
      <c r="A1038" t="s">
        <v>192</v>
      </c>
      <c r="B1038" t="s">
        <v>17</v>
      </c>
      <c r="C1038">
        <v>2298.8427700000002</v>
      </c>
      <c r="D1038">
        <v>2313.8530300000002</v>
      </c>
      <c r="E1038">
        <v>2116.6813999999999</v>
      </c>
      <c r="F1038">
        <v>2228.2131399999998</v>
      </c>
      <c r="G1038">
        <v>28458151601</v>
      </c>
      <c r="H1038" t="s">
        <v>18</v>
      </c>
    </row>
    <row r="1039" spans="1:8" x14ac:dyDescent="0.3">
      <c r="A1039" t="s">
        <v>192</v>
      </c>
      <c r="B1039" t="s">
        <v>19</v>
      </c>
      <c r="C1039">
        <v>628.74774000000002</v>
      </c>
      <c r="D1039">
        <v>635.16992000000005</v>
      </c>
      <c r="E1039">
        <v>602.70507999999995</v>
      </c>
      <c r="F1039">
        <v>615.99463000000003</v>
      </c>
      <c r="G1039">
        <v>1895564160</v>
      </c>
      <c r="H1039" t="s">
        <v>20</v>
      </c>
    </row>
    <row r="1040" spans="1:8" x14ac:dyDescent="0.3">
      <c r="A1040" t="s">
        <v>193</v>
      </c>
      <c r="B1040" t="s">
        <v>9</v>
      </c>
      <c r="C1040">
        <v>0.54100999999999999</v>
      </c>
      <c r="D1040">
        <v>0.58538000000000001</v>
      </c>
      <c r="E1040">
        <v>0.53085000000000004</v>
      </c>
      <c r="F1040">
        <v>0.58328000000000002</v>
      </c>
      <c r="G1040">
        <v>1040285762</v>
      </c>
      <c r="H1040" t="s">
        <v>10</v>
      </c>
    </row>
    <row r="1041" spans="1:8" x14ac:dyDescent="0.3">
      <c r="A1041" t="s">
        <v>193</v>
      </c>
      <c r="B1041" t="s">
        <v>11</v>
      </c>
      <c r="C1041">
        <v>100987.47659999999</v>
      </c>
      <c r="D1041">
        <v>106116.8594</v>
      </c>
      <c r="E1041">
        <v>99705.75</v>
      </c>
      <c r="F1041">
        <v>105577.77340000001</v>
      </c>
      <c r="G1041">
        <v>65237759656</v>
      </c>
      <c r="H1041" t="s">
        <v>12</v>
      </c>
    </row>
    <row r="1042" spans="1:8" x14ac:dyDescent="0.3">
      <c r="A1042" t="s">
        <v>193</v>
      </c>
      <c r="B1042" t="s">
        <v>13</v>
      </c>
      <c r="C1042">
        <v>131.61586</v>
      </c>
      <c r="D1042">
        <v>146.5985</v>
      </c>
      <c r="E1042">
        <v>131.16086000000001</v>
      </c>
      <c r="F1042">
        <v>144.84673000000001</v>
      </c>
      <c r="G1042">
        <v>5742740781</v>
      </c>
      <c r="H1042" t="s">
        <v>14</v>
      </c>
    </row>
    <row r="1043" spans="1:8" x14ac:dyDescent="0.3">
      <c r="A1043" t="s">
        <v>193</v>
      </c>
      <c r="B1043" t="s">
        <v>15</v>
      </c>
      <c r="C1043">
        <v>2.0141</v>
      </c>
      <c r="D1043">
        <v>2.1685599999999998</v>
      </c>
      <c r="E1043">
        <v>1.9673400000000001</v>
      </c>
      <c r="F1043">
        <v>2.1663100000000002</v>
      </c>
      <c r="G1043">
        <v>4568812691</v>
      </c>
      <c r="H1043" t="s">
        <v>16</v>
      </c>
    </row>
    <row r="1044" spans="1:8" x14ac:dyDescent="0.3">
      <c r="A1044" t="s">
        <v>193</v>
      </c>
      <c r="B1044" t="s">
        <v>17</v>
      </c>
      <c r="C1044">
        <v>2228.4846200000002</v>
      </c>
      <c r="D1044">
        <v>2434.2397500000002</v>
      </c>
      <c r="E1044">
        <v>2191.4182099999998</v>
      </c>
      <c r="F1044">
        <v>2421.8249500000002</v>
      </c>
      <c r="G1044">
        <v>26247439429</v>
      </c>
      <c r="H1044" t="s">
        <v>18</v>
      </c>
    </row>
    <row r="1045" spans="1:8" x14ac:dyDescent="0.3">
      <c r="A1045" t="s">
        <v>193</v>
      </c>
      <c r="B1045" t="s">
        <v>19</v>
      </c>
      <c r="C1045">
        <v>615.99456999999995</v>
      </c>
      <c r="D1045">
        <v>642.79578000000004</v>
      </c>
      <c r="E1045">
        <v>615.58838000000003</v>
      </c>
      <c r="F1045">
        <v>641.2962</v>
      </c>
      <c r="G1045">
        <v>1783710380</v>
      </c>
      <c r="H1045" t="s">
        <v>20</v>
      </c>
    </row>
    <row r="1046" spans="1:8" x14ac:dyDescent="0.3">
      <c r="A1046" t="s">
        <v>194</v>
      </c>
      <c r="B1046" t="s">
        <v>9</v>
      </c>
      <c r="C1046">
        <v>0.58328000000000002</v>
      </c>
      <c r="D1046">
        <v>0.59316000000000002</v>
      </c>
      <c r="E1046">
        <v>0.57759000000000005</v>
      </c>
      <c r="F1046">
        <v>0.58736999999999995</v>
      </c>
      <c r="G1046">
        <v>798539329</v>
      </c>
      <c r="H1046" t="s">
        <v>10</v>
      </c>
    </row>
    <row r="1047" spans="1:8" x14ac:dyDescent="0.3">
      <c r="A1047" t="s">
        <v>194</v>
      </c>
      <c r="B1047" t="s">
        <v>11</v>
      </c>
      <c r="C1047">
        <v>105571.5156</v>
      </c>
      <c r="D1047">
        <v>106316.8281</v>
      </c>
      <c r="E1047">
        <v>104740.24219999999</v>
      </c>
      <c r="F1047">
        <v>106045.63280000001</v>
      </c>
      <c r="G1047">
        <v>48822986421</v>
      </c>
      <c r="H1047" t="s">
        <v>12</v>
      </c>
    </row>
    <row r="1048" spans="1:8" x14ac:dyDescent="0.3">
      <c r="A1048" t="s">
        <v>194</v>
      </c>
      <c r="B1048" t="s">
        <v>13</v>
      </c>
      <c r="C1048">
        <v>144.84673000000001</v>
      </c>
      <c r="D1048">
        <v>146.58948000000001</v>
      </c>
      <c r="E1048">
        <v>142.56667999999999</v>
      </c>
      <c r="F1048">
        <v>145.95453000000001</v>
      </c>
      <c r="G1048">
        <v>3709899362</v>
      </c>
      <c r="H1048" t="s">
        <v>14</v>
      </c>
    </row>
    <row r="1049" spans="1:8" x14ac:dyDescent="0.3">
      <c r="A1049" t="s">
        <v>194</v>
      </c>
      <c r="B1049" t="s">
        <v>15</v>
      </c>
      <c r="C1049">
        <v>2.1663100000000002</v>
      </c>
      <c r="D1049">
        <v>2.2160299999999999</v>
      </c>
      <c r="E1049">
        <v>2.1343399999999999</v>
      </c>
      <c r="F1049">
        <v>2.19082</v>
      </c>
      <c r="G1049">
        <v>3574001224</v>
      </c>
      <c r="H1049" t="s">
        <v>16</v>
      </c>
    </row>
    <row r="1050" spans="1:8" x14ac:dyDescent="0.3">
      <c r="A1050" t="s">
        <v>194</v>
      </c>
      <c r="B1050" t="s">
        <v>17</v>
      </c>
      <c r="C1050">
        <v>2421.8305700000001</v>
      </c>
      <c r="D1050">
        <v>2481.2229000000002</v>
      </c>
      <c r="E1050">
        <v>2379.56934</v>
      </c>
      <c r="F1050">
        <v>2448.0087899999999</v>
      </c>
      <c r="G1050">
        <v>19539047009</v>
      </c>
      <c r="H1050" t="s">
        <v>18</v>
      </c>
    </row>
    <row r="1051" spans="1:8" x14ac:dyDescent="0.3">
      <c r="A1051" t="s">
        <v>194</v>
      </c>
      <c r="B1051" t="s">
        <v>19</v>
      </c>
      <c r="C1051">
        <v>641.2962</v>
      </c>
      <c r="D1051">
        <v>644.28174000000001</v>
      </c>
      <c r="E1051">
        <v>636.90459999999996</v>
      </c>
      <c r="F1051">
        <v>643.73717999999997</v>
      </c>
      <c r="G1051">
        <v>1498769929</v>
      </c>
      <c r="H1051" t="s">
        <v>20</v>
      </c>
    </row>
    <row r="1052" spans="1:8" x14ac:dyDescent="0.3">
      <c r="A1052" t="s">
        <v>195</v>
      </c>
      <c r="B1052" t="s">
        <v>9</v>
      </c>
      <c r="C1052">
        <v>0.58736999999999995</v>
      </c>
      <c r="D1052">
        <v>0.58999000000000001</v>
      </c>
      <c r="E1052">
        <v>0.56452000000000002</v>
      </c>
      <c r="F1052">
        <v>0.56708000000000003</v>
      </c>
      <c r="G1052">
        <v>620996333</v>
      </c>
      <c r="H1052" t="s">
        <v>10</v>
      </c>
    </row>
    <row r="1053" spans="1:8" x14ac:dyDescent="0.3">
      <c r="A1053" t="s">
        <v>195</v>
      </c>
      <c r="B1053" t="s">
        <v>11</v>
      </c>
      <c r="C1053">
        <v>106047.4063</v>
      </c>
      <c r="D1053">
        <v>108168.39840000001</v>
      </c>
      <c r="E1053">
        <v>105881.3906</v>
      </c>
      <c r="F1053">
        <v>107361.25780000001</v>
      </c>
      <c r="G1053">
        <v>51624120283</v>
      </c>
      <c r="H1053" t="s">
        <v>12</v>
      </c>
    </row>
    <row r="1054" spans="1:8" x14ac:dyDescent="0.3">
      <c r="A1054" t="s">
        <v>195</v>
      </c>
      <c r="B1054" t="s">
        <v>13</v>
      </c>
      <c r="C1054">
        <v>145.95350999999999</v>
      </c>
      <c r="D1054">
        <v>147.77402000000001</v>
      </c>
      <c r="E1054">
        <v>142.55795000000001</v>
      </c>
      <c r="F1054">
        <v>143.50513000000001</v>
      </c>
      <c r="G1054">
        <v>3095794422</v>
      </c>
      <c r="H1054" t="s">
        <v>14</v>
      </c>
    </row>
    <row r="1055" spans="1:8" x14ac:dyDescent="0.3">
      <c r="A1055" t="s">
        <v>195</v>
      </c>
      <c r="B1055" t="s">
        <v>15</v>
      </c>
      <c r="C1055">
        <v>2.1908099999999999</v>
      </c>
      <c r="D1055">
        <v>2.2256399999999998</v>
      </c>
      <c r="E1055">
        <v>2.17266</v>
      </c>
      <c r="F1055">
        <v>2.18587</v>
      </c>
      <c r="G1055">
        <v>2632853074</v>
      </c>
      <c r="H1055" t="s">
        <v>16</v>
      </c>
    </row>
    <row r="1056" spans="1:8" x14ac:dyDescent="0.3">
      <c r="A1056" t="s">
        <v>195</v>
      </c>
      <c r="B1056" t="s">
        <v>17</v>
      </c>
      <c r="C1056">
        <v>2448.73731</v>
      </c>
      <c r="D1056">
        <v>2468.6779799999999</v>
      </c>
      <c r="E1056">
        <v>2394.6074199999998</v>
      </c>
      <c r="F1056">
        <v>2419.3103000000001</v>
      </c>
      <c r="G1056">
        <v>17158118625</v>
      </c>
      <c r="H1056" t="s">
        <v>18</v>
      </c>
    </row>
    <row r="1057" spans="1:8" x14ac:dyDescent="0.3">
      <c r="A1057" t="s">
        <v>195</v>
      </c>
      <c r="B1057" t="s">
        <v>19</v>
      </c>
      <c r="C1057">
        <v>643.73717999999997</v>
      </c>
      <c r="D1057">
        <v>650.26819</v>
      </c>
      <c r="E1057">
        <v>642.56457999999998</v>
      </c>
      <c r="F1057">
        <v>645.92316000000005</v>
      </c>
      <c r="G1057">
        <v>1653677161</v>
      </c>
      <c r="H1057" t="s">
        <v>20</v>
      </c>
    </row>
    <row r="1058" spans="1:8" x14ac:dyDescent="0.3">
      <c r="A1058" t="s">
        <v>196</v>
      </c>
      <c r="B1058" t="s">
        <v>9</v>
      </c>
      <c r="C1058">
        <v>0.56708000000000003</v>
      </c>
      <c r="D1058">
        <v>0.58057000000000003</v>
      </c>
      <c r="E1058">
        <v>0.55154999999999998</v>
      </c>
      <c r="F1058">
        <v>0.55401999999999996</v>
      </c>
      <c r="G1058">
        <v>602838443</v>
      </c>
      <c r="H1058" t="s">
        <v>10</v>
      </c>
    </row>
    <row r="1059" spans="1:8" x14ac:dyDescent="0.3">
      <c r="A1059" t="s">
        <v>196</v>
      </c>
      <c r="B1059" t="s">
        <v>11</v>
      </c>
      <c r="C1059">
        <v>107375.07030000001</v>
      </c>
      <c r="D1059">
        <v>108305.5469</v>
      </c>
      <c r="E1059">
        <v>106666.35159999999</v>
      </c>
      <c r="F1059">
        <v>106960</v>
      </c>
      <c r="G1059">
        <v>43891990613</v>
      </c>
      <c r="H1059" t="s">
        <v>12</v>
      </c>
    </row>
    <row r="1060" spans="1:8" x14ac:dyDescent="0.3">
      <c r="A1060" t="s">
        <v>196</v>
      </c>
      <c r="B1060" t="s">
        <v>13</v>
      </c>
      <c r="C1060">
        <v>143.50529</v>
      </c>
      <c r="D1060">
        <v>147.73015000000001</v>
      </c>
      <c r="E1060">
        <v>138.80823000000001</v>
      </c>
      <c r="F1060">
        <v>139.05985999999999</v>
      </c>
      <c r="G1060">
        <v>3480832173</v>
      </c>
      <c r="H1060" t="s">
        <v>14</v>
      </c>
    </row>
    <row r="1061" spans="1:8" x14ac:dyDescent="0.3">
      <c r="A1061" t="s">
        <v>196</v>
      </c>
      <c r="B1061" t="s">
        <v>15</v>
      </c>
      <c r="C1061">
        <v>2.1858599999999999</v>
      </c>
      <c r="D1061">
        <v>2.2118199999999999</v>
      </c>
      <c r="E1061">
        <v>2.1003400000000001</v>
      </c>
      <c r="F1061">
        <v>2.1058500000000002</v>
      </c>
      <c r="G1061">
        <v>3042625706</v>
      </c>
      <c r="H1061" t="s">
        <v>16</v>
      </c>
    </row>
    <row r="1062" spans="1:8" x14ac:dyDescent="0.3">
      <c r="A1062" t="s">
        <v>196</v>
      </c>
      <c r="B1062" t="s">
        <v>17</v>
      </c>
      <c r="C1062">
        <v>2419.15479</v>
      </c>
      <c r="D1062">
        <v>2519.61987</v>
      </c>
      <c r="E1062">
        <v>2399.5339399999998</v>
      </c>
      <c r="F1062">
        <v>2416.1467299999999</v>
      </c>
      <c r="G1062">
        <v>18300413888</v>
      </c>
      <c r="H1062" t="s">
        <v>18</v>
      </c>
    </row>
    <row r="1063" spans="1:8" x14ac:dyDescent="0.3">
      <c r="A1063" t="s">
        <v>196</v>
      </c>
      <c r="B1063" t="s">
        <v>19</v>
      </c>
      <c r="C1063">
        <v>645.92316000000005</v>
      </c>
      <c r="D1063">
        <v>649.98413000000005</v>
      </c>
      <c r="E1063">
        <v>641.81890999999996</v>
      </c>
      <c r="F1063">
        <v>642.41425000000004</v>
      </c>
      <c r="G1063">
        <v>1439442979</v>
      </c>
      <c r="H1063" t="s">
        <v>20</v>
      </c>
    </row>
    <row r="1064" spans="1:8" x14ac:dyDescent="0.3">
      <c r="A1064" t="s">
        <v>197</v>
      </c>
      <c r="B1064" t="s">
        <v>9</v>
      </c>
      <c r="C1064">
        <v>0.55401999999999996</v>
      </c>
      <c r="D1064">
        <v>0.56150999999999995</v>
      </c>
      <c r="E1064">
        <v>0.54603000000000002</v>
      </c>
      <c r="F1064">
        <v>0.55876000000000003</v>
      </c>
      <c r="G1064">
        <v>494464871</v>
      </c>
      <c r="H1064" t="s">
        <v>10</v>
      </c>
    </row>
    <row r="1065" spans="1:8" x14ac:dyDescent="0.3">
      <c r="A1065" t="s">
        <v>197</v>
      </c>
      <c r="B1065" t="s">
        <v>11</v>
      </c>
      <c r="C1065">
        <v>106954.9219</v>
      </c>
      <c r="D1065">
        <v>107772.4688</v>
      </c>
      <c r="E1065">
        <v>106449.99219999999</v>
      </c>
      <c r="F1065">
        <v>107088.42969999999</v>
      </c>
      <c r="G1065">
        <v>45353692675</v>
      </c>
      <c r="H1065" t="s">
        <v>12</v>
      </c>
    </row>
    <row r="1066" spans="1:8" x14ac:dyDescent="0.3">
      <c r="A1066" t="s">
        <v>197</v>
      </c>
      <c r="B1066" t="s">
        <v>13</v>
      </c>
      <c r="C1066">
        <v>139.05977999999999</v>
      </c>
      <c r="D1066">
        <v>144.40373</v>
      </c>
      <c r="E1066">
        <v>137.79419999999999</v>
      </c>
      <c r="F1066">
        <v>142.19148000000001</v>
      </c>
      <c r="G1066">
        <v>3327165986</v>
      </c>
      <c r="H1066" t="s">
        <v>14</v>
      </c>
    </row>
    <row r="1067" spans="1:8" x14ac:dyDescent="0.3">
      <c r="A1067" t="s">
        <v>197</v>
      </c>
      <c r="B1067" t="s">
        <v>15</v>
      </c>
      <c r="C1067">
        <v>2.1058500000000002</v>
      </c>
      <c r="D1067">
        <v>2.1504599999999998</v>
      </c>
      <c r="E1067">
        <v>2.0720700000000001</v>
      </c>
      <c r="F1067">
        <v>2.14262</v>
      </c>
      <c r="G1067">
        <v>3072597387</v>
      </c>
      <c r="H1067" t="s">
        <v>16</v>
      </c>
    </row>
    <row r="1068" spans="1:8" x14ac:dyDescent="0.3">
      <c r="A1068" t="s">
        <v>197</v>
      </c>
      <c r="B1068" t="s">
        <v>17</v>
      </c>
      <c r="C1068">
        <v>2416.0231899999999</v>
      </c>
      <c r="D1068">
        <v>2463.15479</v>
      </c>
      <c r="E1068">
        <v>2386.3249500000002</v>
      </c>
      <c r="F1068">
        <v>2423.8669399999999</v>
      </c>
      <c r="G1068">
        <v>15309834970</v>
      </c>
      <c r="H1068" t="s">
        <v>18</v>
      </c>
    </row>
    <row r="1069" spans="1:8" x14ac:dyDescent="0.3">
      <c r="A1069" t="s">
        <v>197</v>
      </c>
      <c r="B1069" t="s">
        <v>19</v>
      </c>
      <c r="C1069">
        <v>642.41387999999995</v>
      </c>
      <c r="D1069">
        <v>647.41112999999996</v>
      </c>
      <c r="E1069">
        <v>640.54803000000004</v>
      </c>
      <c r="F1069">
        <v>646.15363000000002</v>
      </c>
      <c r="G1069">
        <v>1358247058</v>
      </c>
      <c r="H1069" t="s">
        <v>20</v>
      </c>
    </row>
    <row r="1070" spans="1:8" x14ac:dyDescent="0.3">
      <c r="A1070" t="s">
        <v>198</v>
      </c>
      <c r="B1070" t="s">
        <v>9</v>
      </c>
      <c r="C1070">
        <v>0.55876999999999999</v>
      </c>
      <c r="D1070">
        <v>0.56827000000000005</v>
      </c>
      <c r="E1070">
        <v>0.55617000000000005</v>
      </c>
      <c r="F1070">
        <v>0.56569999999999998</v>
      </c>
      <c r="G1070">
        <v>368639849</v>
      </c>
      <c r="H1070" t="s">
        <v>10</v>
      </c>
    </row>
    <row r="1071" spans="1:8" x14ac:dyDescent="0.3">
      <c r="A1071" t="s">
        <v>198</v>
      </c>
      <c r="B1071" t="s">
        <v>11</v>
      </c>
      <c r="C1071">
        <v>107090.5469</v>
      </c>
      <c r="D1071">
        <v>107567.88280000001</v>
      </c>
      <c r="E1071">
        <v>106883.97659999999</v>
      </c>
      <c r="F1071">
        <v>107327.7031</v>
      </c>
      <c r="G1071">
        <v>30037708335</v>
      </c>
      <c r="H1071" t="s">
        <v>12</v>
      </c>
    </row>
    <row r="1072" spans="1:8" x14ac:dyDescent="0.3">
      <c r="A1072" t="s">
        <v>198</v>
      </c>
      <c r="B1072" t="s">
        <v>13</v>
      </c>
      <c r="C1072">
        <v>142.19202999999999</v>
      </c>
      <c r="D1072">
        <v>152.43738999999999</v>
      </c>
      <c r="E1072">
        <v>141.34932000000001</v>
      </c>
      <c r="F1072">
        <v>150.82756000000001</v>
      </c>
      <c r="G1072">
        <v>2847495210</v>
      </c>
      <c r="H1072" t="s">
        <v>14</v>
      </c>
    </row>
    <row r="1073" spans="1:8" x14ac:dyDescent="0.3">
      <c r="A1073" t="s">
        <v>198</v>
      </c>
      <c r="B1073" t="s">
        <v>15</v>
      </c>
      <c r="C1073">
        <v>2.14263</v>
      </c>
      <c r="D1073">
        <v>2.2066599999999998</v>
      </c>
      <c r="E1073">
        <v>2.1364700000000001</v>
      </c>
      <c r="F1073">
        <v>2.1860400000000002</v>
      </c>
      <c r="G1073">
        <v>2047303025</v>
      </c>
      <c r="H1073" t="s">
        <v>16</v>
      </c>
    </row>
    <row r="1074" spans="1:8" x14ac:dyDescent="0.3">
      <c r="A1074" t="s">
        <v>198</v>
      </c>
      <c r="B1074" t="s">
        <v>17</v>
      </c>
      <c r="C1074">
        <v>2423.9252900000001</v>
      </c>
      <c r="D1074">
        <v>2448.1916500000002</v>
      </c>
      <c r="E1074">
        <v>2407.76172</v>
      </c>
      <c r="F1074">
        <v>2437.1093799999999</v>
      </c>
      <c r="G1074">
        <v>8273074809</v>
      </c>
      <c r="H1074" t="s">
        <v>18</v>
      </c>
    </row>
    <row r="1075" spans="1:8" x14ac:dyDescent="0.3">
      <c r="A1075" t="s">
        <v>198</v>
      </c>
      <c r="B1075" t="s">
        <v>19</v>
      </c>
      <c r="C1075">
        <v>646.15363000000002</v>
      </c>
      <c r="D1075">
        <v>649.16614000000004</v>
      </c>
      <c r="E1075">
        <v>644.57421999999997</v>
      </c>
      <c r="F1075">
        <v>648.75043000000005</v>
      </c>
      <c r="G1075">
        <v>1185616315</v>
      </c>
      <c r="H1075" t="s">
        <v>20</v>
      </c>
    </row>
    <row r="1076" spans="1:8" x14ac:dyDescent="0.3">
      <c r="A1076" t="s">
        <v>199</v>
      </c>
      <c r="B1076" t="s">
        <v>9</v>
      </c>
      <c r="C1076">
        <v>0.56569999999999998</v>
      </c>
      <c r="D1076">
        <v>0.58243999999999996</v>
      </c>
      <c r="E1076">
        <v>0.55574999999999997</v>
      </c>
      <c r="F1076">
        <v>0.57808999999999999</v>
      </c>
      <c r="G1076">
        <v>583426280</v>
      </c>
      <c r="H1076" t="s">
        <v>10</v>
      </c>
    </row>
    <row r="1077" spans="1:8" x14ac:dyDescent="0.3">
      <c r="A1077" t="s">
        <v>199</v>
      </c>
      <c r="B1077" t="s">
        <v>11</v>
      </c>
      <c r="C1077">
        <v>107327.82030000001</v>
      </c>
      <c r="D1077">
        <v>108526.30469999999</v>
      </c>
      <c r="E1077">
        <v>107230.1094</v>
      </c>
      <c r="F1077">
        <v>108385.57030000001</v>
      </c>
      <c r="G1077">
        <v>35534874438</v>
      </c>
      <c r="H1077" t="s">
        <v>12</v>
      </c>
    </row>
    <row r="1078" spans="1:8" x14ac:dyDescent="0.3">
      <c r="A1078" t="s">
        <v>199</v>
      </c>
      <c r="B1078" t="s">
        <v>13</v>
      </c>
      <c r="C1078">
        <v>150.82598999999999</v>
      </c>
      <c r="D1078">
        <v>154.42337000000001</v>
      </c>
      <c r="E1078">
        <v>149.53246999999999</v>
      </c>
      <c r="F1078">
        <v>153.35309000000001</v>
      </c>
      <c r="G1078">
        <v>2462940245</v>
      </c>
      <c r="H1078" t="s">
        <v>14</v>
      </c>
    </row>
    <row r="1079" spans="1:8" x14ac:dyDescent="0.3">
      <c r="A1079" t="s">
        <v>199</v>
      </c>
      <c r="B1079" t="s">
        <v>15</v>
      </c>
      <c r="C1079">
        <v>2.1860400000000002</v>
      </c>
      <c r="D1079">
        <v>2.2182400000000002</v>
      </c>
      <c r="E1079">
        <v>2.1789100000000001</v>
      </c>
      <c r="F1079">
        <v>2.2070699999999999</v>
      </c>
      <c r="G1079">
        <v>1525772808</v>
      </c>
      <c r="H1079" t="s">
        <v>16</v>
      </c>
    </row>
    <row r="1080" spans="1:8" x14ac:dyDescent="0.3">
      <c r="A1080" t="s">
        <v>199</v>
      </c>
      <c r="B1080" t="s">
        <v>17</v>
      </c>
      <c r="C1080">
        <v>2437.1147500000002</v>
      </c>
      <c r="D1080">
        <v>2523.3205600000001</v>
      </c>
      <c r="E1080">
        <v>2417.6252399999998</v>
      </c>
      <c r="F1080">
        <v>2500.9599600000001</v>
      </c>
      <c r="G1080">
        <v>12500580479</v>
      </c>
      <c r="H1080" t="s">
        <v>18</v>
      </c>
    </row>
    <row r="1081" spans="1:8" x14ac:dyDescent="0.3">
      <c r="A1081" t="s">
        <v>199</v>
      </c>
      <c r="B1081" t="s">
        <v>19</v>
      </c>
      <c r="C1081">
        <v>648.75043000000005</v>
      </c>
      <c r="D1081">
        <v>655.60266000000001</v>
      </c>
      <c r="E1081">
        <v>647.27332000000001</v>
      </c>
      <c r="F1081">
        <v>655.03619000000003</v>
      </c>
      <c r="G1081">
        <v>1284469590</v>
      </c>
      <c r="H1081" t="s">
        <v>20</v>
      </c>
    </row>
    <row r="1082" spans="1:8" x14ac:dyDescent="0.3">
      <c r="A1082" t="s">
        <v>200</v>
      </c>
      <c r="B1082" t="s">
        <v>9</v>
      </c>
      <c r="C1082">
        <v>0.57808999999999999</v>
      </c>
      <c r="D1082">
        <v>0.58880999999999994</v>
      </c>
      <c r="E1082">
        <v>0.55825000000000002</v>
      </c>
      <c r="F1082">
        <v>0.57211999999999996</v>
      </c>
      <c r="G1082">
        <v>746847500</v>
      </c>
      <c r="H1082" t="s">
        <v>10</v>
      </c>
    </row>
    <row r="1083" spans="1:8" x14ac:dyDescent="0.3">
      <c r="A1083" t="s">
        <v>200</v>
      </c>
      <c r="B1083" t="s">
        <v>11</v>
      </c>
      <c r="C1083">
        <v>108383.4375</v>
      </c>
      <c r="D1083">
        <v>108798.78909999999</v>
      </c>
      <c r="E1083">
        <v>106759.64840000001</v>
      </c>
      <c r="F1083">
        <v>107135.33590000001</v>
      </c>
      <c r="G1083">
        <v>42064804590</v>
      </c>
      <c r="H1083" t="s">
        <v>12</v>
      </c>
    </row>
    <row r="1084" spans="1:8" x14ac:dyDescent="0.3">
      <c r="A1084" t="s">
        <v>200</v>
      </c>
      <c r="B1084" t="s">
        <v>13</v>
      </c>
      <c r="C1084">
        <v>153.35309000000001</v>
      </c>
      <c r="D1084">
        <v>159.63160999999999</v>
      </c>
      <c r="E1084">
        <v>149.61243999999999</v>
      </c>
      <c r="F1084">
        <v>154.73531</v>
      </c>
      <c r="G1084">
        <v>4752163067</v>
      </c>
      <c r="H1084" t="s">
        <v>14</v>
      </c>
    </row>
    <row r="1085" spans="1:8" x14ac:dyDescent="0.3">
      <c r="A1085" t="s">
        <v>200</v>
      </c>
      <c r="B1085" t="s">
        <v>15</v>
      </c>
      <c r="C1085">
        <v>2.2070699999999999</v>
      </c>
      <c r="D1085">
        <v>2.32056</v>
      </c>
      <c r="E1085">
        <v>2.1717300000000002</v>
      </c>
      <c r="F1085">
        <v>2.23875</v>
      </c>
      <c r="G1085">
        <v>3788425438</v>
      </c>
      <c r="H1085" t="s">
        <v>16</v>
      </c>
    </row>
    <row r="1086" spans="1:8" x14ac:dyDescent="0.3">
      <c r="A1086" t="s">
        <v>200</v>
      </c>
      <c r="B1086" t="s">
        <v>17</v>
      </c>
      <c r="C1086">
        <v>2500.60547</v>
      </c>
      <c r="D1086">
        <v>2521.72046</v>
      </c>
      <c r="E1086">
        <v>2438.0549299999998</v>
      </c>
      <c r="F1086">
        <v>2486.4643599999999</v>
      </c>
      <c r="G1086">
        <v>16859727663</v>
      </c>
      <c r="H1086" t="s">
        <v>18</v>
      </c>
    </row>
    <row r="1087" spans="1:8" x14ac:dyDescent="0.3">
      <c r="A1087" t="s">
        <v>200</v>
      </c>
      <c r="B1087" t="s">
        <v>19</v>
      </c>
      <c r="C1087">
        <v>655.03619000000003</v>
      </c>
      <c r="D1087">
        <v>659.89124000000004</v>
      </c>
      <c r="E1087">
        <v>651.87383999999997</v>
      </c>
      <c r="F1087">
        <v>657.02533000000005</v>
      </c>
      <c r="G1087">
        <v>1487336817</v>
      </c>
      <c r="H1087" t="s">
        <v>20</v>
      </c>
    </row>
    <row r="1088" spans="1:8" x14ac:dyDescent="0.3">
      <c r="A1088" t="s">
        <v>201</v>
      </c>
      <c r="B1088" t="s">
        <v>9</v>
      </c>
      <c r="C1088">
        <v>0.57211999999999996</v>
      </c>
      <c r="D1088">
        <v>0.57596000000000003</v>
      </c>
      <c r="E1088">
        <v>0.53842000000000001</v>
      </c>
      <c r="F1088">
        <v>0.54215999999999998</v>
      </c>
      <c r="G1088">
        <v>714647761</v>
      </c>
      <c r="H1088" t="s">
        <v>10</v>
      </c>
    </row>
    <row r="1089" spans="1:8" x14ac:dyDescent="0.3">
      <c r="A1089" t="s">
        <v>201</v>
      </c>
      <c r="B1089" t="s">
        <v>11</v>
      </c>
      <c r="C1089">
        <v>107144.38280000001</v>
      </c>
      <c r="D1089">
        <v>107550.67969999999</v>
      </c>
      <c r="E1089">
        <v>105270.22659999999</v>
      </c>
      <c r="F1089">
        <v>105698.2813</v>
      </c>
      <c r="G1089">
        <v>44110692247</v>
      </c>
      <c r="H1089" t="s">
        <v>12</v>
      </c>
    </row>
    <row r="1090" spans="1:8" x14ac:dyDescent="0.3">
      <c r="A1090" t="s">
        <v>201</v>
      </c>
      <c r="B1090" t="s">
        <v>13</v>
      </c>
      <c r="C1090">
        <v>154.73502999999999</v>
      </c>
      <c r="D1090">
        <v>155.34743</v>
      </c>
      <c r="E1090">
        <v>145.21288999999999</v>
      </c>
      <c r="F1090">
        <v>146.92663999999999</v>
      </c>
      <c r="G1090">
        <v>3599415509</v>
      </c>
      <c r="H1090" t="s">
        <v>14</v>
      </c>
    </row>
    <row r="1091" spans="1:8" x14ac:dyDescent="0.3">
      <c r="A1091" t="s">
        <v>201</v>
      </c>
      <c r="B1091" t="s">
        <v>15</v>
      </c>
      <c r="C1091">
        <v>2.2387100000000002</v>
      </c>
      <c r="D1091">
        <v>2.2523200000000001</v>
      </c>
      <c r="E1091">
        <v>2.1514199999999999</v>
      </c>
      <c r="F1091">
        <v>2.1721900000000001</v>
      </c>
      <c r="G1091">
        <v>3188065836</v>
      </c>
      <c r="H1091" t="s">
        <v>16</v>
      </c>
    </row>
    <row r="1092" spans="1:8" x14ac:dyDescent="0.3">
      <c r="A1092" t="s">
        <v>201</v>
      </c>
      <c r="B1092" t="s">
        <v>17</v>
      </c>
      <c r="C1092">
        <v>2486.4284699999998</v>
      </c>
      <c r="D1092">
        <v>2500.5918000000001</v>
      </c>
      <c r="E1092">
        <v>2389.81592</v>
      </c>
      <c r="F1092">
        <v>2405.7927300000001</v>
      </c>
      <c r="G1092">
        <v>15025451796</v>
      </c>
      <c r="H1092" t="s">
        <v>18</v>
      </c>
    </row>
    <row r="1093" spans="1:8" x14ac:dyDescent="0.3">
      <c r="A1093" t="s">
        <v>201</v>
      </c>
      <c r="B1093" t="s">
        <v>19</v>
      </c>
      <c r="C1093">
        <v>657.02581999999995</v>
      </c>
      <c r="D1093">
        <v>658.98595999999998</v>
      </c>
      <c r="E1093">
        <v>644.67249000000004</v>
      </c>
      <c r="F1093">
        <v>646.39795000000004</v>
      </c>
      <c r="G1093">
        <v>1382771755</v>
      </c>
      <c r="H1093" t="s">
        <v>20</v>
      </c>
    </row>
    <row r="1094" spans="1:8" x14ac:dyDescent="0.3">
      <c r="A1094" t="s">
        <v>202</v>
      </c>
      <c r="B1094" t="s">
        <v>9</v>
      </c>
      <c r="C1094">
        <v>0.54215999999999998</v>
      </c>
      <c r="D1094">
        <v>0.59801000000000004</v>
      </c>
      <c r="E1094">
        <v>0.54052</v>
      </c>
      <c r="F1094">
        <v>0.58409999999999995</v>
      </c>
      <c r="G1094">
        <v>991825199</v>
      </c>
      <c r="H1094" t="s">
        <v>10</v>
      </c>
    </row>
    <row r="1095" spans="1:8" x14ac:dyDescent="0.3">
      <c r="A1095" t="s">
        <v>202</v>
      </c>
      <c r="B1095" t="s">
        <v>11</v>
      </c>
      <c r="C1095">
        <v>105703.10159999999</v>
      </c>
      <c r="D1095">
        <v>109763.6563</v>
      </c>
      <c r="E1095">
        <v>105157.39840000001</v>
      </c>
      <c r="F1095">
        <v>108859.32030000001</v>
      </c>
      <c r="G1095">
        <v>56248657737</v>
      </c>
      <c r="H1095" t="s">
        <v>12</v>
      </c>
    </row>
    <row r="1096" spans="1:8" x14ac:dyDescent="0.3">
      <c r="A1096" t="s">
        <v>202</v>
      </c>
      <c r="B1096" t="s">
        <v>13</v>
      </c>
      <c r="C1096">
        <v>146.92874</v>
      </c>
      <c r="D1096">
        <v>154.40984</v>
      </c>
      <c r="E1096">
        <v>146.23218</v>
      </c>
      <c r="F1096">
        <v>152.22763</v>
      </c>
      <c r="G1096">
        <v>3941952132</v>
      </c>
      <c r="H1096" t="s">
        <v>14</v>
      </c>
    </row>
    <row r="1097" spans="1:8" x14ac:dyDescent="0.3">
      <c r="A1097" t="s">
        <v>202</v>
      </c>
      <c r="B1097" t="s">
        <v>15</v>
      </c>
      <c r="C1097">
        <v>2.17218</v>
      </c>
      <c r="D1097">
        <v>2.2791700000000001</v>
      </c>
      <c r="E1097">
        <v>2.1626400000000001</v>
      </c>
      <c r="F1097">
        <v>2.2337699999999998</v>
      </c>
      <c r="G1097">
        <v>3852349881</v>
      </c>
      <c r="H1097" t="s">
        <v>16</v>
      </c>
    </row>
    <row r="1098" spans="1:8" x14ac:dyDescent="0.3">
      <c r="A1098" t="s">
        <v>202</v>
      </c>
      <c r="B1098" t="s">
        <v>17</v>
      </c>
      <c r="C1098">
        <v>2405.8574199999998</v>
      </c>
      <c r="D1098">
        <v>2616.7836900000002</v>
      </c>
      <c r="E1098">
        <v>2378.39356</v>
      </c>
      <c r="F1098">
        <v>2571.33545</v>
      </c>
      <c r="G1098">
        <v>22792512025</v>
      </c>
      <c r="H1098" t="s">
        <v>18</v>
      </c>
    </row>
    <row r="1099" spans="1:8" x14ac:dyDescent="0.3">
      <c r="A1099" t="s">
        <v>202</v>
      </c>
      <c r="B1099" t="s">
        <v>19</v>
      </c>
      <c r="C1099">
        <v>646.39795000000004</v>
      </c>
      <c r="D1099">
        <v>664.78778</v>
      </c>
      <c r="E1099">
        <v>644.87279999999998</v>
      </c>
      <c r="F1099">
        <v>660.05724999999995</v>
      </c>
      <c r="G1099">
        <v>1576434816</v>
      </c>
      <c r="H1099" t="s">
        <v>20</v>
      </c>
    </row>
    <row r="1100" spans="1:8" x14ac:dyDescent="0.3">
      <c r="A1100" t="s">
        <v>203</v>
      </c>
      <c r="B1100" t="s">
        <v>9</v>
      </c>
      <c r="C1100">
        <v>0.58409999999999995</v>
      </c>
      <c r="D1100">
        <v>0.61051</v>
      </c>
      <c r="E1100">
        <v>0.58333000000000002</v>
      </c>
      <c r="F1100">
        <v>0.59909000000000001</v>
      </c>
      <c r="G1100">
        <v>779890753</v>
      </c>
      <c r="H1100" t="s">
        <v>10</v>
      </c>
    </row>
    <row r="1101" spans="1:8" x14ac:dyDescent="0.3">
      <c r="A1101" t="s">
        <v>203</v>
      </c>
      <c r="B1101" t="s">
        <v>11</v>
      </c>
      <c r="C1101">
        <v>108845.0156</v>
      </c>
      <c r="D1101">
        <v>110541.46090000001</v>
      </c>
      <c r="E1101">
        <v>108605.7969</v>
      </c>
      <c r="F1101">
        <v>109647.97659999999</v>
      </c>
      <c r="G1101">
        <v>50494742270</v>
      </c>
      <c r="H1101" t="s">
        <v>12</v>
      </c>
    </row>
    <row r="1102" spans="1:8" x14ac:dyDescent="0.3">
      <c r="A1102" t="s">
        <v>203</v>
      </c>
      <c r="B1102" t="s">
        <v>13</v>
      </c>
      <c r="C1102">
        <v>152.22855999999999</v>
      </c>
      <c r="D1102">
        <v>156.18848</v>
      </c>
      <c r="E1102">
        <v>150.15145999999999</v>
      </c>
      <c r="F1102">
        <v>152.40179000000001</v>
      </c>
      <c r="G1102">
        <v>3748228101</v>
      </c>
      <c r="H1102" t="s">
        <v>14</v>
      </c>
    </row>
    <row r="1103" spans="1:8" x14ac:dyDescent="0.3">
      <c r="A1103" t="s">
        <v>203</v>
      </c>
      <c r="B1103" t="s">
        <v>15</v>
      </c>
      <c r="C1103">
        <v>2.2337799999999999</v>
      </c>
      <c r="D1103">
        <v>2.30844</v>
      </c>
      <c r="E1103">
        <v>2.22919</v>
      </c>
      <c r="F1103">
        <v>2.25766</v>
      </c>
      <c r="G1103">
        <v>3715918884</v>
      </c>
      <c r="H1103" t="s">
        <v>16</v>
      </c>
    </row>
    <row r="1104" spans="1:8" x14ac:dyDescent="0.3">
      <c r="A1104" t="s">
        <v>203</v>
      </c>
      <c r="B1104" t="s">
        <v>17</v>
      </c>
      <c r="C1104">
        <v>2570.7966299999998</v>
      </c>
      <c r="D1104">
        <v>2635.1921400000001</v>
      </c>
      <c r="E1104">
        <v>2558.5825199999999</v>
      </c>
      <c r="F1104">
        <v>2591.0073200000002</v>
      </c>
      <c r="G1104">
        <v>20873559425</v>
      </c>
      <c r="H1104" t="s">
        <v>18</v>
      </c>
    </row>
    <row r="1105" spans="1:8" x14ac:dyDescent="0.3">
      <c r="A1105" t="s">
        <v>203</v>
      </c>
      <c r="B1105" t="s">
        <v>19</v>
      </c>
      <c r="C1105">
        <v>660.05724999999995</v>
      </c>
      <c r="D1105">
        <v>664.3877</v>
      </c>
      <c r="E1105">
        <v>657.20258000000001</v>
      </c>
      <c r="F1105">
        <v>663.32312000000002</v>
      </c>
      <c r="G1105">
        <v>1512518612</v>
      </c>
      <c r="H1105" t="s">
        <v>20</v>
      </c>
    </row>
    <row r="1106" spans="1:8" x14ac:dyDescent="0.3">
      <c r="A1106" t="s">
        <v>204</v>
      </c>
      <c r="B1106" t="s">
        <v>9</v>
      </c>
      <c r="C1106">
        <v>0.59909000000000001</v>
      </c>
      <c r="D1106">
        <v>0.60272000000000003</v>
      </c>
      <c r="E1106">
        <v>0.56435000000000002</v>
      </c>
      <c r="F1106">
        <v>0.57289000000000001</v>
      </c>
      <c r="G1106">
        <v>588008206</v>
      </c>
      <c r="H1106" t="s">
        <v>10</v>
      </c>
    </row>
    <row r="1107" spans="1:8" x14ac:dyDescent="0.3">
      <c r="A1107" t="s">
        <v>204</v>
      </c>
      <c r="B1107" t="s">
        <v>11</v>
      </c>
      <c r="C1107">
        <v>109635.6563</v>
      </c>
      <c r="D1107">
        <v>109751.9844</v>
      </c>
      <c r="E1107">
        <v>107296.38280000001</v>
      </c>
      <c r="F1107">
        <v>108034.33590000001</v>
      </c>
      <c r="G1107">
        <v>42616442656</v>
      </c>
      <c r="H1107" t="s">
        <v>12</v>
      </c>
    </row>
    <row r="1108" spans="1:8" x14ac:dyDescent="0.3">
      <c r="A1108" t="s">
        <v>204</v>
      </c>
      <c r="B1108" t="s">
        <v>13</v>
      </c>
      <c r="C1108">
        <v>152.40201999999999</v>
      </c>
      <c r="D1108">
        <v>153.55760000000001</v>
      </c>
      <c r="E1108">
        <v>145.45196999999999</v>
      </c>
      <c r="F1108">
        <v>147.76364000000001</v>
      </c>
      <c r="G1108">
        <v>3575641174</v>
      </c>
      <c r="H1108" t="s">
        <v>14</v>
      </c>
    </row>
    <row r="1109" spans="1:8" x14ac:dyDescent="0.3">
      <c r="A1109" t="s">
        <v>204</v>
      </c>
      <c r="B1109" t="s">
        <v>15</v>
      </c>
      <c r="C1109">
        <v>2.2576299999999998</v>
      </c>
      <c r="D1109">
        <v>2.2671800000000002</v>
      </c>
      <c r="E1109">
        <v>2.20051</v>
      </c>
      <c r="F1109">
        <v>2.2211400000000001</v>
      </c>
      <c r="G1109">
        <v>2085461653</v>
      </c>
      <c r="H1109" t="s">
        <v>16</v>
      </c>
    </row>
    <row r="1110" spans="1:8" x14ac:dyDescent="0.3">
      <c r="A1110" t="s">
        <v>204</v>
      </c>
      <c r="B1110" t="s">
        <v>17</v>
      </c>
      <c r="C1110">
        <v>2590.8456999999999</v>
      </c>
      <c r="D1110">
        <v>2601.1196300000001</v>
      </c>
      <c r="E1110">
        <v>2475.75488</v>
      </c>
      <c r="F1110">
        <v>2508.5183099999999</v>
      </c>
      <c r="G1110">
        <v>17222740209</v>
      </c>
      <c r="H1110" t="s">
        <v>18</v>
      </c>
    </row>
    <row r="1111" spans="1:8" x14ac:dyDescent="0.3">
      <c r="A1111" t="s">
        <v>204</v>
      </c>
      <c r="B1111" t="s">
        <v>19</v>
      </c>
      <c r="C1111">
        <v>663.32312000000002</v>
      </c>
      <c r="D1111">
        <v>664.06195000000002</v>
      </c>
      <c r="E1111">
        <v>650.71185000000003</v>
      </c>
      <c r="F1111">
        <v>653.73950000000002</v>
      </c>
      <c r="G1111">
        <v>1379813703</v>
      </c>
      <c r="H1111" t="s">
        <v>20</v>
      </c>
    </row>
    <row r="1112" spans="1:8" x14ac:dyDescent="0.3">
      <c r="A1112" t="s">
        <v>205</v>
      </c>
      <c r="B1112" t="s">
        <v>9</v>
      </c>
      <c r="C1112">
        <v>0.57289000000000001</v>
      </c>
      <c r="D1112">
        <v>0.58284999999999998</v>
      </c>
      <c r="E1112">
        <v>0.57072000000000001</v>
      </c>
      <c r="F1112">
        <v>0.57591000000000003</v>
      </c>
      <c r="G1112">
        <v>316451015</v>
      </c>
      <c r="H1112" t="s">
        <v>10</v>
      </c>
    </row>
    <row r="1113" spans="1:8" x14ac:dyDescent="0.3">
      <c r="A1113" t="s">
        <v>205</v>
      </c>
      <c r="B1113" t="s">
        <v>11</v>
      </c>
      <c r="C1113">
        <v>108015.83590000001</v>
      </c>
      <c r="D1113">
        <v>108381.3438</v>
      </c>
      <c r="E1113">
        <v>107842.27340000001</v>
      </c>
      <c r="F1113">
        <v>108231.17969999999</v>
      </c>
      <c r="G1113">
        <v>30615537520</v>
      </c>
      <c r="H1113" t="s">
        <v>12</v>
      </c>
    </row>
    <row r="1114" spans="1:8" x14ac:dyDescent="0.3">
      <c r="A1114" t="s">
        <v>205</v>
      </c>
      <c r="B1114" t="s">
        <v>13</v>
      </c>
      <c r="C1114">
        <v>147.76291000000001</v>
      </c>
      <c r="D1114">
        <v>148.59071</v>
      </c>
      <c r="E1114">
        <v>146.07684</v>
      </c>
      <c r="F1114">
        <v>147.64144999999999</v>
      </c>
      <c r="G1114">
        <v>1579874806</v>
      </c>
      <c r="H1114" t="s">
        <v>14</v>
      </c>
    </row>
    <row r="1115" spans="1:8" x14ac:dyDescent="0.3">
      <c r="A1115" t="s">
        <v>205</v>
      </c>
      <c r="B1115" t="s">
        <v>15</v>
      </c>
      <c r="C1115">
        <v>2.2211400000000001</v>
      </c>
      <c r="D1115">
        <v>2.23346</v>
      </c>
      <c r="E1115">
        <v>2.20363</v>
      </c>
      <c r="F1115">
        <v>2.2185199999999998</v>
      </c>
      <c r="G1115">
        <v>1176056923</v>
      </c>
      <c r="H1115" t="s">
        <v>16</v>
      </c>
    </row>
    <row r="1116" spans="1:8" x14ac:dyDescent="0.3">
      <c r="A1116" t="s">
        <v>205</v>
      </c>
      <c r="B1116" t="s">
        <v>17</v>
      </c>
      <c r="C1116">
        <v>2508.0959499999999</v>
      </c>
      <c r="D1116">
        <v>2529.84229</v>
      </c>
      <c r="E1116">
        <v>2489.0024400000002</v>
      </c>
      <c r="F1116">
        <v>2517.2800299999999</v>
      </c>
      <c r="G1116">
        <v>9289382302</v>
      </c>
      <c r="H1116" t="s">
        <v>18</v>
      </c>
    </row>
    <row r="1117" spans="1:8" x14ac:dyDescent="0.3">
      <c r="A1117" t="s">
        <v>205</v>
      </c>
      <c r="B1117" t="s">
        <v>19</v>
      </c>
      <c r="C1117">
        <v>653.73950000000002</v>
      </c>
      <c r="D1117">
        <v>656.66187000000002</v>
      </c>
      <c r="E1117">
        <v>652.34014999999999</v>
      </c>
      <c r="F1117">
        <v>656.14287999999999</v>
      </c>
      <c r="G1117">
        <v>1193229342</v>
      </c>
      <c r="H1117" t="s">
        <v>20</v>
      </c>
    </row>
    <row r="1118" spans="1:8" x14ac:dyDescent="0.3">
      <c r="A1118" t="s">
        <v>206</v>
      </c>
      <c r="B1118" t="s">
        <v>9</v>
      </c>
      <c r="C1118">
        <v>0.57591000000000003</v>
      </c>
      <c r="D1118">
        <v>0.59182999999999997</v>
      </c>
      <c r="E1118">
        <v>0.57150000000000001</v>
      </c>
      <c r="F1118">
        <v>0.58601000000000003</v>
      </c>
      <c r="G1118">
        <v>412178050</v>
      </c>
      <c r="H1118" t="s">
        <v>10</v>
      </c>
    </row>
    <row r="1119" spans="1:8" x14ac:dyDescent="0.3">
      <c r="A1119" t="s">
        <v>206</v>
      </c>
      <c r="B1119" t="s">
        <v>11</v>
      </c>
      <c r="C1119">
        <v>108231.1875</v>
      </c>
      <c r="D1119">
        <v>109731.625</v>
      </c>
      <c r="E1119">
        <v>107847.0156</v>
      </c>
      <c r="F1119">
        <v>109232.07030000001</v>
      </c>
      <c r="G1119">
        <v>36746020463</v>
      </c>
      <c r="H1119" t="s">
        <v>12</v>
      </c>
    </row>
    <row r="1120" spans="1:8" x14ac:dyDescent="0.3">
      <c r="A1120" t="s">
        <v>206</v>
      </c>
      <c r="B1120" t="s">
        <v>13</v>
      </c>
      <c r="C1120">
        <v>147.64146</v>
      </c>
      <c r="D1120">
        <v>153.38704999999999</v>
      </c>
      <c r="E1120">
        <v>146.89973000000001</v>
      </c>
      <c r="F1120">
        <v>151.87294</v>
      </c>
      <c r="G1120">
        <v>2921512526</v>
      </c>
      <c r="H1120" t="s">
        <v>14</v>
      </c>
    </row>
    <row r="1121" spans="1:8" x14ac:dyDescent="0.3">
      <c r="A1121" t="s">
        <v>206</v>
      </c>
      <c r="B1121" t="s">
        <v>15</v>
      </c>
      <c r="C1121">
        <v>2.2185199999999998</v>
      </c>
      <c r="D1121">
        <v>2.28688</v>
      </c>
      <c r="E1121">
        <v>2.2115399999999998</v>
      </c>
      <c r="F1121">
        <v>2.2725399999999998</v>
      </c>
      <c r="G1121">
        <v>2494482032</v>
      </c>
      <c r="H1121" t="s">
        <v>16</v>
      </c>
    </row>
    <row r="1122" spans="1:8" x14ac:dyDescent="0.3">
      <c r="A1122" t="s">
        <v>206</v>
      </c>
      <c r="B1122" t="s">
        <v>17</v>
      </c>
      <c r="C1122">
        <v>2517.2800299999999</v>
      </c>
      <c r="D1122">
        <v>2603.0646999999999</v>
      </c>
      <c r="E1122">
        <v>2505.3708499999998</v>
      </c>
      <c r="F1122">
        <v>2571.23657</v>
      </c>
      <c r="G1122">
        <v>13190436110</v>
      </c>
      <c r="H1122" t="s">
        <v>18</v>
      </c>
    </row>
    <row r="1123" spans="1:8" x14ac:dyDescent="0.3">
      <c r="A1123" t="s">
        <v>206</v>
      </c>
      <c r="B1123" t="s">
        <v>19</v>
      </c>
      <c r="C1123">
        <v>656.14293999999995</v>
      </c>
      <c r="D1123">
        <v>664.62738000000002</v>
      </c>
      <c r="E1123">
        <v>653.87365999999997</v>
      </c>
      <c r="F1123">
        <v>663.08898999999997</v>
      </c>
      <c r="G1123">
        <v>1387600565</v>
      </c>
      <c r="H1123" t="s">
        <v>20</v>
      </c>
    </row>
    <row r="1124" spans="1:8" x14ac:dyDescent="0.3">
      <c r="A1124" t="s">
        <v>207</v>
      </c>
      <c r="B1124" t="s">
        <v>9</v>
      </c>
      <c r="C1124">
        <v>0.58601000000000003</v>
      </c>
      <c r="D1124">
        <v>0.59257000000000004</v>
      </c>
      <c r="E1124">
        <v>0.57474999999999998</v>
      </c>
      <c r="F1124">
        <v>0.58023999999999998</v>
      </c>
      <c r="G1124">
        <v>604232754</v>
      </c>
      <c r="H1124" t="s">
        <v>10</v>
      </c>
    </row>
    <row r="1125" spans="1:8" x14ac:dyDescent="0.3">
      <c r="A1125" t="s">
        <v>207</v>
      </c>
      <c r="B1125" t="s">
        <v>11</v>
      </c>
      <c r="C1125">
        <v>109235.3281</v>
      </c>
      <c r="D1125">
        <v>109710.25</v>
      </c>
      <c r="E1125">
        <v>107527.05469999999</v>
      </c>
      <c r="F1125">
        <v>108299.85159999999</v>
      </c>
      <c r="G1125">
        <v>45415696597</v>
      </c>
      <c r="H1125" t="s">
        <v>12</v>
      </c>
    </row>
    <row r="1126" spans="1:8" x14ac:dyDescent="0.3">
      <c r="A1126" t="s">
        <v>207</v>
      </c>
      <c r="B1126" t="s">
        <v>13</v>
      </c>
      <c r="C1126">
        <v>151.87334000000001</v>
      </c>
      <c r="D1126">
        <v>153.27696</v>
      </c>
      <c r="E1126">
        <v>147.7894</v>
      </c>
      <c r="F1126">
        <v>148.87235000000001</v>
      </c>
      <c r="G1126">
        <v>3661294298</v>
      </c>
      <c r="H1126" t="s">
        <v>14</v>
      </c>
    </row>
    <row r="1127" spans="1:8" x14ac:dyDescent="0.3">
      <c r="A1127" t="s">
        <v>207</v>
      </c>
      <c r="B1127" t="s">
        <v>15</v>
      </c>
      <c r="C1127">
        <v>2.2725399999999998</v>
      </c>
      <c r="D1127">
        <v>2.3485200000000002</v>
      </c>
      <c r="E1127">
        <v>2.2579699999999998</v>
      </c>
      <c r="F1127">
        <v>2.2740800000000001</v>
      </c>
      <c r="G1127">
        <v>4447363877</v>
      </c>
      <c r="H1127" t="s">
        <v>16</v>
      </c>
    </row>
    <row r="1128" spans="1:8" x14ac:dyDescent="0.3">
      <c r="A1128" t="s">
        <v>207</v>
      </c>
      <c r="B1128" t="s">
        <v>17</v>
      </c>
      <c r="C1128">
        <v>2571.3952599999998</v>
      </c>
      <c r="D1128">
        <v>2589.3249500000002</v>
      </c>
      <c r="E1128">
        <v>2517.9035600000002</v>
      </c>
      <c r="F1128">
        <v>2543.0131799999999</v>
      </c>
      <c r="G1128">
        <v>18440266947</v>
      </c>
      <c r="H1128" t="s">
        <v>18</v>
      </c>
    </row>
    <row r="1129" spans="1:8" x14ac:dyDescent="0.3">
      <c r="A1129" t="s">
        <v>207</v>
      </c>
      <c r="B1129" t="s">
        <v>19</v>
      </c>
      <c r="C1129">
        <v>663.08898999999997</v>
      </c>
      <c r="D1129">
        <v>663.22833000000003</v>
      </c>
      <c r="E1129">
        <v>657.10608000000002</v>
      </c>
      <c r="F1129">
        <v>661.01819</v>
      </c>
      <c r="G1129">
        <v>1524912345</v>
      </c>
      <c r="H1129" t="s">
        <v>20</v>
      </c>
    </row>
    <row r="1130" spans="1:8" x14ac:dyDescent="0.3">
      <c r="A1130" t="s">
        <v>208</v>
      </c>
      <c r="B1130" t="s">
        <v>9</v>
      </c>
      <c r="C1130">
        <v>0.58023999999999998</v>
      </c>
      <c r="D1130">
        <v>0.59145000000000003</v>
      </c>
      <c r="E1130">
        <v>0.57350000000000001</v>
      </c>
      <c r="F1130">
        <v>0.58847000000000005</v>
      </c>
      <c r="G1130">
        <v>545842174</v>
      </c>
      <c r="H1130" t="s">
        <v>10</v>
      </c>
    </row>
    <row r="1131" spans="1:8" x14ac:dyDescent="0.3">
      <c r="A1131" t="s">
        <v>208</v>
      </c>
      <c r="B1131" t="s">
        <v>11</v>
      </c>
      <c r="C1131">
        <v>108298.22659999999</v>
      </c>
      <c r="D1131">
        <v>109198.9688</v>
      </c>
      <c r="E1131">
        <v>107499.55469999999</v>
      </c>
      <c r="F1131">
        <v>108950.27340000001</v>
      </c>
      <c r="G1131">
        <v>44282204127</v>
      </c>
      <c r="H1131" t="s">
        <v>12</v>
      </c>
    </row>
    <row r="1132" spans="1:8" x14ac:dyDescent="0.3">
      <c r="A1132" t="s">
        <v>208</v>
      </c>
      <c r="B1132" t="s">
        <v>13</v>
      </c>
      <c r="C1132">
        <v>148.87196</v>
      </c>
      <c r="D1132">
        <v>152.79660000000001</v>
      </c>
      <c r="E1132">
        <v>147.94987</v>
      </c>
      <c r="F1132">
        <v>151.81039000000001</v>
      </c>
      <c r="G1132">
        <v>3885408944</v>
      </c>
      <c r="H1132" t="s">
        <v>14</v>
      </c>
    </row>
    <row r="1133" spans="1:8" x14ac:dyDescent="0.3">
      <c r="A1133" t="s">
        <v>208</v>
      </c>
      <c r="B1133" t="s">
        <v>15</v>
      </c>
      <c r="C1133">
        <v>2.2740800000000001</v>
      </c>
      <c r="D1133">
        <v>2.3197100000000002</v>
      </c>
      <c r="E1133">
        <v>2.25007</v>
      </c>
      <c r="F1133">
        <v>2.3112300000000001</v>
      </c>
      <c r="G1133">
        <v>3096977787</v>
      </c>
      <c r="H1133" t="s">
        <v>16</v>
      </c>
    </row>
    <row r="1134" spans="1:8" x14ac:dyDescent="0.3">
      <c r="A1134" t="s">
        <v>208</v>
      </c>
      <c r="B1134" t="s">
        <v>17</v>
      </c>
      <c r="C1134">
        <v>2542.9726599999999</v>
      </c>
      <c r="D1134">
        <v>2626.66455</v>
      </c>
      <c r="E1134">
        <v>2525.4377399999998</v>
      </c>
      <c r="F1134">
        <v>2615.5058600000002</v>
      </c>
      <c r="G1134">
        <v>17537487206</v>
      </c>
      <c r="H1134" t="s">
        <v>18</v>
      </c>
    </row>
    <row r="1135" spans="1:8" x14ac:dyDescent="0.3">
      <c r="A1135" t="s">
        <v>208</v>
      </c>
      <c r="B1135" t="s">
        <v>19</v>
      </c>
      <c r="C1135">
        <v>661.01806999999997</v>
      </c>
      <c r="D1135">
        <v>662.49743999999998</v>
      </c>
      <c r="E1135">
        <v>657.56506000000002</v>
      </c>
      <c r="F1135">
        <v>660.76288</v>
      </c>
      <c r="G1135">
        <v>1517607542</v>
      </c>
      <c r="H1135" t="s">
        <v>20</v>
      </c>
    </row>
    <row r="1136" spans="1:8" x14ac:dyDescent="0.3">
      <c r="A1136" t="s">
        <v>209</v>
      </c>
      <c r="B1136" t="s">
        <v>9</v>
      </c>
      <c r="C1136">
        <v>0.58847000000000005</v>
      </c>
      <c r="D1136">
        <v>0.62633000000000005</v>
      </c>
      <c r="E1136">
        <v>0.58448999999999995</v>
      </c>
      <c r="F1136">
        <v>0.62348999999999999</v>
      </c>
      <c r="G1136">
        <v>1024072721</v>
      </c>
      <c r="H1136" t="s">
        <v>10</v>
      </c>
    </row>
    <row r="1137" spans="1:8" x14ac:dyDescent="0.3">
      <c r="A1137" t="s">
        <v>209</v>
      </c>
      <c r="B1137" t="s">
        <v>11</v>
      </c>
      <c r="C1137">
        <v>108950.27340000001</v>
      </c>
      <c r="D1137">
        <v>111925.375</v>
      </c>
      <c r="E1137">
        <v>108357.67969999999</v>
      </c>
      <c r="F1137">
        <v>111326.55469999999</v>
      </c>
      <c r="G1137">
        <v>57927418065</v>
      </c>
      <c r="H1137" t="s">
        <v>12</v>
      </c>
    </row>
    <row r="1138" spans="1:8" x14ac:dyDescent="0.3">
      <c r="A1138" t="s">
        <v>209</v>
      </c>
      <c r="B1138" t="s">
        <v>13</v>
      </c>
      <c r="C1138">
        <v>151.81039000000001</v>
      </c>
      <c r="D1138">
        <v>157.88002</v>
      </c>
      <c r="E1138">
        <v>150.69989000000001</v>
      </c>
      <c r="F1138">
        <v>157.28151</v>
      </c>
      <c r="G1138">
        <v>4759358090</v>
      </c>
      <c r="H1138" t="s">
        <v>14</v>
      </c>
    </row>
    <row r="1139" spans="1:8" x14ac:dyDescent="0.3">
      <c r="A1139" t="s">
        <v>209</v>
      </c>
      <c r="B1139" t="s">
        <v>15</v>
      </c>
      <c r="C1139">
        <v>2.3112300000000001</v>
      </c>
      <c r="D1139">
        <v>2.4232499999999999</v>
      </c>
      <c r="E1139">
        <v>2.2990699999999999</v>
      </c>
      <c r="F1139">
        <v>2.40564</v>
      </c>
      <c r="G1139">
        <v>5095934679</v>
      </c>
      <c r="H1139" t="s">
        <v>16</v>
      </c>
    </row>
    <row r="1140" spans="1:8" x14ac:dyDescent="0.3">
      <c r="A1140" t="s">
        <v>209</v>
      </c>
      <c r="B1140" t="s">
        <v>17</v>
      </c>
      <c r="C1140">
        <v>2615.5058600000002</v>
      </c>
      <c r="D1140">
        <v>2794.51856</v>
      </c>
      <c r="E1140">
        <v>2591.9470200000001</v>
      </c>
      <c r="F1140">
        <v>2770.7775900000001</v>
      </c>
      <c r="G1140">
        <v>27229452849</v>
      </c>
      <c r="H1140" t="s">
        <v>18</v>
      </c>
    </row>
    <row r="1141" spans="1:8" x14ac:dyDescent="0.3">
      <c r="A1141" t="s">
        <v>209</v>
      </c>
      <c r="B1141" t="s">
        <v>19</v>
      </c>
      <c r="C1141">
        <v>660.76288</v>
      </c>
      <c r="D1141">
        <v>670.78510000000006</v>
      </c>
      <c r="E1141">
        <v>659.59924000000001</v>
      </c>
      <c r="F1141">
        <v>669.15252999999996</v>
      </c>
      <c r="G1141">
        <v>1667011677</v>
      </c>
      <c r="H1141" t="s">
        <v>20</v>
      </c>
    </row>
    <row r="1142" spans="1:8" x14ac:dyDescent="0.3">
      <c r="A1142" t="s">
        <v>210</v>
      </c>
      <c r="B1142" t="s">
        <v>9</v>
      </c>
      <c r="C1142">
        <v>0.62348999999999999</v>
      </c>
      <c r="D1142">
        <v>0.67879999999999996</v>
      </c>
      <c r="E1142">
        <v>0.61814999999999998</v>
      </c>
      <c r="F1142">
        <v>0.67664999999999997</v>
      </c>
      <c r="G1142">
        <v>1172708375</v>
      </c>
      <c r="H1142" t="s">
        <v>10</v>
      </c>
    </row>
    <row r="1143" spans="1:8" x14ac:dyDescent="0.3">
      <c r="A1143" t="s">
        <v>210</v>
      </c>
      <c r="B1143" t="s">
        <v>11</v>
      </c>
      <c r="C1143">
        <v>111329.19530000001</v>
      </c>
      <c r="D1143">
        <v>116608.7813</v>
      </c>
      <c r="E1143">
        <v>110660.75</v>
      </c>
      <c r="F1143">
        <v>115987.2031</v>
      </c>
      <c r="G1143">
        <v>95911605728</v>
      </c>
      <c r="H1143" t="s">
        <v>12</v>
      </c>
    </row>
    <row r="1144" spans="1:8" x14ac:dyDescent="0.3">
      <c r="A1144" t="s">
        <v>210</v>
      </c>
      <c r="B1144" t="s">
        <v>13</v>
      </c>
      <c r="C1144">
        <v>157.28151</v>
      </c>
      <c r="D1144">
        <v>165.07658000000001</v>
      </c>
      <c r="E1144">
        <v>156.04606999999999</v>
      </c>
      <c r="F1144">
        <v>164.06277</v>
      </c>
      <c r="G1144">
        <v>5703252463</v>
      </c>
      <c r="H1144" t="s">
        <v>14</v>
      </c>
    </row>
    <row r="1145" spans="1:8" x14ac:dyDescent="0.3">
      <c r="A1145" t="s">
        <v>210</v>
      </c>
      <c r="B1145" t="s">
        <v>15</v>
      </c>
      <c r="C1145">
        <v>2.40564</v>
      </c>
      <c r="D1145">
        <v>2.5580599999999998</v>
      </c>
      <c r="E1145">
        <v>2.3972899999999999</v>
      </c>
      <c r="F1145">
        <v>2.5466799999999998</v>
      </c>
      <c r="G1145">
        <v>6049788225</v>
      </c>
      <c r="H1145" t="s">
        <v>16</v>
      </c>
    </row>
    <row r="1146" spans="1:8" x14ac:dyDescent="0.3">
      <c r="A1146" t="s">
        <v>210</v>
      </c>
      <c r="B1146" t="s">
        <v>17</v>
      </c>
      <c r="C1146">
        <v>2770.73731</v>
      </c>
      <c r="D1146">
        <v>2995.1520999999998</v>
      </c>
      <c r="E1146">
        <v>2757.2665999999999</v>
      </c>
      <c r="F1146">
        <v>2954.8452200000002</v>
      </c>
      <c r="G1146">
        <v>33929201261</v>
      </c>
      <c r="H1146" t="s">
        <v>18</v>
      </c>
    </row>
    <row r="1147" spans="1:8" x14ac:dyDescent="0.3">
      <c r="A1147" t="s">
        <v>210</v>
      </c>
      <c r="B1147" t="s">
        <v>19</v>
      </c>
      <c r="C1147">
        <v>669.15252999999996</v>
      </c>
      <c r="D1147">
        <v>687.35424999999998</v>
      </c>
      <c r="E1147">
        <v>668.03107</v>
      </c>
      <c r="F1147">
        <v>685.66070999999999</v>
      </c>
      <c r="G1147">
        <v>2023565748</v>
      </c>
      <c r="H1147" t="s">
        <v>20</v>
      </c>
    </row>
    <row r="1148" spans="1:8" x14ac:dyDescent="0.3">
      <c r="A1148" t="s">
        <v>211</v>
      </c>
      <c r="B1148" t="s">
        <v>9</v>
      </c>
      <c r="C1148">
        <v>0.67664000000000002</v>
      </c>
      <c r="D1148">
        <v>0.77251999999999998</v>
      </c>
      <c r="E1148">
        <v>0.66956000000000004</v>
      </c>
      <c r="F1148">
        <v>0.71052999999999999</v>
      </c>
      <c r="G1148">
        <v>2869891976</v>
      </c>
      <c r="H1148" t="s">
        <v>10</v>
      </c>
    </row>
    <row r="1149" spans="1:8" x14ac:dyDescent="0.3">
      <c r="A1149" t="s">
        <v>211</v>
      </c>
      <c r="B1149" t="s">
        <v>11</v>
      </c>
      <c r="C1149">
        <v>115986.2344</v>
      </c>
      <c r="D1149">
        <v>118856.47659999999</v>
      </c>
      <c r="E1149">
        <v>115245.6875</v>
      </c>
      <c r="F1149">
        <v>117516.99219999999</v>
      </c>
      <c r="G1149">
        <v>86928361085</v>
      </c>
      <c r="H1149" t="s">
        <v>12</v>
      </c>
    </row>
    <row r="1150" spans="1:8" x14ac:dyDescent="0.3">
      <c r="A1150" t="s">
        <v>211</v>
      </c>
      <c r="B1150" t="s">
        <v>13</v>
      </c>
      <c r="C1150">
        <v>164.06253000000001</v>
      </c>
      <c r="D1150">
        <v>167.92196999999999</v>
      </c>
      <c r="E1150">
        <v>160.06564</v>
      </c>
      <c r="F1150">
        <v>162.88337999999999</v>
      </c>
      <c r="G1150">
        <v>7095844188</v>
      </c>
      <c r="H1150" t="s">
        <v>14</v>
      </c>
    </row>
    <row r="1151" spans="1:8" x14ac:dyDescent="0.3">
      <c r="A1151" t="s">
        <v>211</v>
      </c>
      <c r="B1151" t="s">
        <v>15</v>
      </c>
      <c r="C1151">
        <v>2.5466299999999999</v>
      </c>
      <c r="D1151">
        <v>2.96427</v>
      </c>
      <c r="E1151">
        <v>2.51755</v>
      </c>
      <c r="F1151">
        <v>2.7348599999999998</v>
      </c>
      <c r="G1151">
        <v>15789098843</v>
      </c>
      <c r="H1151" t="s">
        <v>16</v>
      </c>
    </row>
    <row r="1152" spans="1:8" x14ac:dyDescent="0.3">
      <c r="A1152" t="s">
        <v>211</v>
      </c>
      <c r="B1152" t="s">
        <v>17</v>
      </c>
      <c r="C1152">
        <v>2954.8327599999998</v>
      </c>
      <c r="D1152">
        <v>3038.14111</v>
      </c>
      <c r="E1152">
        <v>2916.9565400000001</v>
      </c>
      <c r="F1152">
        <v>2957.8862300000001</v>
      </c>
      <c r="G1152">
        <v>36226558863</v>
      </c>
      <c r="H1152" t="s">
        <v>18</v>
      </c>
    </row>
    <row r="1153" spans="1:8" x14ac:dyDescent="0.3">
      <c r="A1153" t="s">
        <v>211</v>
      </c>
      <c r="B1153" t="s">
        <v>19</v>
      </c>
      <c r="C1153">
        <v>685.66070999999999</v>
      </c>
      <c r="D1153">
        <v>696.86950999999999</v>
      </c>
      <c r="E1153">
        <v>683.85271999999998</v>
      </c>
      <c r="F1153">
        <v>689.87334999999996</v>
      </c>
      <c r="G1153">
        <v>2327541748</v>
      </c>
      <c r="H1153" t="s">
        <v>20</v>
      </c>
    </row>
    <row r="1154" spans="1:8" x14ac:dyDescent="0.3">
      <c r="A1154" t="s">
        <v>212</v>
      </c>
      <c r="B1154" t="s">
        <v>9</v>
      </c>
      <c r="C1154">
        <v>0.71052999999999999</v>
      </c>
      <c r="D1154">
        <v>0.73368</v>
      </c>
      <c r="E1154">
        <v>0.69018999999999997</v>
      </c>
      <c r="F1154">
        <v>0.70830000000000004</v>
      </c>
      <c r="G1154">
        <v>1327152134</v>
      </c>
      <c r="H1154" t="s">
        <v>10</v>
      </c>
    </row>
    <row r="1155" spans="1:8" x14ac:dyDescent="0.3">
      <c r="A1155" t="s">
        <v>212</v>
      </c>
      <c r="B1155" t="s">
        <v>11</v>
      </c>
      <c r="C1155">
        <v>117530.71090000001</v>
      </c>
      <c r="D1155">
        <v>118219.89840000001</v>
      </c>
      <c r="E1155">
        <v>116977.02340000001</v>
      </c>
      <c r="F1155">
        <v>117435.22659999999</v>
      </c>
      <c r="G1155">
        <v>45524560304</v>
      </c>
      <c r="H1155" t="s">
        <v>12</v>
      </c>
    </row>
    <row r="1156" spans="1:8" x14ac:dyDescent="0.3">
      <c r="A1156" t="s">
        <v>212</v>
      </c>
      <c r="B1156" t="s">
        <v>13</v>
      </c>
      <c r="C1156">
        <v>162.88337999999999</v>
      </c>
      <c r="D1156">
        <v>163.84531999999999</v>
      </c>
      <c r="E1156">
        <v>157.99803</v>
      </c>
      <c r="F1156">
        <v>160.68485000000001</v>
      </c>
      <c r="G1156">
        <v>3795297694</v>
      </c>
      <c r="H1156" t="s">
        <v>14</v>
      </c>
    </row>
    <row r="1157" spans="1:8" x14ac:dyDescent="0.3">
      <c r="A1157" t="s">
        <v>212</v>
      </c>
      <c r="B1157" t="s">
        <v>15</v>
      </c>
      <c r="C1157">
        <v>2.7348499999999998</v>
      </c>
      <c r="D1157">
        <v>2.8412500000000001</v>
      </c>
      <c r="E1157">
        <v>2.6699099999999998</v>
      </c>
      <c r="F1157">
        <v>2.7376399999999999</v>
      </c>
      <c r="G1157">
        <v>8647115362</v>
      </c>
      <c r="H1157" t="s">
        <v>16</v>
      </c>
    </row>
    <row r="1158" spans="1:8" x14ac:dyDescent="0.3">
      <c r="A1158" t="s">
        <v>212</v>
      </c>
      <c r="B1158" t="s">
        <v>17</v>
      </c>
      <c r="C1158">
        <v>2958.33374</v>
      </c>
      <c r="D1158">
        <v>2979.7800299999999</v>
      </c>
      <c r="E1158">
        <v>2907.1936000000001</v>
      </c>
      <c r="F1158">
        <v>2942.9116199999999</v>
      </c>
      <c r="G1158">
        <v>16317198254</v>
      </c>
      <c r="H1158" t="s">
        <v>18</v>
      </c>
    </row>
    <row r="1159" spans="1:8" x14ac:dyDescent="0.3">
      <c r="A1159" t="s">
        <v>212</v>
      </c>
      <c r="B1159" t="s">
        <v>19</v>
      </c>
      <c r="C1159">
        <v>689.87334999999996</v>
      </c>
      <c r="D1159">
        <v>696.95489999999995</v>
      </c>
      <c r="E1159">
        <v>680.40161000000001</v>
      </c>
      <c r="F1159">
        <v>685.77788999999996</v>
      </c>
      <c r="G1159">
        <v>1715321874</v>
      </c>
      <c r="H1159" t="s">
        <v>20</v>
      </c>
    </row>
    <row r="1160" spans="1:8" x14ac:dyDescent="0.3">
      <c r="A1160" t="s">
        <v>213</v>
      </c>
      <c r="B1160" t="s">
        <v>9</v>
      </c>
      <c r="C1160">
        <v>0.70830000000000004</v>
      </c>
      <c r="D1160">
        <v>0.75375000000000003</v>
      </c>
      <c r="E1160">
        <v>0.70608000000000004</v>
      </c>
      <c r="F1160">
        <v>0.73724999999999996</v>
      </c>
      <c r="G1160">
        <v>1559998665</v>
      </c>
      <c r="H1160" t="s">
        <v>10</v>
      </c>
    </row>
    <row r="1161" spans="1:8" x14ac:dyDescent="0.3">
      <c r="A1161" t="s">
        <v>213</v>
      </c>
      <c r="B1161" t="s">
        <v>11</v>
      </c>
      <c r="C1161">
        <v>117432.2031</v>
      </c>
      <c r="D1161">
        <v>119449.57030000001</v>
      </c>
      <c r="E1161">
        <v>117265.4375</v>
      </c>
      <c r="F1161">
        <v>119116.11719999999</v>
      </c>
      <c r="G1161">
        <v>49021091807</v>
      </c>
      <c r="H1161" t="s">
        <v>12</v>
      </c>
    </row>
    <row r="1162" spans="1:8" x14ac:dyDescent="0.3">
      <c r="A1162" t="s">
        <v>213</v>
      </c>
      <c r="B1162" t="s">
        <v>13</v>
      </c>
      <c r="C1162">
        <v>160.68485000000001</v>
      </c>
      <c r="D1162">
        <v>163.95760000000001</v>
      </c>
      <c r="E1162">
        <v>159.91585000000001</v>
      </c>
      <c r="F1162">
        <v>161.19401999999999</v>
      </c>
      <c r="G1162">
        <v>3865898680</v>
      </c>
      <c r="H1162" t="s">
        <v>14</v>
      </c>
    </row>
    <row r="1163" spans="1:8" x14ac:dyDescent="0.3">
      <c r="A1163" t="s">
        <v>213</v>
      </c>
      <c r="B1163" t="s">
        <v>15</v>
      </c>
      <c r="C1163">
        <v>2.7376399999999999</v>
      </c>
      <c r="D1163">
        <v>2.8784999999999998</v>
      </c>
      <c r="E1163">
        <v>2.7269000000000001</v>
      </c>
      <c r="F1163">
        <v>2.8359399999999999</v>
      </c>
      <c r="G1163">
        <v>7159804375</v>
      </c>
      <c r="H1163" t="s">
        <v>16</v>
      </c>
    </row>
    <row r="1164" spans="1:8" x14ac:dyDescent="0.3">
      <c r="A1164" t="s">
        <v>213</v>
      </c>
      <c r="B1164" t="s">
        <v>17</v>
      </c>
      <c r="C1164">
        <v>2942.8535200000001</v>
      </c>
      <c r="D1164">
        <v>3016.39356</v>
      </c>
      <c r="E1164">
        <v>2938.73657</v>
      </c>
      <c r="F1164">
        <v>2973.35889</v>
      </c>
      <c r="G1164">
        <v>17361753131</v>
      </c>
      <c r="H1164" t="s">
        <v>18</v>
      </c>
    </row>
    <row r="1165" spans="1:8" x14ac:dyDescent="0.3">
      <c r="A1165" t="s">
        <v>213</v>
      </c>
      <c r="B1165" t="s">
        <v>19</v>
      </c>
      <c r="C1165">
        <v>685.77788999999996</v>
      </c>
      <c r="D1165">
        <v>694.01233000000002</v>
      </c>
      <c r="E1165">
        <v>685.46722</v>
      </c>
      <c r="F1165">
        <v>692.23041000000001</v>
      </c>
      <c r="G1165">
        <v>1631603869</v>
      </c>
      <c r="H1165" t="s">
        <v>20</v>
      </c>
    </row>
    <row r="1166" spans="1:8" x14ac:dyDescent="0.3">
      <c r="A1166" t="s">
        <v>214</v>
      </c>
      <c r="B1166" t="s">
        <v>9</v>
      </c>
      <c r="C1166">
        <v>0.73724999999999996</v>
      </c>
      <c r="D1166">
        <v>0.76546999999999998</v>
      </c>
      <c r="E1166">
        <v>0.72372999999999998</v>
      </c>
      <c r="F1166">
        <v>0.73433999999999999</v>
      </c>
      <c r="G1166">
        <v>1794877371</v>
      </c>
      <c r="H1166" t="s">
        <v>10</v>
      </c>
    </row>
    <row r="1167" spans="1:8" x14ac:dyDescent="0.3">
      <c r="A1167" t="s">
        <v>214</v>
      </c>
      <c r="B1167" t="s">
        <v>11</v>
      </c>
      <c r="C1167">
        <v>119115.78909999999</v>
      </c>
      <c r="D1167">
        <v>123091.6094</v>
      </c>
      <c r="E1167">
        <v>118959.19530000001</v>
      </c>
      <c r="F1167">
        <v>119849.7031</v>
      </c>
      <c r="G1167">
        <v>182000000000</v>
      </c>
      <c r="H1167" t="s">
        <v>12</v>
      </c>
    </row>
    <row r="1168" spans="1:8" x14ac:dyDescent="0.3">
      <c r="A1168" t="s">
        <v>214</v>
      </c>
      <c r="B1168" t="s">
        <v>13</v>
      </c>
      <c r="C1168">
        <v>161.19401999999999</v>
      </c>
      <c r="D1168">
        <v>168.33611999999999</v>
      </c>
      <c r="E1168">
        <v>160.77779000000001</v>
      </c>
      <c r="F1168">
        <v>162.27521999999999</v>
      </c>
      <c r="G1168">
        <v>7130680773</v>
      </c>
      <c r="H1168" t="s">
        <v>14</v>
      </c>
    </row>
    <row r="1169" spans="1:8" x14ac:dyDescent="0.3">
      <c r="A1169" t="s">
        <v>214</v>
      </c>
      <c r="B1169" t="s">
        <v>15</v>
      </c>
      <c r="C1169">
        <v>2.8359200000000002</v>
      </c>
      <c r="D1169">
        <v>3.0217900000000002</v>
      </c>
      <c r="E1169">
        <v>2.8271799999999998</v>
      </c>
      <c r="F1169">
        <v>2.9549799999999999</v>
      </c>
      <c r="G1169">
        <v>12393161327</v>
      </c>
      <c r="H1169" t="s">
        <v>16</v>
      </c>
    </row>
    <row r="1170" spans="1:8" x14ac:dyDescent="0.3">
      <c r="A1170" t="s">
        <v>214</v>
      </c>
      <c r="B1170" t="s">
        <v>17</v>
      </c>
      <c r="C1170">
        <v>2973.2251000000001</v>
      </c>
      <c r="D1170">
        <v>3079.9856</v>
      </c>
      <c r="E1170">
        <v>2965.3237300000001</v>
      </c>
      <c r="F1170">
        <v>3013.3508299999999</v>
      </c>
      <c r="G1170">
        <v>36349290556</v>
      </c>
      <c r="H1170" t="s">
        <v>18</v>
      </c>
    </row>
    <row r="1171" spans="1:8" x14ac:dyDescent="0.3">
      <c r="A1171" t="s">
        <v>214</v>
      </c>
      <c r="B1171" t="s">
        <v>19</v>
      </c>
      <c r="C1171">
        <v>692.23041000000001</v>
      </c>
      <c r="D1171">
        <v>706.71331999999995</v>
      </c>
      <c r="E1171">
        <v>686.82885999999996</v>
      </c>
      <c r="F1171">
        <v>689.41674999999998</v>
      </c>
      <c r="G1171">
        <v>2362276526</v>
      </c>
      <c r="H1171" t="s">
        <v>20</v>
      </c>
    </row>
    <row r="1172" spans="1:8" x14ac:dyDescent="0.3">
      <c r="A1172" t="s">
        <v>215</v>
      </c>
      <c r="B1172" t="s">
        <v>9</v>
      </c>
      <c r="C1172">
        <v>0.73433000000000004</v>
      </c>
      <c r="D1172">
        <v>0.74829999999999997</v>
      </c>
      <c r="E1172">
        <v>0.71172000000000002</v>
      </c>
      <c r="F1172">
        <v>0.74682000000000004</v>
      </c>
      <c r="G1172">
        <v>1523030830</v>
      </c>
      <c r="H1172" t="s">
        <v>10</v>
      </c>
    </row>
    <row r="1173" spans="1:8" x14ac:dyDescent="0.3">
      <c r="A1173" t="s">
        <v>215</v>
      </c>
      <c r="B1173" t="s">
        <v>11</v>
      </c>
      <c r="C1173">
        <v>119853.85159999999</v>
      </c>
      <c r="D1173">
        <v>119935.5625</v>
      </c>
      <c r="E1173">
        <v>115765.6875</v>
      </c>
      <c r="F1173">
        <v>117777.1875</v>
      </c>
      <c r="G1173">
        <v>98321661181</v>
      </c>
      <c r="H1173" t="s">
        <v>12</v>
      </c>
    </row>
    <row r="1174" spans="1:8" x14ac:dyDescent="0.3">
      <c r="A1174" t="s">
        <v>215</v>
      </c>
      <c r="B1174" t="s">
        <v>13</v>
      </c>
      <c r="C1174">
        <v>162.27562</v>
      </c>
      <c r="D1174">
        <v>164.12208999999999</v>
      </c>
      <c r="E1174">
        <v>157.60274999999999</v>
      </c>
      <c r="F1174">
        <v>163.95043999999999</v>
      </c>
      <c r="G1174">
        <v>6533486768</v>
      </c>
      <c r="H1174" t="s">
        <v>14</v>
      </c>
    </row>
    <row r="1175" spans="1:8" x14ac:dyDescent="0.3">
      <c r="A1175" t="s">
        <v>215</v>
      </c>
      <c r="B1175" t="s">
        <v>15</v>
      </c>
      <c r="C1175">
        <v>2.9548800000000002</v>
      </c>
      <c r="D1175">
        <v>2.9574699999999998</v>
      </c>
      <c r="E1175">
        <v>2.8085</v>
      </c>
      <c r="F1175">
        <v>2.9189500000000002</v>
      </c>
      <c r="G1175">
        <v>8879749638</v>
      </c>
      <c r="H1175" t="s">
        <v>16</v>
      </c>
    </row>
    <row r="1176" spans="1:8" x14ac:dyDescent="0.3">
      <c r="A1176" t="s">
        <v>215</v>
      </c>
      <c r="B1176" t="s">
        <v>17</v>
      </c>
      <c r="C1176">
        <v>3013.2934599999999</v>
      </c>
      <c r="D1176">
        <v>3142.4272500000002</v>
      </c>
      <c r="E1176">
        <v>2934.3713400000001</v>
      </c>
      <c r="F1176">
        <v>3139.8896500000001</v>
      </c>
      <c r="G1176">
        <v>39013656112</v>
      </c>
      <c r="H1176" t="s">
        <v>18</v>
      </c>
    </row>
    <row r="1177" spans="1:8" x14ac:dyDescent="0.3">
      <c r="A1177" t="s">
        <v>215</v>
      </c>
      <c r="B1177" t="s">
        <v>19</v>
      </c>
      <c r="C1177">
        <v>689.41674999999998</v>
      </c>
      <c r="D1177">
        <v>692.94317999999998</v>
      </c>
      <c r="E1177">
        <v>675.87671</v>
      </c>
      <c r="F1177">
        <v>689.92114000000004</v>
      </c>
      <c r="G1177">
        <v>2167202399</v>
      </c>
      <c r="H1177" t="s">
        <v>20</v>
      </c>
    </row>
    <row r="1178" spans="1:8" x14ac:dyDescent="0.3">
      <c r="A1178" t="s">
        <v>216</v>
      </c>
      <c r="B1178" t="s">
        <v>9</v>
      </c>
      <c r="C1178">
        <v>0.74682000000000004</v>
      </c>
      <c r="D1178">
        <v>0.78356000000000003</v>
      </c>
      <c r="E1178">
        <v>0.73407</v>
      </c>
      <c r="F1178">
        <v>0.76454999999999995</v>
      </c>
      <c r="G1178">
        <v>1535471266</v>
      </c>
      <c r="H1178" t="s">
        <v>10</v>
      </c>
    </row>
    <row r="1179" spans="1:8" x14ac:dyDescent="0.3">
      <c r="A1179" t="s">
        <v>216</v>
      </c>
      <c r="B1179" t="s">
        <v>11</v>
      </c>
      <c r="C1179">
        <v>117777.1875</v>
      </c>
      <c r="D1179">
        <v>120065.5156</v>
      </c>
      <c r="E1179">
        <v>117064.82030000001</v>
      </c>
      <c r="F1179">
        <v>118738.50780000001</v>
      </c>
      <c r="G1179">
        <v>72162029070</v>
      </c>
      <c r="H1179" t="s">
        <v>12</v>
      </c>
    </row>
    <row r="1180" spans="1:8" x14ac:dyDescent="0.3">
      <c r="A1180" t="s">
        <v>216</v>
      </c>
      <c r="B1180" t="s">
        <v>13</v>
      </c>
      <c r="C1180">
        <v>163.95043999999999</v>
      </c>
      <c r="D1180">
        <v>175.83580000000001</v>
      </c>
      <c r="E1180">
        <v>161.69141999999999</v>
      </c>
      <c r="F1180">
        <v>173.70848000000001</v>
      </c>
      <c r="G1180">
        <v>8415349750</v>
      </c>
      <c r="H1180" t="s">
        <v>14</v>
      </c>
    </row>
    <row r="1181" spans="1:8" x14ac:dyDescent="0.3">
      <c r="A1181" t="s">
        <v>216</v>
      </c>
      <c r="B1181" t="s">
        <v>15</v>
      </c>
      <c r="C1181">
        <v>2.9189500000000002</v>
      </c>
      <c r="D1181">
        <v>3.09707</v>
      </c>
      <c r="E1181">
        <v>2.8827099999999999</v>
      </c>
      <c r="F1181">
        <v>3.0413999999999999</v>
      </c>
      <c r="G1181">
        <v>8884765458</v>
      </c>
      <c r="H1181" t="s">
        <v>16</v>
      </c>
    </row>
    <row r="1182" spans="1:8" x14ac:dyDescent="0.3">
      <c r="A1182" t="s">
        <v>216</v>
      </c>
      <c r="B1182" t="s">
        <v>17</v>
      </c>
      <c r="C1182">
        <v>3139.8896500000001</v>
      </c>
      <c r="D1182">
        <v>3422.6030300000002</v>
      </c>
      <c r="E1182">
        <v>3102.4777800000002</v>
      </c>
      <c r="F1182">
        <v>3371.50684</v>
      </c>
      <c r="G1182">
        <v>46771354461</v>
      </c>
      <c r="H1182" t="s">
        <v>18</v>
      </c>
    </row>
    <row r="1183" spans="1:8" x14ac:dyDescent="0.3">
      <c r="A1183" t="s">
        <v>216</v>
      </c>
      <c r="B1183" t="s">
        <v>19</v>
      </c>
      <c r="C1183">
        <v>689.92114000000004</v>
      </c>
      <c r="D1183">
        <v>714.79088999999999</v>
      </c>
      <c r="E1183">
        <v>685.67615000000001</v>
      </c>
      <c r="F1183">
        <v>708.12609999999995</v>
      </c>
      <c r="G1183">
        <v>2298649454</v>
      </c>
      <c r="H1183" t="s">
        <v>20</v>
      </c>
    </row>
    <row r="1184" spans="1:8" x14ac:dyDescent="0.3">
      <c r="A1184" t="s">
        <v>217</v>
      </c>
      <c r="B1184" t="s">
        <v>9</v>
      </c>
      <c r="C1184">
        <v>0.76454999999999995</v>
      </c>
      <c r="D1184">
        <v>0.83716000000000002</v>
      </c>
      <c r="E1184">
        <v>0.74280000000000002</v>
      </c>
      <c r="F1184">
        <v>0.82379000000000002</v>
      </c>
      <c r="G1184">
        <v>2647535949</v>
      </c>
      <c r="H1184" t="s">
        <v>10</v>
      </c>
    </row>
    <row r="1185" spans="1:8" x14ac:dyDescent="0.3">
      <c r="A1185" t="s">
        <v>217</v>
      </c>
      <c r="B1185" t="s">
        <v>11</v>
      </c>
      <c r="C1185">
        <v>118738.50780000001</v>
      </c>
      <c r="D1185">
        <v>120999.6094</v>
      </c>
      <c r="E1185">
        <v>117508.2188</v>
      </c>
      <c r="F1185">
        <v>119289.8438</v>
      </c>
      <c r="G1185">
        <v>72363841798</v>
      </c>
      <c r="H1185" t="s">
        <v>12</v>
      </c>
    </row>
    <row r="1186" spans="1:8" x14ac:dyDescent="0.3">
      <c r="A1186" t="s">
        <v>217</v>
      </c>
      <c r="B1186" t="s">
        <v>13</v>
      </c>
      <c r="C1186">
        <v>173.70848000000001</v>
      </c>
      <c r="D1186">
        <v>178.06844000000001</v>
      </c>
      <c r="E1186">
        <v>169.03152</v>
      </c>
      <c r="F1186">
        <v>175.79304999999999</v>
      </c>
      <c r="G1186">
        <v>7913250794</v>
      </c>
      <c r="H1186" t="s">
        <v>14</v>
      </c>
    </row>
    <row r="1187" spans="1:8" x14ac:dyDescent="0.3">
      <c r="A1187" t="s">
        <v>217</v>
      </c>
      <c r="B1187" t="s">
        <v>15</v>
      </c>
      <c r="C1187">
        <v>3.0413800000000002</v>
      </c>
      <c r="D1187">
        <v>3.5406</v>
      </c>
      <c r="E1187">
        <v>3.0058400000000001</v>
      </c>
      <c r="F1187">
        <v>3.4951300000000001</v>
      </c>
      <c r="G1187">
        <v>19109831396</v>
      </c>
      <c r="H1187" t="s">
        <v>16</v>
      </c>
    </row>
    <row r="1188" spans="1:8" x14ac:dyDescent="0.3">
      <c r="A1188" t="s">
        <v>217</v>
      </c>
      <c r="B1188" t="s">
        <v>17</v>
      </c>
      <c r="C1188">
        <v>3371.50684</v>
      </c>
      <c r="D1188">
        <v>3521.6853000000001</v>
      </c>
      <c r="E1188">
        <v>3315.9990200000002</v>
      </c>
      <c r="F1188">
        <v>3476.78442</v>
      </c>
      <c r="G1188">
        <v>47532846793</v>
      </c>
      <c r="H1188" t="s">
        <v>18</v>
      </c>
    </row>
    <row r="1189" spans="1:8" x14ac:dyDescent="0.3">
      <c r="A1189" t="s">
        <v>217</v>
      </c>
      <c r="B1189" t="s">
        <v>19</v>
      </c>
      <c r="C1189">
        <v>708.12609999999995</v>
      </c>
      <c r="D1189">
        <v>726.66063999999994</v>
      </c>
      <c r="E1189">
        <v>707.88977</v>
      </c>
      <c r="F1189">
        <v>721.21198000000004</v>
      </c>
      <c r="G1189">
        <v>2877681453</v>
      </c>
      <c r="H1189" t="s">
        <v>20</v>
      </c>
    </row>
    <row r="1190" spans="1:8" x14ac:dyDescent="0.3">
      <c r="A1190" t="s">
        <v>218</v>
      </c>
      <c r="B1190" t="s">
        <v>9</v>
      </c>
      <c r="C1190">
        <v>0.82371000000000005</v>
      </c>
      <c r="D1190">
        <v>0.89217000000000002</v>
      </c>
      <c r="E1190">
        <v>0.80076999999999998</v>
      </c>
      <c r="F1190">
        <v>0.81586000000000003</v>
      </c>
      <c r="G1190">
        <v>3058416972</v>
      </c>
      <c r="H1190" t="s">
        <v>10</v>
      </c>
    </row>
    <row r="1191" spans="1:8" x14ac:dyDescent="0.3">
      <c r="A1191" t="s">
        <v>218</v>
      </c>
      <c r="B1191" t="s">
        <v>11</v>
      </c>
      <c r="C1191">
        <v>119284.1094</v>
      </c>
      <c r="D1191">
        <v>120851.91409999999</v>
      </c>
      <c r="E1191">
        <v>116925.9844</v>
      </c>
      <c r="F1191">
        <v>118003.22659999999</v>
      </c>
      <c r="G1191">
        <v>77945799785</v>
      </c>
      <c r="H1191" t="s">
        <v>12</v>
      </c>
    </row>
    <row r="1192" spans="1:8" x14ac:dyDescent="0.3">
      <c r="A1192" t="s">
        <v>218</v>
      </c>
      <c r="B1192" t="s">
        <v>13</v>
      </c>
      <c r="C1192">
        <v>175.79193000000001</v>
      </c>
      <c r="D1192">
        <v>184.369</v>
      </c>
      <c r="E1192">
        <v>173.91469000000001</v>
      </c>
      <c r="F1192">
        <v>177.38197</v>
      </c>
      <c r="G1192">
        <v>8439352014</v>
      </c>
      <c r="H1192" t="s">
        <v>14</v>
      </c>
    </row>
    <row r="1193" spans="1:8" x14ac:dyDescent="0.3">
      <c r="A1193" t="s">
        <v>218</v>
      </c>
      <c r="B1193" t="s">
        <v>15</v>
      </c>
      <c r="C1193">
        <v>3.49492</v>
      </c>
      <c r="D1193">
        <v>3.65021</v>
      </c>
      <c r="E1193">
        <v>3.3606199999999999</v>
      </c>
      <c r="F1193">
        <v>3.4182100000000002</v>
      </c>
      <c r="G1193">
        <v>18226483531</v>
      </c>
      <c r="H1193" t="s">
        <v>16</v>
      </c>
    </row>
    <row r="1194" spans="1:8" x14ac:dyDescent="0.3">
      <c r="A1194" t="s">
        <v>218</v>
      </c>
      <c r="B1194" t="s">
        <v>17</v>
      </c>
      <c r="C1194">
        <v>3476.1240200000002</v>
      </c>
      <c r="D1194">
        <v>3674.8552300000001</v>
      </c>
      <c r="E1194">
        <v>3463.3862300000001</v>
      </c>
      <c r="F1194">
        <v>3549.0163600000001</v>
      </c>
      <c r="G1194">
        <v>59198465810</v>
      </c>
      <c r="H1194" t="s">
        <v>18</v>
      </c>
    </row>
    <row r="1195" spans="1:8" x14ac:dyDescent="0.3">
      <c r="A1195" t="s">
        <v>218</v>
      </c>
      <c r="B1195" t="s">
        <v>19</v>
      </c>
      <c r="C1195">
        <v>721.21198000000004</v>
      </c>
      <c r="D1195">
        <v>763.05480999999997</v>
      </c>
      <c r="E1195">
        <v>720.23559999999998</v>
      </c>
      <c r="F1195">
        <v>730.21636999999998</v>
      </c>
      <c r="G1195">
        <v>3407382999</v>
      </c>
      <c r="H1195" t="s">
        <v>20</v>
      </c>
    </row>
    <row r="1196" spans="1:8" x14ac:dyDescent="0.3">
      <c r="A1196" t="s">
        <v>219</v>
      </c>
      <c r="B1196" t="s">
        <v>9</v>
      </c>
      <c r="C1196">
        <v>0.81586000000000003</v>
      </c>
      <c r="D1196">
        <v>0.83545999999999998</v>
      </c>
      <c r="E1196">
        <v>0.80569000000000002</v>
      </c>
      <c r="F1196">
        <v>0.83033999999999997</v>
      </c>
      <c r="G1196">
        <v>1047545712</v>
      </c>
      <c r="H1196" t="s">
        <v>10</v>
      </c>
    </row>
    <row r="1197" spans="1:8" x14ac:dyDescent="0.3">
      <c r="A1197" t="s">
        <v>219</v>
      </c>
      <c r="B1197" t="s">
        <v>11</v>
      </c>
      <c r="C1197">
        <v>117998.125</v>
      </c>
      <c r="D1197">
        <v>118541.39840000001</v>
      </c>
      <c r="E1197">
        <v>117388.41409999999</v>
      </c>
      <c r="F1197">
        <v>117939.97659999999</v>
      </c>
      <c r="G1197">
        <v>47564562765</v>
      </c>
      <c r="H1197" t="s">
        <v>12</v>
      </c>
    </row>
    <row r="1198" spans="1:8" x14ac:dyDescent="0.3">
      <c r="A1198" t="s">
        <v>219</v>
      </c>
      <c r="B1198" t="s">
        <v>13</v>
      </c>
      <c r="C1198">
        <v>177.38191</v>
      </c>
      <c r="D1198">
        <v>178.36938000000001</v>
      </c>
      <c r="E1198">
        <v>174.31314</v>
      </c>
      <c r="F1198">
        <v>177.07013000000001</v>
      </c>
      <c r="G1198">
        <v>4074891432</v>
      </c>
      <c r="H1198" t="s">
        <v>14</v>
      </c>
    </row>
    <row r="1199" spans="1:8" x14ac:dyDescent="0.3">
      <c r="A1199" t="s">
        <v>219</v>
      </c>
      <c r="B1199" t="s">
        <v>15</v>
      </c>
      <c r="C1199">
        <v>3.4181599999999999</v>
      </c>
      <c r="D1199">
        <v>3.4801099999999998</v>
      </c>
      <c r="E1199">
        <v>3.3617599999999999</v>
      </c>
      <c r="F1199">
        <v>3.4294099999999998</v>
      </c>
      <c r="G1199">
        <v>6728548741</v>
      </c>
      <c r="H1199" t="s">
        <v>16</v>
      </c>
    </row>
    <row r="1200" spans="1:8" x14ac:dyDescent="0.3">
      <c r="A1200" t="s">
        <v>219</v>
      </c>
      <c r="B1200" t="s">
        <v>17</v>
      </c>
      <c r="C1200">
        <v>3548.9260300000001</v>
      </c>
      <c r="D1200">
        <v>3608.2756399999998</v>
      </c>
      <c r="E1200">
        <v>3512.9731499999998</v>
      </c>
      <c r="F1200">
        <v>3595.2736799999998</v>
      </c>
      <c r="G1200">
        <v>26031719746</v>
      </c>
      <c r="H1200" t="s">
        <v>18</v>
      </c>
    </row>
    <row r="1201" spans="1:8" x14ac:dyDescent="0.3">
      <c r="A1201" t="s">
        <v>219</v>
      </c>
      <c r="B1201" t="s">
        <v>19</v>
      </c>
      <c r="C1201">
        <v>730.26080000000002</v>
      </c>
      <c r="D1201">
        <v>742.33178999999996</v>
      </c>
      <c r="E1201">
        <v>721.08704</v>
      </c>
      <c r="F1201">
        <v>733.52904999999998</v>
      </c>
      <c r="G1201">
        <v>2067691091</v>
      </c>
      <c r="H1201" t="s">
        <v>20</v>
      </c>
    </row>
    <row r="1202" spans="1:8" x14ac:dyDescent="0.3">
      <c r="A1202" t="s">
        <v>220</v>
      </c>
      <c r="B1202" t="s">
        <v>9</v>
      </c>
      <c r="C1202">
        <v>0.83033000000000001</v>
      </c>
      <c r="D1202">
        <v>0.87580000000000002</v>
      </c>
      <c r="E1202">
        <v>0.82452999999999999</v>
      </c>
      <c r="F1202">
        <v>0.85873999999999995</v>
      </c>
      <c r="G1202">
        <v>1751415542</v>
      </c>
      <c r="H1202" t="s">
        <v>10</v>
      </c>
    </row>
    <row r="1203" spans="1:8" x14ac:dyDescent="0.3">
      <c r="A1203" t="s">
        <v>220</v>
      </c>
      <c r="B1203" t="s">
        <v>11</v>
      </c>
      <c r="C1203">
        <v>117944.1094</v>
      </c>
      <c r="D1203">
        <v>118865.0313</v>
      </c>
      <c r="E1203">
        <v>116550.13280000001</v>
      </c>
      <c r="F1203">
        <v>117300.78909999999</v>
      </c>
      <c r="G1203">
        <v>57515447231</v>
      </c>
      <c r="H1203" t="s">
        <v>12</v>
      </c>
    </row>
    <row r="1204" spans="1:8" x14ac:dyDescent="0.3">
      <c r="A1204" t="s">
        <v>220</v>
      </c>
      <c r="B1204" t="s">
        <v>13</v>
      </c>
      <c r="C1204">
        <v>177.07050000000001</v>
      </c>
      <c r="D1204">
        <v>183.31976</v>
      </c>
      <c r="E1204">
        <v>176.52831</v>
      </c>
      <c r="F1204">
        <v>181.54604</v>
      </c>
      <c r="G1204">
        <v>6503778374</v>
      </c>
      <c r="H1204" t="s">
        <v>14</v>
      </c>
    </row>
    <row r="1205" spans="1:8" x14ac:dyDescent="0.3">
      <c r="A1205" t="s">
        <v>220</v>
      </c>
      <c r="B1205" t="s">
        <v>15</v>
      </c>
      <c r="C1205">
        <v>3.4293800000000001</v>
      </c>
      <c r="D1205">
        <v>3.55443</v>
      </c>
      <c r="E1205">
        <v>3.3909899999999999</v>
      </c>
      <c r="F1205">
        <v>3.45953</v>
      </c>
      <c r="G1205">
        <v>8763366578</v>
      </c>
      <c r="H1205" t="s">
        <v>16</v>
      </c>
    </row>
    <row r="1206" spans="1:8" x14ac:dyDescent="0.3">
      <c r="A1206" t="s">
        <v>220</v>
      </c>
      <c r="B1206" t="s">
        <v>17</v>
      </c>
      <c r="C1206">
        <v>3595.2404799999999</v>
      </c>
      <c r="D1206">
        <v>3819.3986799999998</v>
      </c>
      <c r="E1206">
        <v>3582.3496100000002</v>
      </c>
      <c r="F1206">
        <v>3759.4714399999998</v>
      </c>
      <c r="G1206">
        <v>44600451066</v>
      </c>
      <c r="H1206" t="s">
        <v>18</v>
      </c>
    </row>
    <row r="1207" spans="1:8" x14ac:dyDescent="0.3">
      <c r="A1207" t="s">
        <v>220</v>
      </c>
      <c r="B1207" t="s">
        <v>19</v>
      </c>
      <c r="C1207">
        <v>733.52904999999998</v>
      </c>
      <c r="D1207">
        <v>760.44048999999995</v>
      </c>
      <c r="E1207">
        <v>732.34484999999995</v>
      </c>
      <c r="F1207">
        <v>757.73992999999996</v>
      </c>
      <c r="G1207">
        <v>2353254456</v>
      </c>
      <c r="H1207" t="s">
        <v>20</v>
      </c>
    </row>
    <row r="1208" spans="1:8" x14ac:dyDescent="0.3">
      <c r="A1208" t="s">
        <v>221</v>
      </c>
      <c r="B1208" t="s">
        <v>9</v>
      </c>
      <c r="C1208">
        <v>0.85873999999999995</v>
      </c>
      <c r="D1208">
        <v>0.92966000000000004</v>
      </c>
      <c r="E1208">
        <v>0.84414999999999996</v>
      </c>
      <c r="F1208">
        <v>0.89043000000000005</v>
      </c>
      <c r="G1208">
        <v>2494414873</v>
      </c>
      <c r="H1208" t="s">
        <v>10</v>
      </c>
    </row>
    <row r="1209" spans="1:8" x14ac:dyDescent="0.3">
      <c r="A1209" t="s">
        <v>221</v>
      </c>
      <c r="B1209" t="s">
        <v>11</v>
      </c>
      <c r="C1209">
        <v>117306.4688</v>
      </c>
      <c r="D1209">
        <v>119671.5625</v>
      </c>
      <c r="E1209">
        <v>116584.39840000001</v>
      </c>
      <c r="F1209">
        <v>117439.53909999999</v>
      </c>
      <c r="G1209">
        <v>69820091744</v>
      </c>
      <c r="H1209" t="s">
        <v>12</v>
      </c>
    </row>
    <row r="1210" spans="1:8" x14ac:dyDescent="0.3">
      <c r="A1210" t="s">
        <v>221</v>
      </c>
      <c r="B1210" t="s">
        <v>13</v>
      </c>
      <c r="C1210">
        <v>181.54526000000001</v>
      </c>
      <c r="D1210">
        <v>198.91556</v>
      </c>
      <c r="E1210">
        <v>178.56218999999999</v>
      </c>
      <c r="F1210">
        <v>195.99426</v>
      </c>
      <c r="G1210">
        <v>11211509986</v>
      </c>
      <c r="H1210" t="s">
        <v>14</v>
      </c>
    </row>
    <row r="1211" spans="1:8" x14ac:dyDescent="0.3">
      <c r="A1211" t="s">
        <v>221</v>
      </c>
      <c r="B1211" t="s">
        <v>15</v>
      </c>
      <c r="C1211">
        <v>3.4595400000000001</v>
      </c>
      <c r="D1211">
        <v>3.6424099999999999</v>
      </c>
      <c r="E1211">
        <v>3.4161600000000001</v>
      </c>
      <c r="F1211">
        <v>3.5557599999999998</v>
      </c>
      <c r="G1211">
        <v>9514968528</v>
      </c>
      <c r="H1211" t="s">
        <v>16</v>
      </c>
    </row>
    <row r="1212" spans="1:8" x14ac:dyDescent="0.3">
      <c r="A1212" t="s">
        <v>221</v>
      </c>
      <c r="B1212" t="s">
        <v>17</v>
      </c>
      <c r="C1212">
        <v>3758.92065</v>
      </c>
      <c r="D1212">
        <v>3856.7670899999998</v>
      </c>
      <c r="E1212">
        <v>3705.35376</v>
      </c>
      <c r="F1212">
        <v>3763.3713400000001</v>
      </c>
      <c r="G1212">
        <v>42611467663</v>
      </c>
      <c r="H1212" t="s">
        <v>18</v>
      </c>
    </row>
    <row r="1213" spans="1:8" x14ac:dyDescent="0.3">
      <c r="A1213" t="s">
        <v>221</v>
      </c>
      <c r="B1213" t="s">
        <v>19</v>
      </c>
      <c r="C1213">
        <v>757.73992999999996</v>
      </c>
      <c r="D1213">
        <v>780.96538999999996</v>
      </c>
      <c r="E1213">
        <v>747.55706999999995</v>
      </c>
      <c r="F1213">
        <v>766.78394000000003</v>
      </c>
      <c r="G1213">
        <v>2776231461</v>
      </c>
      <c r="H1213" t="s">
        <v>20</v>
      </c>
    </row>
    <row r="1214" spans="1:8" x14ac:dyDescent="0.3">
      <c r="A1214" t="s">
        <v>222</v>
      </c>
      <c r="B1214" t="s">
        <v>9</v>
      </c>
      <c r="C1214">
        <v>0.89041000000000003</v>
      </c>
      <c r="D1214">
        <v>0.90700999999999998</v>
      </c>
      <c r="E1214">
        <v>0.85492000000000001</v>
      </c>
      <c r="F1214">
        <v>0.90293999999999996</v>
      </c>
      <c r="G1214">
        <v>2097520070</v>
      </c>
      <c r="H1214" t="s">
        <v>10</v>
      </c>
    </row>
    <row r="1215" spans="1:8" x14ac:dyDescent="0.3">
      <c r="A1215" t="s">
        <v>222</v>
      </c>
      <c r="B1215" t="s">
        <v>11</v>
      </c>
      <c r="C1215">
        <v>117426.5</v>
      </c>
      <c r="D1215">
        <v>120269.9688</v>
      </c>
      <c r="E1215">
        <v>116233.22659999999</v>
      </c>
      <c r="F1215">
        <v>119995.41409999999</v>
      </c>
      <c r="G1215">
        <v>79217583118</v>
      </c>
      <c r="H1215" t="s">
        <v>12</v>
      </c>
    </row>
    <row r="1216" spans="1:8" x14ac:dyDescent="0.3">
      <c r="A1216" t="s">
        <v>222</v>
      </c>
      <c r="B1216" t="s">
        <v>13</v>
      </c>
      <c r="C1216">
        <v>195.9879</v>
      </c>
      <c r="D1216">
        <v>205.87147999999999</v>
      </c>
      <c r="E1216">
        <v>194.28229999999999</v>
      </c>
      <c r="F1216">
        <v>205.70054999999999</v>
      </c>
      <c r="G1216">
        <v>14508715185</v>
      </c>
      <c r="H1216" t="s">
        <v>14</v>
      </c>
    </row>
    <row r="1217" spans="1:8" x14ac:dyDescent="0.3">
      <c r="A1217" t="s">
        <v>222</v>
      </c>
      <c r="B1217" t="s">
        <v>15</v>
      </c>
      <c r="C1217">
        <v>3.5556399999999999</v>
      </c>
      <c r="D1217">
        <v>3.57694</v>
      </c>
      <c r="E1217">
        <v>3.4308399999999999</v>
      </c>
      <c r="F1217">
        <v>3.5516800000000002</v>
      </c>
      <c r="G1217">
        <v>8927291368</v>
      </c>
      <c r="H1217" t="s">
        <v>16</v>
      </c>
    </row>
    <row r="1218" spans="1:8" x14ac:dyDescent="0.3">
      <c r="A1218" t="s">
        <v>222</v>
      </c>
      <c r="B1218" t="s">
        <v>17</v>
      </c>
      <c r="C1218">
        <v>3762.8820799999999</v>
      </c>
      <c r="D1218">
        <v>3798.10034</v>
      </c>
      <c r="E1218">
        <v>3624.1403799999998</v>
      </c>
      <c r="F1218">
        <v>3749.1455099999998</v>
      </c>
      <c r="G1218">
        <v>45248868820</v>
      </c>
      <c r="H1218" t="s">
        <v>18</v>
      </c>
    </row>
    <row r="1219" spans="1:8" x14ac:dyDescent="0.3">
      <c r="A1219" t="s">
        <v>222</v>
      </c>
      <c r="B1219" t="s">
        <v>19</v>
      </c>
      <c r="C1219">
        <v>766.78394000000003</v>
      </c>
      <c r="D1219">
        <v>787.24823000000004</v>
      </c>
      <c r="E1219">
        <v>746.10883000000001</v>
      </c>
      <c r="F1219">
        <v>786.14116999999999</v>
      </c>
      <c r="G1219">
        <v>3009453883</v>
      </c>
      <c r="H1219" t="s">
        <v>20</v>
      </c>
    </row>
    <row r="1220" spans="1:8" x14ac:dyDescent="0.3">
      <c r="A1220" t="s">
        <v>223</v>
      </c>
      <c r="B1220" t="s">
        <v>9</v>
      </c>
      <c r="C1220">
        <v>0.90295000000000003</v>
      </c>
      <c r="D1220">
        <v>0.90346000000000004</v>
      </c>
      <c r="E1220">
        <v>0.79335</v>
      </c>
      <c r="F1220">
        <v>0.81623000000000001</v>
      </c>
      <c r="G1220">
        <v>1971435839</v>
      </c>
      <c r="H1220" t="s">
        <v>10</v>
      </c>
    </row>
    <row r="1221" spans="1:8" x14ac:dyDescent="0.3">
      <c r="A1221" t="s">
        <v>223</v>
      </c>
      <c r="B1221" t="s">
        <v>11</v>
      </c>
      <c r="C1221">
        <v>119997.44530000001</v>
      </c>
      <c r="D1221">
        <v>120113.35159999999</v>
      </c>
      <c r="E1221">
        <v>117391.3906</v>
      </c>
      <c r="F1221">
        <v>118754.96090000001</v>
      </c>
      <c r="G1221">
        <v>66608604537</v>
      </c>
      <c r="H1221" t="s">
        <v>12</v>
      </c>
    </row>
    <row r="1222" spans="1:8" x14ac:dyDescent="0.3">
      <c r="A1222" t="s">
        <v>223</v>
      </c>
      <c r="B1222" t="s">
        <v>13</v>
      </c>
      <c r="C1222">
        <v>205.71124</v>
      </c>
      <c r="D1222">
        <v>205.75609</v>
      </c>
      <c r="E1222">
        <v>184.32736</v>
      </c>
      <c r="F1222">
        <v>189.54293999999999</v>
      </c>
      <c r="G1222">
        <v>10671351702</v>
      </c>
      <c r="H1222" t="s">
        <v>14</v>
      </c>
    </row>
    <row r="1223" spans="1:8" x14ac:dyDescent="0.3">
      <c r="A1223" t="s">
        <v>223</v>
      </c>
      <c r="B1223" t="s">
        <v>15</v>
      </c>
      <c r="C1223">
        <v>3.5516700000000001</v>
      </c>
      <c r="D1223">
        <v>3.5521500000000001</v>
      </c>
      <c r="E1223">
        <v>3.06995</v>
      </c>
      <c r="F1223">
        <v>3.18493</v>
      </c>
      <c r="G1223">
        <v>13463451823</v>
      </c>
      <c r="H1223" t="s">
        <v>16</v>
      </c>
    </row>
    <row r="1224" spans="1:8" x14ac:dyDescent="0.3">
      <c r="A1224" t="s">
        <v>223</v>
      </c>
      <c r="B1224" t="s">
        <v>17</v>
      </c>
      <c r="C1224">
        <v>3749.2385300000001</v>
      </c>
      <c r="D1224">
        <v>3765.02637</v>
      </c>
      <c r="E1224">
        <v>3532.8564500000002</v>
      </c>
      <c r="F1224">
        <v>3629.70361</v>
      </c>
      <c r="G1224">
        <v>41283228953</v>
      </c>
      <c r="H1224" t="s">
        <v>18</v>
      </c>
    </row>
    <row r="1225" spans="1:8" x14ac:dyDescent="0.3">
      <c r="A1225" t="s">
        <v>223</v>
      </c>
      <c r="B1225" t="s">
        <v>19</v>
      </c>
      <c r="C1225">
        <v>786.14116999999999</v>
      </c>
      <c r="D1225">
        <v>809.31359999999995</v>
      </c>
      <c r="E1225">
        <v>753.77886999999998</v>
      </c>
      <c r="F1225">
        <v>776.64044000000001</v>
      </c>
      <c r="G1225">
        <v>3987433985</v>
      </c>
      <c r="H1225" t="s">
        <v>20</v>
      </c>
    </row>
    <row r="1226" spans="1:8" x14ac:dyDescent="0.3">
      <c r="A1226" t="s">
        <v>224</v>
      </c>
      <c r="B1226" t="s">
        <v>9</v>
      </c>
      <c r="C1226">
        <v>0.81623000000000001</v>
      </c>
      <c r="D1226">
        <v>0.83670999999999995</v>
      </c>
      <c r="E1226">
        <v>0.76566000000000001</v>
      </c>
      <c r="F1226">
        <v>0.80557999999999996</v>
      </c>
      <c r="G1226">
        <v>2091907443</v>
      </c>
      <c r="H1226" t="s">
        <v>10</v>
      </c>
    </row>
    <row r="1227" spans="1:8" x14ac:dyDescent="0.3">
      <c r="A1227" t="s">
        <v>224</v>
      </c>
      <c r="B1227" t="s">
        <v>11</v>
      </c>
      <c r="C1227">
        <v>118770.9844</v>
      </c>
      <c r="D1227">
        <v>119535.4531</v>
      </c>
      <c r="E1227">
        <v>117247.9688</v>
      </c>
      <c r="F1227">
        <v>118368</v>
      </c>
      <c r="G1227">
        <v>72627318560</v>
      </c>
      <c r="H1227" t="s">
        <v>12</v>
      </c>
    </row>
    <row r="1228" spans="1:8" x14ac:dyDescent="0.3">
      <c r="A1228" t="s">
        <v>224</v>
      </c>
      <c r="B1228" t="s">
        <v>13</v>
      </c>
      <c r="C1228">
        <v>189.53931</v>
      </c>
      <c r="D1228">
        <v>191.88336000000001</v>
      </c>
      <c r="E1228">
        <v>179.94815</v>
      </c>
      <c r="F1228">
        <v>182.60606000000001</v>
      </c>
      <c r="G1228">
        <v>8921891799</v>
      </c>
      <c r="H1228" t="s">
        <v>14</v>
      </c>
    </row>
    <row r="1229" spans="1:8" x14ac:dyDescent="0.3">
      <c r="A1229" t="s">
        <v>224</v>
      </c>
      <c r="B1229" t="s">
        <v>15</v>
      </c>
      <c r="C1229">
        <v>3.1849400000000001</v>
      </c>
      <c r="D1229">
        <v>3.26003</v>
      </c>
      <c r="E1229">
        <v>2.9854799999999999</v>
      </c>
      <c r="F1229">
        <v>3.1438899999999999</v>
      </c>
      <c r="G1229">
        <v>12401558966</v>
      </c>
      <c r="H1229" t="s">
        <v>16</v>
      </c>
    </row>
    <row r="1230" spans="1:8" x14ac:dyDescent="0.3">
      <c r="A1230" t="s">
        <v>224</v>
      </c>
      <c r="B1230" t="s">
        <v>17</v>
      </c>
      <c r="C1230">
        <v>3629.7316900000001</v>
      </c>
      <c r="D1230">
        <v>3771.38159</v>
      </c>
      <c r="E1230">
        <v>3514.9992699999998</v>
      </c>
      <c r="F1230">
        <v>3708.0056199999999</v>
      </c>
      <c r="G1230">
        <v>40377960354</v>
      </c>
      <c r="H1230" t="s">
        <v>18</v>
      </c>
    </row>
    <row r="1231" spans="1:8" x14ac:dyDescent="0.3">
      <c r="A1231" t="s">
        <v>224</v>
      </c>
      <c r="B1231" t="s">
        <v>19</v>
      </c>
      <c r="C1231">
        <v>776.67449999999997</v>
      </c>
      <c r="D1231">
        <v>785.41754000000003</v>
      </c>
      <c r="E1231">
        <v>745.39409999999998</v>
      </c>
      <c r="F1231">
        <v>771.23999000000003</v>
      </c>
      <c r="G1231">
        <v>2833667773</v>
      </c>
      <c r="H1231" t="s">
        <v>20</v>
      </c>
    </row>
    <row r="1232" spans="1:8" x14ac:dyDescent="0.3">
      <c r="A1232" t="s">
        <v>225</v>
      </c>
      <c r="B1232" t="s">
        <v>9</v>
      </c>
      <c r="C1232">
        <v>0.80557999999999996</v>
      </c>
      <c r="D1232">
        <v>0.81625000000000003</v>
      </c>
      <c r="E1232">
        <v>0.77768999999999999</v>
      </c>
      <c r="F1232">
        <v>0.81606999999999996</v>
      </c>
      <c r="G1232">
        <v>1448176900</v>
      </c>
      <c r="H1232" t="s">
        <v>10</v>
      </c>
    </row>
    <row r="1233" spans="1:8" x14ac:dyDescent="0.3">
      <c r="A1233" t="s">
        <v>225</v>
      </c>
      <c r="B1233" t="s">
        <v>11</v>
      </c>
      <c r="C1233">
        <v>118368</v>
      </c>
      <c r="D1233">
        <v>118486.97659999999</v>
      </c>
      <c r="E1233">
        <v>114759.82030000001</v>
      </c>
      <c r="F1233">
        <v>117635.88280000001</v>
      </c>
      <c r="G1233">
        <v>105000000000</v>
      </c>
      <c r="H1233" t="s">
        <v>12</v>
      </c>
    </row>
    <row r="1234" spans="1:8" x14ac:dyDescent="0.3">
      <c r="A1234" t="s">
        <v>225</v>
      </c>
      <c r="B1234" t="s">
        <v>13</v>
      </c>
      <c r="C1234">
        <v>182.60393999999999</v>
      </c>
      <c r="D1234">
        <v>186.78859</v>
      </c>
      <c r="E1234">
        <v>176.41354000000001</v>
      </c>
      <c r="F1234">
        <v>186.77966000000001</v>
      </c>
      <c r="G1234">
        <v>8613557362</v>
      </c>
      <c r="H1234" t="s">
        <v>14</v>
      </c>
    </row>
    <row r="1235" spans="1:8" x14ac:dyDescent="0.3">
      <c r="A1235" t="s">
        <v>225</v>
      </c>
      <c r="B1235" t="s">
        <v>15</v>
      </c>
      <c r="C1235">
        <v>3.1438899999999999</v>
      </c>
      <c r="D1235">
        <v>3.1508600000000002</v>
      </c>
      <c r="E1235">
        <v>3.0091100000000002</v>
      </c>
      <c r="F1235">
        <v>3.1417199999999998</v>
      </c>
      <c r="G1235">
        <v>8709196636</v>
      </c>
      <c r="H1235" t="s">
        <v>16</v>
      </c>
    </row>
    <row r="1236" spans="1:8" x14ac:dyDescent="0.3">
      <c r="A1236" t="s">
        <v>225</v>
      </c>
      <c r="B1236" t="s">
        <v>17</v>
      </c>
      <c r="C1236">
        <v>3708.0056199999999</v>
      </c>
      <c r="D1236">
        <v>3744.8200700000002</v>
      </c>
      <c r="E1236">
        <v>3579.9628899999998</v>
      </c>
      <c r="F1236">
        <v>3727.26685</v>
      </c>
      <c r="G1236">
        <v>42264509577</v>
      </c>
      <c r="H1236" t="s">
        <v>18</v>
      </c>
    </row>
    <row r="1237" spans="1:8" x14ac:dyDescent="0.3">
      <c r="A1237" t="s">
        <v>225</v>
      </c>
      <c r="B1237" t="s">
        <v>19</v>
      </c>
      <c r="C1237">
        <v>771.23999000000003</v>
      </c>
      <c r="D1237">
        <v>785.64409999999998</v>
      </c>
      <c r="E1237">
        <v>753.60619999999994</v>
      </c>
      <c r="F1237">
        <v>785.60645</v>
      </c>
      <c r="G1237">
        <v>2536046506</v>
      </c>
      <c r="H1237" t="s">
        <v>20</v>
      </c>
    </row>
    <row r="1238" spans="1:8" x14ac:dyDescent="0.3">
      <c r="A1238" t="s">
        <v>226</v>
      </c>
      <c r="B1238" t="s">
        <v>9</v>
      </c>
      <c r="C1238">
        <v>0.81605000000000005</v>
      </c>
      <c r="D1238">
        <v>0.83748</v>
      </c>
      <c r="E1238">
        <v>0.81303999999999998</v>
      </c>
      <c r="F1238">
        <v>0.81979999999999997</v>
      </c>
      <c r="G1238">
        <v>869250145</v>
      </c>
      <c r="H1238" t="s">
        <v>10</v>
      </c>
    </row>
    <row r="1239" spans="1:8" x14ac:dyDescent="0.3">
      <c r="A1239" t="s">
        <v>226</v>
      </c>
      <c r="B1239" t="s">
        <v>11</v>
      </c>
      <c r="C1239">
        <v>117644.8438</v>
      </c>
      <c r="D1239">
        <v>118335.6875</v>
      </c>
      <c r="E1239">
        <v>117181.22659999999</v>
      </c>
      <c r="F1239">
        <v>117947.36719999999</v>
      </c>
      <c r="G1239">
        <v>48508954046</v>
      </c>
      <c r="H1239" t="s">
        <v>12</v>
      </c>
    </row>
    <row r="1240" spans="1:8" x14ac:dyDescent="0.3">
      <c r="A1240" t="s">
        <v>226</v>
      </c>
      <c r="B1240" t="s">
        <v>13</v>
      </c>
      <c r="C1240">
        <v>186.77979999999999</v>
      </c>
      <c r="D1240">
        <v>189.64696000000001</v>
      </c>
      <c r="E1240">
        <v>184.53267</v>
      </c>
      <c r="F1240">
        <v>184.91388000000001</v>
      </c>
      <c r="G1240">
        <v>3756183776</v>
      </c>
      <c r="H1240" t="s">
        <v>14</v>
      </c>
    </row>
    <row r="1241" spans="1:8" x14ac:dyDescent="0.3">
      <c r="A1241" t="s">
        <v>226</v>
      </c>
      <c r="B1241" t="s">
        <v>15</v>
      </c>
      <c r="C1241">
        <v>3.14168</v>
      </c>
      <c r="D1241">
        <v>3.2137699999999998</v>
      </c>
      <c r="E1241">
        <v>3.1130200000000001</v>
      </c>
      <c r="F1241">
        <v>3.1675300000000002</v>
      </c>
      <c r="G1241">
        <v>4116974190</v>
      </c>
      <c r="H1241" t="s">
        <v>16</v>
      </c>
    </row>
    <row r="1242" spans="1:8" x14ac:dyDescent="0.3">
      <c r="A1242" t="s">
        <v>226</v>
      </c>
      <c r="B1242" t="s">
        <v>17</v>
      </c>
      <c r="C1242">
        <v>3727.23731</v>
      </c>
      <c r="D1242">
        <v>3789.7898</v>
      </c>
      <c r="E1242">
        <v>3702.7741700000001</v>
      </c>
      <c r="F1242">
        <v>3741.3960000000002</v>
      </c>
      <c r="G1242">
        <v>24635287361</v>
      </c>
      <c r="H1242" t="s">
        <v>18</v>
      </c>
    </row>
    <row r="1243" spans="1:8" x14ac:dyDescent="0.3">
      <c r="A1243" t="s">
        <v>226</v>
      </c>
      <c r="B1243" t="s">
        <v>19</v>
      </c>
      <c r="C1243">
        <v>785.60645</v>
      </c>
      <c r="D1243">
        <v>797.19672000000003</v>
      </c>
      <c r="E1243">
        <v>778.93982000000005</v>
      </c>
      <c r="F1243">
        <v>793.28259000000003</v>
      </c>
      <c r="G1243">
        <v>1760509145</v>
      </c>
      <c r="H1243" t="s">
        <v>20</v>
      </c>
    </row>
    <row r="1244" spans="1:8" x14ac:dyDescent="0.3">
      <c r="A1244" t="s">
        <v>227</v>
      </c>
      <c r="B1244" t="s">
        <v>9</v>
      </c>
      <c r="C1244">
        <v>0.81979999999999997</v>
      </c>
      <c r="D1244">
        <v>0.83816000000000002</v>
      </c>
      <c r="E1244">
        <v>0.81545999999999996</v>
      </c>
      <c r="F1244">
        <v>0.83201000000000003</v>
      </c>
      <c r="G1244">
        <v>969262242</v>
      </c>
      <c r="H1244" t="s">
        <v>10</v>
      </c>
    </row>
    <row r="1245" spans="1:8" x14ac:dyDescent="0.3">
      <c r="A1245" t="s">
        <v>227</v>
      </c>
      <c r="B1245" t="s">
        <v>11</v>
      </c>
      <c r="C1245">
        <v>117944.72659999999</v>
      </c>
      <c r="D1245">
        <v>119815.5938</v>
      </c>
      <c r="E1245">
        <v>117859.6875</v>
      </c>
      <c r="F1245">
        <v>119448.49219999999</v>
      </c>
      <c r="G1245">
        <v>54683390892</v>
      </c>
      <c r="H1245" t="s">
        <v>12</v>
      </c>
    </row>
    <row r="1246" spans="1:8" x14ac:dyDescent="0.3">
      <c r="A1246" t="s">
        <v>227</v>
      </c>
      <c r="B1246" t="s">
        <v>13</v>
      </c>
      <c r="C1246">
        <v>184.91197</v>
      </c>
      <c r="D1246">
        <v>190.44315</v>
      </c>
      <c r="E1246">
        <v>184.74012999999999</v>
      </c>
      <c r="F1246">
        <v>188.73348999999999</v>
      </c>
      <c r="G1246">
        <v>4713357652</v>
      </c>
      <c r="H1246" t="s">
        <v>14</v>
      </c>
    </row>
    <row r="1247" spans="1:8" x14ac:dyDescent="0.3">
      <c r="A1247" t="s">
        <v>227</v>
      </c>
      <c r="B1247" t="s">
        <v>15</v>
      </c>
      <c r="C1247">
        <v>3.1674199999999999</v>
      </c>
      <c r="D1247">
        <v>3.2484700000000002</v>
      </c>
      <c r="E1247">
        <v>3.1627000000000001</v>
      </c>
      <c r="F1247">
        <v>3.2412800000000002</v>
      </c>
      <c r="G1247">
        <v>5026533835</v>
      </c>
      <c r="H1247" t="s">
        <v>16</v>
      </c>
    </row>
    <row r="1248" spans="1:8" x14ac:dyDescent="0.3">
      <c r="A1248" t="s">
        <v>227</v>
      </c>
      <c r="B1248" t="s">
        <v>17</v>
      </c>
      <c r="C1248">
        <v>3741.2573200000002</v>
      </c>
      <c r="D1248">
        <v>3876.9335900000001</v>
      </c>
      <c r="E1248">
        <v>3733.6816399999998</v>
      </c>
      <c r="F1248">
        <v>3875.24658</v>
      </c>
      <c r="G1248">
        <v>28897450394</v>
      </c>
      <c r="H1248" t="s">
        <v>18</v>
      </c>
    </row>
    <row r="1249" spans="1:8" x14ac:dyDescent="0.3">
      <c r="A1249" t="s">
        <v>227</v>
      </c>
      <c r="B1249" t="s">
        <v>19</v>
      </c>
      <c r="C1249">
        <v>793.28259000000003</v>
      </c>
      <c r="D1249">
        <v>846.22107000000005</v>
      </c>
      <c r="E1249">
        <v>792.66332999999997</v>
      </c>
      <c r="F1249">
        <v>843.26196000000004</v>
      </c>
      <c r="G1249">
        <v>2914460887</v>
      </c>
      <c r="H1249" t="s">
        <v>20</v>
      </c>
    </row>
    <row r="1250" spans="1:8" x14ac:dyDescent="0.3">
      <c r="A1250" t="s">
        <v>228</v>
      </c>
      <c r="B1250" t="s">
        <v>9</v>
      </c>
      <c r="C1250">
        <v>0.83201000000000003</v>
      </c>
      <c r="D1250">
        <v>0.85399999999999998</v>
      </c>
      <c r="E1250">
        <v>0.78907000000000005</v>
      </c>
      <c r="F1250">
        <v>0.79088999999999998</v>
      </c>
      <c r="G1250">
        <v>1298724819</v>
      </c>
      <c r="H1250" t="s">
        <v>10</v>
      </c>
    </row>
    <row r="1251" spans="1:8" x14ac:dyDescent="0.3">
      <c r="A1251" t="s">
        <v>228</v>
      </c>
      <c r="B1251" t="s">
        <v>11</v>
      </c>
      <c r="C1251">
        <v>119457.52340000001</v>
      </c>
      <c r="D1251">
        <v>119819.78909999999</v>
      </c>
      <c r="E1251">
        <v>117441.4375</v>
      </c>
      <c r="F1251">
        <v>117924.47659999999</v>
      </c>
      <c r="G1251">
        <v>64822943193</v>
      </c>
      <c r="H1251" t="s">
        <v>12</v>
      </c>
    </row>
    <row r="1252" spans="1:8" x14ac:dyDescent="0.3">
      <c r="A1252" t="s">
        <v>228</v>
      </c>
      <c r="B1252" t="s">
        <v>13</v>
      </c>
      <c r="C1252">
        <v>188.7321</v>
      </c>
      <c r="D1252">
        <v>194.65801999999999</v>
      </c>
      <c r="E1252">
        <v>182.36876000000001</v>
      </c>
      <c r="F1252">
        <v>182.54156</v>
      </c>
      <c r="G1252">
        <v>7456216270</v>
      </c>
      <c r="H1252" t="s">
        <v>14</v>
      </c>
    </row>
    <row r="1253" spans="1:8" x14ac:dyDescent="0.3">
      <c r="A1253" t="s">
        <v>228</v>
      </c>
      <c r="B1253" t="s">
        <v>15</v>
      </c>
      <c r="C1253">
        <v>3.24125</v>
      </c>
      <c r="D1253">
        <v>3.32436</v>
      </c>
      <c r="E1253">
        <v>3.1140599999999998</v>
      </c>
      <c r="F1253">
        <v>3.1158399999999999</v>
      </c>
      <c r="G1253">
        <v>8060553540</v>
      </c>
      <c r="H1253" t="s">
        <v>16</v>
      </c>
    </row>
    <row r="1254" spans="1:8" x14ac:dyDescent="0.3">
      <c r="A1254" t="s">
        <v>228</v>
      </c>
      <c r="B1254" t="s">
        <v>17</v>
      </c>
      <c r="C1254">
        <v>3875.2558600000002</v>
      </c>
      <c r="D1254">
        <v>3940.6520999999998</v>
      </c>
      <c r="E1254">
        <v>3756.5158700000002</v>
      </c>
      <c r="F1254">
        <v>3787.42578</v>
      </c>
      <c r="G1254">
        <v>35831336149</v>
      </c>
      <c r="H1254" t="s">
        <v>18</v>
      </c>
    </row>
    <row r="1255" spans="1:8" x14ac:dyDescent="0.3">
      <c r="A1255" t="s">
        <v>228</v>
      </c>
      <c r="B1255" t="s">
        <v>19</v>
      </c>
      <c r="C1255">
        <v>843.26196000000004</v>
      </c>
      <c r="D1255">
        <v>859.56286999999998</v>
      </c>
      <c r="E1255">
        <v>821.68158000000005</v>
      </c>
      <c r="F1255">
        <v>822.01855</v>
      </c>
      <c r="G1255">
        <v>3448410233</v>
      </c>
      <c r="H1255" t="s">
        <v>20</v>
      </c>
    </row>
    <row r="1256" spans="1:8" x14ac:dyDescent="0.3">
      <c r="A1256" t="s">
        <v>229</v>
      </c>
      <c r="B1256" t="s">
        <v>9</v>
      </c>
      <c r="C1256">
        <v>0.79088000000000003</v>
      </c>
      <c r="D1256">
        <v>0.80894999999999995</v>
      </c>
      <c r="E1256">
        <v>0.77151000000000003</v>
      </c>
      <c r="F1256">
        <v>0.78247</v>
      </c>
      <c r="G1256">
        <v>986793262</v>
      </c>
      <c r="H1256" t="s">
        <v>10</v>
      </c>
    </row>
    <row r="1257" spans="1:8" x14ac:dyDescent="0.3">
      <c r="A1257" t="s">
        <v>229</v>
      </c>
      <c r="B1257" t="s">
        <v>11</v>
      </c>
      <c r="C1257">
        <v>117938.58590000001</v>
      </c>
      <c r="D1257">
        <v>119273.86719999999</v>
      </c>
      <c r="E1257">
        <v>116987.36719999999</v>
      </c>
      <c r="F1257">
        <v>117922.14840000001</v>
      </c>
      <c r="G1257">
        <v>68463107433</v>
      </c>
      <c r="H1257" t="s">
        <v>12</v>
      </c>
    </row>
    <row r="1258" spans="1:8" x14ac:dyDescent="0.3">
      <c r="A1258" t="s">
        <v>229</v>
      </c>
      <c r="B1258" t="s">
        <v>13</v>
      </c>
      <c r="C1258">
        <v>182.55849000000001</v>
      </c>
      <c r="D1258">
        <v>186.48845</v>
      </c>
      <c r="E1258">
        <v>178.57059000000001</v>
      </c>
      <c r="F1258">
        <v>181.33530999999999</v>
      </c>
      <c r="G1258">
        <v>5430304723</v>
      </c>
      <c r="H1258" t="s">
        <v>14</v>
      </c>
    </row>
    <row r="1259" spans="1:8" x14ac:dyDescent="0.3">
      <c r="A1259" t="s">
        <v>229</v>
      </c>
      <c r="B1259" t="s">
        <v>15</v>
      </c>
      <c r="C1259">
        <v>3.1158999999999999</v>
      </c>
      <c r="D1259">
        <v>3.1827999999999999</v>
      </c>
      <c r="E1259">
        <v>3.0611100000000002</v>
      </c>
      <c r="F1259">
        <v>3.1284299999999998</v>
      </c>
      <c r="G1259">
        <v>6224568345</v>
      </c>
      <c r="H1259" t="s">
        <v>16</v>
      </c>
    </row>
    <row r="1260" spans="1:8" x14ac:dyDescent="0.3">
      <c r="A1260" t="s">
        <v>229</v>
      </c>
      <c r="B1260" t="s">
        <v>17</v>
      </c>
      <c r="C1260">
        <v>3788.3195799999999</v>
      </c>
      <c r="D1260">
        <v>3883.9978000000001</v>
      </c>
      <c r="E1260">
        <v>3716.8833</v>
      </c>
      <c r="F1260">
        <v>3793.4548300000001</v>
      </c>
      <c r="G1260">
        <v>35540435995</v>
      </c>
      <c r="H1260" t="s">
        <v>18</v>
      </c>
    </row>
    <row r="1261" spans="1:8" x14ac:dyDescent="0.3">
      <c r="A1261" t="s">
        <v>229</v>
      </c>
      <c r="B1261" t="s">
        <v>19</v>
      </c>
      <c r="C1261">
        <v>822.07916</v>
      </c>
      <c r="D1261">
        <v>834.46142999999995</v>
      </c>
      <c r="E1261">
        <v>800.64282000000003</v>
      </c>
      <c r="F1261">
        <v>804.89892999999995</v>
      </c>
      <c r="G1261">
        <v>3097306022</v>
      </c>
      <c r="H1261" t="s">
        <v>20</v>
      </c>
    </row>
    <row r="1262" spans="1:8" x14ac:dyDescent="0.3">
      <c r="A1262" t="s">
        <v>230</v>
      </c>
      <c r="B1262" t="s">
        <v>9</v>
      </c>
      <c r="C1262">
        <v>0.78247</v>
      </c>
      <c r="D1262">
        <v>0.78832000000000002</v>
      </c>
      <c r="E1262">
        <v>0.74261999999999995</v>
      </c>
      <c r="F1262">
        <v>0.76344000000000001</v>
      </c>
      <c r="G1262">
        <v>1181054301</v>
      </c>
      <c r="H1262" t="s">
        <v>10</v>
      </c>
    </row>
    <row r="1263" spans="1:8" x14ac:dyDescent="0.3">
      <c r="A1263" t="s">
        <v>230</v>
      </c>
      <c r="B1263" t="s">
        <v>11</v>
      </c>
      <c r="C1263">
        <v>117921.99219999999</v>
      </c>
      <c r="D1263">
        <v>118780.72659999999</v>
      </c>
      <c r="E1263">
        <v>115800.8281</v>
      </c>
      <c r="F1263">
        <v>117831.1875</v>
      </c>
      <c r="G1263">
        <v>68896148592</v>
      </c>
      <c r="H1263" t="s">
        <v>12</v>
      </c>
    </row>
    <row r="1264" spans="1:8" x14ac:dyDescent="0.3">
      <c r="A1264" t="s">
        <v>230</v>
      </c>
      <c r="B1264" t="s">
        <v>13</v>
      </c>
      <c r="C1264">
        <v>181.33530999999999</v>
      </c>
      <c r="D1264">
        <v>182.37952000000001</v>
      </c>
      <c r="E1264">
        <v>172.34227000000001</v>
      </c>
      <c r="F1264">
        <v>177.69401999999999</v>
      </c>
      <c r="G1264">
        <v>6074764559</v>
      </c>
      <c r="H1264" t="s">
        <v>14</v>
      </c>
    </row>
    <row r="1265" spans="1:8" x14ac:dyDescent="0.3">
      <c r="A1265" t="s">
        <v>230</v>
      </c>
      <c r="B1265" t="s">
        <v>15</v>
      </c>
      <c r="C1265">
        <v>3.1284299999999998</v>
      </c>
      <c r="D1265">
        <v>3.15761</v>
      </c>
      <c r="E1265">
        <v>3.0166499999999998</v>
      </c>
      <c r="F1265">
        <v>3.0983800000000001</v>
      </c>
      <c r="G1265">
        <v>6525487340</v>
      </c>
      <c r="H1265" t="s">
        <v>16</v>
      </c>
    </row>
    <row r="1266" spans="1:8" x14ac:dyDescent="0.3">
      <c r="A1266" t="s">
        <v>230</v>
      </c>
      <c r="B1266" t="s">
        <v>17</v>
      </c>
      <c r="C1266">
        <v>3793.5825199999999</v>
      </c>
      <c r="D1266">
        <v>3832.8840300000002</v>
      </c>
      <c r="E1266">
        <v>3683.14453</v>
      </c>
      <c r="F1266">
        <v>3808.2016600000002</v>
      </c>
      <c r="G1266">
        <v>34392494235</v>
      </c>
      <c r="H1266" t="s">
        <v>18</v>
      </c>
    </row>
    <row r="1267" spans="1:8" x14ac:dyDescent="0.3">
      <c r="A1267" t="s">
        <v>230</v>
      </c>
      <c r="B1267" t="s">
        <v>19</v>
      </c>
      <c r="C1267">
        <v>804.89892999999995</v>
      </c>
      <c r="D1267">
        <v>810.44195999999999</v>
      </c>
      <c r="E1267">
        <v>771.18127000000004</v>
      </c>
      <c r="F1267">
        <v>793.14484000000004</v>
      </c>
      <c r="G1267">
        <v>2836541071</v>
      </c>
      <c r="H1267" t="s">
        <v>20</v>
      </c>
    </row>
    <row r="1268" spans="1:8" x14ac:dyDescent="0.3">
      <c r="A1268" t="s">
        <v>231</v>
      </c>
      <c r="B1268" t="s">
        <v>9</v>
      </c>
      <c r="C1268">
        <v>0.76341999999999999</v>
      </c>
      <c r="D1268">
        <v>0.78769</v>
      </c>
      <c r="E1268">
        <v>0.73824000000000001</v>
      </c>
      <c r="F1268">
        <v>0.74006000000000005</v>
      </c>
      <c r="G1268">
        <v>977040210</v>
      </c>
      <c r="H1268" t="s">
        <v>10</v>
      </c>
    </row>
    <row r="1269" spans="1:8" x14ac:dyDescent="0.3">
      <c r="A1269" t="s">
        <v>231</v>
      </c>
      <c r="B1269" t="s">
        <v>11</v>
      </c>
      <c r="C1269">
        <v>117833.63280000001</v>
      </c>
      <c r="D1269">
        <v>118919.9844</v>
      </c>
      <c r="E1269">
        <v>115505.2188</v>
      </c>
      <c r="F1269">
        <v>115758.2031</v>
      </c>
      <c r="G1269">
        <v>69370346018</v>
      </c>
      <c r="H1269" t="s">
        <v>12</v>
      </c>
    </row>
    <row r="1270" spans="1:8" x14ac:dyDescent="0.3">
      <c r="A1270" t="s">
        <v>231</v>
      </c>
      <c r="B1270" t="s">
        <v>13</v>
      </c>
      <c r="C1270">
        <v>177.69379000000001</v>
      </c>
      <c r="D1270">
        <v>182.48248000000001</v>
      </c>
      <c r="E1270">
        <v>171.8528</v>
      </c>
      <c r="F1270">
        <v>172.42435</v>
      </c>
      <c r="G1270">
        <v>5443530167</v>
      </c>
      <c r="H1270" t="s">
        <v>14</v>
      </c>
    </row>
    <row r="1271" spans="1:8" x14ac:dyDescent="0.3">
      <c r="A1271" t="s">
        <v>231</v>
      </c>
      <c r="B1271" t="s">
        <v>15</v>
      </c>
      <c r="C1271">
        <v>3.0982799999999999</v>
      </c>
      <c r="D1271">
        <v>3.17381</v>
      </c>
      <c r="E1271">
        <v>3.0180600000000002</v>
      </c>
      <c r="F1271">
        <v>3.0251700000000001</v>
      </c>
      <c r="G1271">
        <v>5429993622</v>
      </c>
      <c r="H1271" t="s">
        <v>16</v>
      </c>
    </row>
    <row r="1272" spans="1:8" x14ac:dyDescent="0.3">
      <c r="A1272" t="s">
        <v>231</v>
      </c>
      <c r="B1272" t="s">
        <v>17</v>
      </c>
      <c r="C1272">
        <v>3808.2460900000001</v>
      </c>
      <c r="D1272">
        <v>3877.4702200000002</v>
      </c>
      <c r="E1272">
        <v>3685.0041500000002</v>
      </c>
      <c r="F1272">
        <v>3696.7077599999998</v>
      </c>
      <c r="G1272">
        <v>32839839444</v>
      </c>
      <c r="H1272" t="s">
        <v>18</v>
      </c>
    </row>
    <row r="1273" spans="1:8" x14ac:dyDescent="0.3">
      <c r="A1273" t="s">
        <v>231</v>
      </c>
      <c r="B1273" t="s">
        <v>19</v>
      </c>
      <c r="C1273">
        <v>793.14484000000004</v>
      </c>
      <c r="D1273">
        <v>813.00891000000001</v>
      </c>
      <c r="E1273">
        <v>782.82587000000001</v>
      </c>
      <c r="F1273">
        <v>783.66681000000005</v>
      </c>
      <c r="G1273">
        <v>2581137230</v>
      </c>
      <c r="H1273" t="s">
        <v>20</v>
      </c>
    </row>
    <row r="1274" spans="1:8" x14ac:dyDescent="0.3">
      <c r="A1274" t="s">
        <v>232</v>
      </c>
      <c r="B1274" t="s">
        <v>9</v>
      </c>
      <c r="C1274">
        <v>0.74006000000000005</v>
      </c>
      <c r="D1274">
        <v>0.74006000000000005</v>
      </c>
      <c r="E1274">
        <v>0.70086000000000004</v>
      </c>
      <c r="F1274">
        <v>0.71567000000000003</v>
      </c>
      <c r="G1274">
        <v>1471507567</v>
      </c>
      <c r="H1274" t="s">
        <v>10</v>
      </c>
    </row>
    <row r="1275" spans="1:8" x14ac:dyDescent="0.3">
      <c r="A1275" t="s">
        <v>232</v>
      </c>
      <c r="B1275" t="s">
        <v>11</v>
      </c>
      <c r="C1275">
        <v>115738.9531</v>
      </c>
      <c r="D1275">
        <v>116060.77340000001</v>
      </c>
      <c r="E1275">
        <v>112724.44530000001</v>
      </c>
      <c r="F1275">
        <v>113320.08590000001</v>
      </c>
      <c r="G1275">
        <v>91294530181</v>
      </c>
      <c r="H1275" t="s">
        <v>12</v>
      </c>
    </row>
    <row r="1276" spans="1:8" x14ac:dyDescent="0.3">
      <c r="A1276" t="s">
        <v>232</v>
      </c>
      <c r="B1276" t="s">
        <v>13</v>
      </c>
      <c r="C1276">
        <v>172.41711000000001</v>
      </c>
      <c r="D1276">
        <v>172.41711000000001</v>
      </c>
      <c r="E1276">
        <v>159.78856999999999</v>
      </c>
      <c r="F1276">
        <v>162.87709000000001</v>
      </c>
      <c r="G1276">
        <v>8200357157</v>
      </c>
      <c r="H1276" t="s">
        <v>14</v>
      </c>
    </row>
    <row r="1277" spans="1:8" x14ac:dyDescent="0.3">
      <c r="A1277" t="s">
        <v>232</v>
      </c>
      <c r="B1277" t="s">
        <v>15</v>
      </c>
      <c r="C1277">
        <v>3.0251100000000002</v>
      </c>
      <c r="D1277">
        <v>3.0518800000000001</v>
      </c>
      <c r="E1277">
        <v>2.9082599999999998</v>
      </c>
      <c r="F1277">
        <v>2.9645999999999999</v>
      </c>
      <c r="G1277">
        <v>9496832986</v>
      </c>
      <c r="H1277" t="s">
        <v>16</v>
      </c>
    </row>
    <row r="1278" spans="1:8" x14ac:dyDescent="0.3">
      <c r="A1278" t="s">
        <v>232</v>
      </c>
      <c r="B1278" t="s">
        <v>17</v>
      </c>
      <c r="C1278">
        <v>3696.1442900000002</v>
      </c>
      <c r="D1278">
        <v>3722.5856899999999</v>
      </c>
      <c r="E1278">
        <v>3432.37988</v>
      </c>
      <c r="F1278">
        <v>3488.3659699999998</v>
      </c>
      <c r="G1278">
        <v>46261558200</v>
      </c>
      <c r="H1278" t="s">
        <v>18</v>
      </c>
    </row>
    <row r="1279" spans="1:8" x14ac:dyDescent="0.3">
      <c r="A1279" t="s">
        <v>232</v>
      </c>
      <c r="B1279" t="s">
        <v>19</v>
      </c>
      <c r="C1279">
        <v>783.66467</v>
      </c>
      <c r="D1279">
        <v>794.89954</v>
      </c>
      <c r="E1279">
        <v>746.34533999999996</v>
      </c>
      <c r="F1279">
        <v>757.18658000000005</v>
      </c>
      <c r="G1279">
        <v>3061372565</v>
      </c>
      <c r="H1279" t="s">
        <v>20</v>
      </c>
    </row>
    <row r="1280" spans="1:8" x14ac:dyDescent="0.3">
      <c r="A1280" t="s">
        <v>233</v>
      </c>
      <c r="B1280" t="s">
        <v>9</v>
      </c>
      <c r="C1280">
        <v>0.71562999999999999</v>
      </c>
      <c r="D1280">
        <v>0.72685</v>
      </c>
      <c r="E1280">
        <v>0.68652000000000002</v>
      </c>
      <c r="F1280">
        <v>0.69767000000000001</v>
      </c>
      <c r="G1280">
        <v>921584134</v>
      </c>
      <c r="H1280" t="s">
        <v>10</v>
      </c>
    </row>
    <row r="1281" spans="1:8" x14ac:dyDescent="0.3">
      <c r="A1281" t="s">
        <v>233</v>
      </c>
      <c r="B1281" t="s">
        <v>11</v>
      </c>
      <c r="C1281">
        <v>113320.3906</v>
      </c>
      <c r="D1281">
        <v>114021.60159999999</v>
      </c>
      <c r="E1281">
        <v>112005.7656</v>
      </c>
      <c r="F1281">
        <v>112526.91409999999</v>
      </c>
      <c r="G1281">
        <v>56870866000</v>
      </c>
      <c r="H1281" t="s">
        <v>12</v>
      </c>
    </row>
    <row r="1282" spans="1:8" x14ac:dyDescent="0.3">
      <c r="A1282" t="s">
        <v>233</v>
      </c>
      <c r="B1282" t="s">
        <v>13</v>
      </c>
      <c r="C1282">
        <v>162.87709000000001</v>
      </c>
      <c r="D1282">
        <v>165.10701</v>
      </c>
      <c r="E1282">
        <v>156.08435</v>
      </c>
      <c r="F1282">
        <v>158.48302000000001</v>
      </c>
      <c r="G1282">
        <v>4455060056</v>
      </c>
      <c r="H1282" t="s">
        <v>14</v>
      </c>
    </row>
    <row r="1283" spans="1:8" x14ac:dyDescent="0.3">
      <c r="A1283" t="s">
        <v>233</v>
      </c>
      <c r="B1283" t="s">
        <v>15</v>
      </c>
      <c r="C1283">
        <v>2.96448</v>
      </c>
      <c r="D1283">
        <v>3.0177700000000001</v>
      </c>
      <c r="E1283">
        <v>2.7470699999999999</v>
      </c>
      <c r="F1283">
        <v>2.7663700000000002</v>
      </c>
      <c r="G1283">
        <v>6806946397</v>
      </c>
      <c r="H1283" t="s">
        <v>16</v>
      </c>
    </row>
    <row r="1284" spans="1:8" x14ac:dyDescent="0.3">
      <c r="A1284" t="s">
        <v>233</v>
      </c>
      <c r="B1284" t="s">
        <v>17</v>
      </c>
      <c r="C1284">
        <v>3487.9567900000002</v>
      </c>
      <c r="D1284">
        <v>3535.5588400000001</v>
      </c>
      <c r="E1284">
        <v>3370.9431199999999</v>
      </c>
      <c r="F1284">
        <v>3392.7412100000001</v>
      </c>
      <c r="G1284">
        <v>30165065282</v>
      </c>
      <c r="H1284" t="s">
        <v>18</v>
      </c>
    </row>
    <row r="1285" spans="1:8" x14ac:dyDescent="0.3">
      <c r="A1285" t="s">
        <v>233</v>
      </c>
      <c r="B1285" t="s">
        <v>19</v>
      </c>
      <c r="C1285">
        <v>757.22125000000005</v>
      </c>
      <c r="D1285">
        <v>769.56104000000005</v>
      </c>
      <c r="E1285">
        <v>732.53174000000001</v>
      </c>
      <c r="F1285">
        <v>736.64642000000003</v>
      </c>
      <c r="G1285">
        <v>2181365266</v>
      </c>
      <c r="H1285" t="s">
        <v>20</v>
      </c>
    </row>
    <row r="1286" spans="1:8" x14ac:dyDescent="0.3">
      <c r="A1286" t="s">
        <v>234</v>
      </c>
      <c r="B1286" t="s">
        <v>9</v>
      </c>
      <c r="C1286">
        <v>0.69767000000000001</v>
      </c>
      <c r="D1286">
        <v>0.72902</v>
      </c>
      <c r="E1286">
        <v>0.69103999999999999</v>
      </c>
      <c r="F1286">
        <v>0.72697999999999996</v>
      </c>
      <c r="G1286">
        <v>757511852</v>
      </c>
      <c r="H1286" t="s">
        <v>10</v>
      </c>
    </row>
    <row r="1287" spans="1:8" x14ac:dyDescent="0.3">
      <c r="A1287" t="s">
        <v>234</v>
      </c>
      <c r="B1287" t="s">
        <v>11</v>
      </c>
      <c r="C1287">
        <v>112525.80469999999</v>
      </c>
      <c r="D1287">
        <v>114747.4219</v>
      </c>
      <c r="E1287">
        <v>111943.80469999999</v>
      </c>
      <c r="F1287">
        <v>114217.6719</v>
      </c>
      <c r="G1287">
        <v>48099615826</v>
      </c>
      <c r="H1287" t="s">
        <v>12</v>
      </c>
    </row>
    <row r="1288" spans="1:8" x14ac:dyDescent="0.3">
      <c r="A1288" t="s">
        <v>234</v>
      </c>
      <c r="B1288" t="s">
        <v>13</v>
      </c>
      <c r="C1288">
        <v>158.48340999999999</v>
      </c>
      <c r="D1288">
        <v>162.82405</v>
      </c>
      <c r="E1288">
        <v>156.87166999999999</v>
      </c>
      <c r="F1288">
        <v>161.95497</v>
      </c>
      <c r="G1288">
        <v>3702562222</v>
      </c>
      <c r="H1288" t="s">
        <v>14</v>
      </c>
    </row>
    <row r="1289" spans="1:8" x14ac:dyDescent="0.3">
      <c r="A1289" t="s">
        <v>234</v>
      </c>
      <c r="B1289" t="s">
        <v>15</v>
      </c>
      <c r="C1289">
        <v>2.7664300000000002</v>
      </c>
      <c r="D1289">
        <v>2.95838</v>
      </c>
      <c r="E1289">
        <v>2.7463799999999998</v>
      </c>
      <c r="F1289">
        <v>2.9495399999999998</v>
      </c>
      <c r="G1289">
        <v>5493336229</v>
      </c>
      <c r="H1289" t="s">
        <v>16</v>
      </c>
    </row>
    <row r="1290" spans="1:8" x14ac:dyDescent="0.3">
      <c r="A1290" t="s">
        <v>234</v>
      </c>
      <c r="B1290" t="s">
        <v>17</v>
      </c>
      <c r="C1290">
        <v>3392.7443899999998</v>
      </c>
      <c r="D1290">
        <v>3520.8312999999998</v>
      </c>
      <c r="E1290">
        <v>3357.9389700000002</v>
      </c>
      <c r="F1290">
        <v>3497.3791500000002</v>
      </c>
      <c r="G1290">
        <v>19363593865</v>
      </c>
      <c r="H1290" t="s">
        <v>18</v>
      </c>
    </row>
    <row r="1291" spans="1:8" x14ac:dyDescent="0.3">
      <c r="A1291" t="s">
        <v>234</v>
      </c>
      <c r="B1291" t="s">
        <v>19</v>
      </c>
      <c r="C1291">
        <v>736.64642000000003</v>
      </c>
      <c r="D1291">
        <v>755.12505999999996</v>
      </c>
      <c r="E1291">
        <v>732.38849000000005</v>
      </c>
      <c r="F1291">
        <v>751.56097</v>
      </c>
      <c r="G1291">
        <v>1761506433</v>
      </c>
      <c r="H1291" t="s">
        <v>20</v>
      </c>
    </row>
    <row r="1292" spans="1:8" x14ac:dyDescent="0.3">
      <c r="A1292" t="s">
        <v>235</v>
      </c>
      <c r="B1292" t="s">
        <v>9</v>
      </c>
      <c r="C1292">
        <v>0.72697999999999996</v>
      </c>
      <c r="D1292">
        <v>0.75851000000000002</v>
      </c>
      <c r="E1292">
        <v>0.72591000000000006</v>
      </c>
      <c r="F1292">
        <v>0.75480999999999998</v>
      </c>
      <c r="G1292">
        <v>893498948</v>
      </c>
      <c r="H1292" t="s">
        <v>10</v>
      </c>
    </row>
    <row r="1293" spans="1:8" x14ac:dyDescent="0.3">
      <c r="A1293" t="s">
        <v>235</v>
      </c>
      <c r="B1293" t="s">
        <v>11</v>
      </c>
      <c r="C1293">
        <v>114223.9219</v>
      </c>
      <c r="D1293">
        <v>115729.4688</v>
      </c>
      <c r="E1293">
        <v>114130.4063</v>
      </c>
      <c r="F1293">
        <v>115071.88280000001</v>
      </c>
      <c r="G1293">
        <v>35783028986</v>
      </c>
      <c r="H1293" t="s">
        <v>12</v>
      </c>
    </row>
    <row r="1294" spans="1:8" x14ac:dyDescent="0.3">
      <c r="A1294" t="s">
        <v>235</v>
      </c>
      <c r="B1294" t="s">
        <v>13</v>
      </c>
      <c r="C1294">
        <v>161.96297000000001</v>
      </c>
      <c r="D1294">
        <v>169.71172999999999</v>
      </c>
      <c r="E1294">
        <v>161.43700000000001</v>
      </c>
      <c r="F1294">
        <v>169.42569</v>
      </c>
      <c r="G1294">
        <v>4977909460</v>
      </c>
      <c r="H1294" t="s">
        <v>14</v>
      </c>
    </row>
    <row r="1295" spans="1:8" x14ac:dyDescent="0.3">
      <c r="A1295" t="s">
        <v>235</v>
      </c>
      <c r="B1295" t="s">
        <v>15</v>
      </c>
      <c r="C1295">
        <v>2.9495499999999999</v>
      </c>
      <c r="D1295">
        <v>3.0885899999999999</v>
      </c>
      <c r="E1295">
        <v>2.9358900000000001</v>
      </c>
      <c r="F1295">
        <v>3.07281</v>
      </c>
      <c r="G1295">
        <v>6105465016</v>
      </c>
      <c r="H1295" t="s">
        <v>16</v>
      </c>
    </row>
    <row r="1296" spans="1:8" x14ac:dyDescent="0.3">
      <c r="A1296" t="s">
        <v>235</v>
      </c>
      <c r="B1296" t="s">
        <v>17</v>
      </c>
      <c r="C1296">
        <v>3497.6130400000002</v>
      </c>
      <c r="D1296">
        <v>3734.9775399999999</v>
      </c>
      <c r="E1296">
        <v>3491.5549299999998</v>
      </c>
      <c r="F1296">
        <v>3718.9860800000001</v>
      </c>
      <c r="G1296">
        <v>30905749658</v>
      </c>
      <c r="H1296" t="s">
        <v>18</v>
      </c>
    </row>
    <row r="1297" spans="1:8" x14ac:dyDescent="0.3">
      <c r="A1297" t="s">
        <v>235</v>
      </c>
      <c r="B1297" t="s">
        <v>19</v>
      </c>
      <c r="C1297">
        <v>751.55980999999997</v>
      </c>
      <c r="D1297">
        <v>769.55853000000002</v>
      </c>
      <c r="E1297">
        <v>750.83771000000002</v>
      </c>
      <c r="F1297">
        <v>769.05907999999999</v>
      </c>
      <c r="G1297">
        <v>1940596416</v>
      </c>
      <c r="H1297" t="s">
        <v>20</v>
      </c>
    </row>
    <row r="1298" spans="1:8" x14ac:dyDescent="0.3">
      <c r="A1298" t="s">
        <v>236</v>
      </c>
      <c r="B1298" t="s">
        <v>9</v>
      </c>
      <c r="C1298">
        <v>0.75480999999999998</v>
      </c>
      <c r="D1298">
        <v>0.75931000000000004</v>
      </c>
      <c r="E1298">
        <v>0.71523000000000003</v>
      </c>
      <c r="F1298">
        <v>0.72604000000000002</v>
      </c>
      <c r="G1298">
        <v>945408782</v>
      </c>
      <c r="H1298" t="s">
        <v>10</v>
      </c>
    </row>
    <row r="1299" spans="1:8" x14ac:dyDescent="0.3">
      <c r="A1299" t="s">
        <v>236</v>
      </c>
      <c r="B1299" t="s">
        <v>11</v>
      </c>
      <c r="C1299">
        <v>115072.1875</v>
      </c>
      <c r="D1299">
        <v>115117.4375</v>
      </c>
      <c r="E1299">
        <v>112701.1094</v>
      </c>
      <c r="F1299">
        <v>114141.44530000001</v>
      </c>
      <c r="G1299">
        <v>61039182286</v>
      </c>
      <c r="H1299" t="s">
        <v>12</v>
      </c>
    </row>
    <row r="1300" spans="1:8" x14ac:dyDescent="0.3">
      <c r="A1300" t="s">
        <v>236</v>
      </c>
      <c r="B1300" t="s">
        <v>13</v>
      </c>
      <c r="C1300">
        <v>169.42778000000001</v>
      </c>
      <c r="D1300">
        <v>171.56014999999999</v>
      </c>
      <c r="E1300">
        <v>161.64089999999999</v>
      </c>
      <c r="F1300">
        <v>164.09644</v>
      </c>
      <c r="G1300">
        <v>4979304041</v>
      </c>
      <c r="H1300" t="s">
        <v>14</v>
      </c>
    </row>
    <row r="1301" spans="1:8" x14ac:dyDescent="0.3">
      <c r="A1301" t="s">
        <v>236</v>
      </c>
      <c r="B1301" t="s">
        <v>15</v>
      </c>
      <c r="C1301">
        <v>3.0728</v>
      </c>
      <c r="D1301">
        <v>3.10338</v>
      </c>
      <c r="E1301">
        <v>2.9238900000000001</v>
      </c>
      <c r="F1301">
        <v>2.9637500000000001</v>
      </c>
      <c r="G1301">
        <v>5761767874</v>
      </c>
      <c r="H1301" t="s">
        <v>16</v>
      </c>
    </row>
    <row r="1302" spans="1:8" x14ac:dyDescent="0.3">
      <c r="A1302" t="s">
        <v>236</v>
      </c>
      <c r="B1302" t="s">
        <v>17</v>
      </c>
      <c r="C1302">
        <v>3719.8178699999999</v>
      </c>
      <c r="D1302">
        <v>3720.6564899999998</v>
      </c>
      <c r="E1302">
        <v>3547.6210900000001</v>
      </c>
      <c r="F1302">
        <v>3611.89941</v>
      </c>
      <c r="G1302">
        <v>32778742296</v>
      </c>
      <c r="H1302" t="s">
        <v>18</v>
      </c>
    </row>
    <row r="1303" spans="1:8" x14ac:dyDescent="0.3">
      <c r="A1303" t="s">
        <v>236</v>
      </c>
      <c r="B1303" t="s">
        <v>19</v>
      </c>
      <c r="C1303">
        <v>769.05829000000006</v>
      </c>
      <c r="D1303">
        <v>769.16339000000005</v>
      </c>
      <c r="E1303">
        <v>746.69519000000003</v>
      </c>
      <c r="F1303">
        <v>754.85100999999997</v>
      </c>
      <c r="G1303">
        <v>1951120762</v>
      </c>
      <c r="H1303" t="s">
        <v>20</v>
      </c>
    </row>
    <row r="1304" spans="1:8" x14ac:dyDescent="0.3">
      <c r="A1304" t="s">
        <v>237</v>
      </c>
      <c r="B1304" t="s">
        <v>9</v>
      </c>
      <c r="C1304">
        <v>0.72604000000000002</v>
      </c>
      <c r="D1304">
        <v>0.74729999999999996</v>
      </c>
      <c r="E1304">
        <v>0.71143000000000001</v>
      </c>
      <c r="F1304">
        <v>0.74178999999999995</v>
      </c>
      <c r="G1304">
        <v>740545524</v>
      </c>
      <c r="H1304" t="s">
        <v>10</v>
      </c>
    </row>
    <row r="1305" spans="1:8" x14ac:dyDescent="0.3">
      <c r="A1305" t="s">
        <v>237</v>
      </c>
      <c r="B1305" t="s">
        <v>11</v>
      </c>
      <c r="C1305">
        <v>114140.91409999999</v>
      </c>
      <c r="D1305">
        <v>115737.83590000001</v>
      </c>
      <c r="E1305">
        <v>113372.25</v>
      </c>
      <c r="F1305">
        <v>115028</v>
      </c>
      <c r="G1305">
        <v>56379133510</v>
      </c>
      <c r="H1305" t="s">
        <v>12</v>
      </c>
    </row>
    <row r="1306" spans="1:8" x14ac:dyDescent="0.3">
      <c r="A1306" t="s">
        <v>237</v>
      </c>
      <c r="B1306" t="s">
        <v>13</v>
      </c>
      <c r="C1306">
        <v>164.09857</v>
      </c>
      <c r="D1306">
        <v>169.86183</v>
      </c>
      <c r="E1306">
        <v>161.40118000000001</v>
      </c>
      <c r="F1306">
        <v>168.17573999999999</v>
      </c>
      <c r="G1306">
        <v>3851544154</v>
      </c>
      <c r="H1306" t="s">
        <v>14</v>
      </c>
    </row>
    <row r="1307" spans="1:8" x14ac:dyDescent="0.3">
      <c r="A1307" t="s">
        <v>237</v>
      </c>
      <c r="B1307" t="s">
        <v>15</v>
      </c>
      <c r="C1307">
        <v>2.9637500000000001</v>
      </c>
      <c r="D1307">
        <v>3.0172599999999998</v>
      </c>
      <c r="E1307">
        <v>2.90639</v>
      </c>
      <c r="F1307">
        <v>2.9918900000000002</v>
      </c>
      <c r="G1307">
        <v>4694230831</v>
      </c>
      <c r="H1307" t="s">
        <v>16</v>
      </c>
    </row>
    <row r="1308" spans="1:8" x14ac:dyDescent="0.3">
      <c r="A1308" t="s">
        <v>237</v>
      </c>
      <c r="B1308" t="s">
        <v>17</v>
      </c>
      <c r="C1308">
        <v>3612.0388200000002</v>
      </c>
      <c r="D1308">
        <v>3698.1247600000002</v>
      </c>
      <c r="E1308">
        <v>3567.0959499999999</v>
      </c>
      <c r="F1308">
        <v>3683.92065</v>
      </c>
      <c r="G1308">
        <v>26924415763</v>
      </c>
      <c r="H1308" t="s">
        <v>18</v>
      </c>
    </row>
    <row r="1309" spans="1:8" x14ac:dyDescent="0.3">
      <c r="A1309" t="s">
        <v>237</v>
      </c>
      <c r="B1309" t="s">
        <v>19</v>
      </c>
      <c r="C1309">
        <v>754.85100999999997</v>
      </c>
      <c r="D1309">
        <v>774.80286000000001</v>
      </c>
      <c r="E1309">
        <v>747.72637999999995</v>
      </c>
      <c r="F1309">
        <v>769.84784000000002</v>
      </c>
      <c r="G1309">
        <v>1969112524</v>
      </c>
      <c r="H1309" t="s">
        <v>20</v>
      </c>
    </row>
    <row r="1310" spans="1:8" x14ac:dyDescent="0.3">
      <c r="A1310" t="s">
        <v>238</v>
      </c>
      <c r="B1310" t="s">
        <v>9</v>
      </c>
      <c r="C1310">
        <v>0.74178999999999995</v>
      </c>
      <c r="D1310">
        <v>0.78744000000000003</v>
      </c>
      <c r="E1310">
        <v>0.73492000000000002</v>
      </c>
      <c r="F1310">
        <v>0.78639999999999999</v>
      </c>
      <c r="G1310">
        <v>1066141350</v>
      </c>
      <c r="H1310" t="s">
        <v>10</v>
      </c>
    </row>
    <row r="1311" spans="1:8" x14ac:dyDescent="0.3">
      <c r="A1311" t="s">
        <v>238</v>
      </c>
      <c r="B1311" t="s">
        <v>11</v>
      </c>
      <c r="C1311">
        <v>115030.05469999999</v>
      </c>
      <c r="D1311">
        <v>117676.9063</v>
      </c>
      <c r="E1311">
        <v>114279.71090000001</v>
      </c>
      <c r="F1311">
        <v>117496.89840000001</v>
      </c>
      <c r="G1311">
        <v>64051649681</v>
      </c>
      <c r="H1311" t="s">
        <v>12</v>
      </c>
    </row>
    <row r="1312" spans="1:8" x14ac:dyDescent="0.3">
      <c r="A1312" t="s">
        <v>238</v>
      </c>
      <c r="B1312" t="s">
        <v>13</v>
      </c>
      <c r="C1312">
        <v>168.17543000000001</v>
      </c>
      <c r="D1312">
        <v>175.48871</v>
      </c>
      <c r="E1312">
        <v>166.89455000000001</v>
      </c>
      <c r="F1312">
        <v>175.48543000000001</v>
      </c>
      <c r="G1312">
        <v>5177005321</v>
      </c>
      <c r="H1312" t="s">
        <v>14</v>
      </c>
    </row>
    <row r="1313" spans="1:8" x14ac:dyDescent="0.3">
      <c r="A1313" t="s">
        <v>238</v>
      </c>
      <c r="B1313" t="s">
        <v>15</v>
      </c>
      <c r="C1313">
        <v>2.9918900000000002</v>
      </c>
      <c r="D1313">
        <v>3.3296000000000001</v>
      </c>
      <c r="E1313">
        <v>2.96834</v>
      </c>
      <c r="F1313">
        <v>3.3182100000000001</v>
      </c>
      <c r="G1313">
        <v>8073584245</v>
      </c>
      <c r="H1313" t="s">
        <v>16</v>
      </c>
    </row>
    <row r="1314" spans="1:8" x14ac:dyDescent="0.3">
      <c r="A1314" t="s">
        <v>238</v>
      </c>
      <c r="B1314" t="s">
        <v>17</v>
      </c>
      <c r="C1314">
        <v>3684.0620100000001</v>
      </c>
      <c r="D1314">
        <v>3926.20435</v>
      </c>
      <c r="E1314">
        <v>3650.3659699999998</v>
      </c>
      <c r="F1314">
        <v>3914.32593</v>
      </c>
      <c r="G1314">
        <v>38627826066</v>
      </c>
      <c r="H1314" t="s">
        <v>18</v>
      </c>
    </row>
    <row r="1315" spans="1:8" x14ac:dyDescent="0.3">
      <c r="A1315" t="s">
        <v>238</v>
      </c>
      <c r="B1315" t="s">
        <v>19</v>
      </c>
      <c r="C1315">
        <v>769.84784000000002</v>
      </c>
      <c r="D1315">
        <v>788.19635000000005</v>
      </c>
      <c r="E1315">
        <v>765.34307999999999</v>
      </c>
      <c r="F1315">
        <v>788.19635000000005</v>
      </c>
      <c r="G1315">
        <v>2162190917</v>
      </c>
      <c r="H1315" t="s">
        <v>20</v>
      </c>
    </row>
    <row r="1316" spans="1:8" x14ac:dyDescent="0.3">
      <c r="A1316" t="s">
        <v>239</v>
      </c>
      <c r="B1316" t="s">
        <v>9</v>
      </c>
      <c r="C1316">
        <v>0.78641000000000005</v>
      </c>
      <c r="D1316">
        <v>0.80442999999999998</v>
      </c>
      <c r="E1316">
        <v>0.77798</v>
      </c>
      <c r="F1316">
        <v>0.79117999999999999</v>
      </c>
      <c r="G1316">
        <v>1342179780</v>
      </c>
      <c r="H1316" t="s">
        <v>10</v>
      </c>
    </row>
    <row r="1317" spans="1:8" x14ac:dyDescent="0.3">
      <c r="A1317" t="s">
        <v>239</v>
      </c>
      <c r="B1317" t="s">
        <v>11</v>
      </c>
      <c r="C1317">
        <v>117505.5</v>
      </c>
      <c r="D1317">
        <v>117689.2031</v>
      </c>
      <c r="E1317">
        <v>115917.46090000001</v>
      </c>
      <c r="F1317">
        <v>116688.72659999999</v>
      </c>
      <c r="G1317">
        <v>59713005166</v>
      </c>
      <c r="H1317" t="s">
        <v>12</v>
      </c>
    </row>
    <row r="1318" spans="1:8" x14ac:dyDescent="0.3">
      <c r="A1318" t="s">
        <v>239</v>
      </c>
      <c r="B1318" t="s">
        <v>13</v>
      </c>
      <c r="C1318">
        <v>175.48545999999999</v>
      </c>
      <c r="D1318">
        <v>179.35963000000001</v>
      </c>
      <c r="E1318">
        <v>173.70160000000001</v>
      </c>
      <c r="F1318">
        <v>176.76329000000001</v>
      </c>
      <c r="G1318">
        <v>6565011386</v>
      </c>
      <c r="H1318" t="s">
        <v>14</v>
      </c>
    </row>
    <row r="1319" spans="1:8" x14ac:dyDescent="0.3">
      <c r="A1319" t="s">
        <v>239</v>
      </c>
      <c r="B1319" t="s">
        <v>15</v>
      </c>
      <c r="C1319">
        <v>3.3182399999999999</v>
      </c>
      <c r="D1319">
        <v>3.37581</v>
      </c>
      <c r="E1319">
        <v>3.2132399999999999</v>
      </c>
      <c r="F1319">
        <v>3.2871199999999998</v>
      </c>
      <c r="G1319">
        <v>10725932348</v>
      </c>
      <c r="H1319" t="s">
        <v>16</v>
      </c>
    </row>
    <row r="1320" spans="1:8" x14ac:dyDescent="0.3">
      <c r="A1320" t="s">
        <v>239</v>
      </c>
      <c r="B1320" t="s">
        <v>17</v>
      </c>
      <c r="C1320">
        <v>3914.1106</v>
      </c>
      <c r="D1320">
        <v>4068.8476599999999</v>
      </c>
      <c r="E1320">
        <v>3882.4431199999999</v>
      </c>
      <c r="F1320">
        <v>4009.84888</v>
      </c>
      <c r="G1320">
        <v>45460293892</v>
      </c>
      <c r="H1320" t="s">
        <v>18</v>
      </c>
    </row>
    <row r="1321" spans="1:8" x14ac:dyDescent="0.3">
      <c r="A1321" t="s">
        <v>239</v>
      </c>
      <c r="B1321" t="s">
        <v>19</v>
      </c>
      <c r="C1321">
        <v>788.19653000000005</v>
      </c>
      <c r="D1321">
        <v>797.89422999999999</v>
      </c>
      <c r="E1321">
        <v>781.46660999999995</v>
      </c>
      <c r="F1321">
        <v>793.43957999999998</v>
      </c>
      <c r="G1321">
        <v>2429517922</v>
      </c>
      <c r="H1321" t="s">
        <v>20</v>
      </c>
    </row>
    <row r="1322" spans="1:8" x14ac:dyDescent="0.3">
      <c r="A1322" t="s">
        <v>240</v>
      </c>
      <c r="B1322" t="s">
        <v>9</v>
      </c>
      <c r="C1322">
        <v>0.79117999999999999</v>
      </c>
      <c r="D1322">
        <v>0.81945999999999997</v>
      </c>
      <c r="E1322">
        <v>0.79071999999999998</v>
      </c>
      <c r="F1322">
        <v>0.80403999999999998</v>
      </c>
      <c r="G1322">
        <v>1023977315</v>
      </c>
      <c r="H1322" t="s">
        <v>10</v>
      </c>
    </row>
    <row r="1323" spans="1:8" x14ac:dyDescent="0.3">
      <c r="A1323" t="s">
        <v>240</v>
      </c>
      <c r="B1323" t="s">
        <v>11</v>
      </c>
      <c r="C1323">
        <v>116678.27340000001</v>
      </c>
      <c r="D1323">
        <v>117906.6094</v>
      </c>
      <c r="E1323">
        <v>116363.83590000001</v>
      </c>
      <c r="F1323">
        <v>116500.3594</v>
      </c>
      <c r="G1323">
        <v>54004312429</v>
      </c>
      <c r="H1323" t="s">
        <v>12</v>
      </c>
    </row>
    <row r="1324" spans="1:8" x14ac:dyDescent="0.3">
      <c r="A1324" t="s">
        <v>240</v>
      </c>
      <c r="B1324" t="s">
        <v>13</v>
      </c>
      <c r="C1324">
        <v>176.76311999999999</v>
      </c>
      <c r="D1324">
        <v>183.14249000000001</v>
      </c>
      <c r="E1324">
        <v>176.75984</v>
      </c>
      <c r="F1324">
        <v>180.18234000000001</v>
      </c>
      <c r="G1324">
        <v>5297615193</v>
      </c>
      <c r="H1324" t="s">
        <v>14</v>
      </c>
    </row>
    <row r="1325" spans="1:8" x14ac:dyDescent="0.3">
      <c r="A1325" t="s">
        <v>240</v>
      </c>
      <c r="B1325" t="s">
        <v>15</v>
      </c>
      <c r="C1325">
        <v>3.2870499999999998</v>
      </c>
      <c r="D1325">
        <v>3.3447200000000001</v>
      </c>
      <c r="E1325">
        <v>3.2159599999999999</v>
      </c>
      <c r="F1325">
        <v>3.2278799999999999</v>
      </c>
      <c r="G1325">
        <v>5751246666</v>
      </c>
      <c r="H1325" t="s">
        <v>16</v>
      </c>
    </row>
    <row r="1326" spans="1:8" x14ac:dyDescent="0.3">
      <c r="A1326" t="s">
        <v>240</v>
      </c>
      <c r="B1326" t="s">
        <v>17</v>
      </c>
      <c r="C1326">
        <v>4009.1506399999998</v>
      </c>
      <c r="D1326">
        <v>4323.7612300000001</v>
      </c>
      <c r="E1326">
        <v>4007.7092299999999</v>
      </c>
      <c r="F1326">
        <v>4263.5991199999999</v>
      </c>
      <c r="G1326">
        <v>45279715746</v>
      </c>
      <c r="H1326" t="s">
        <v>18</v>
      </c>
    </row>
    <row r="1327" spans="1:8" x14ac:dyDescent="0.3">
      <c r="A1327" t="s">
        <v>240</v>
      </c>
      <c r="B1327" t="s">
        <v>19</v>
      </c>
      <c r="C1327">
        <v>793.43957999999998</v>
      </c>
      <c r="D1327">
        <v>818.51208999999994</v>
      </c>
      <c r="E1327">
        <v>793.19732999999997</v>
      </c>
      <c r="F1327">
        <v>799.08672999999999</v>
      </c>
      <c r="G1327">
        <v>2215143664</v>
      </c>
      <c r="H1327" t="s">
        <v>20</v>
      </c>
    </row>
    <row r="1328" spans="1:8" x14ac:dyDescent="0.3">
      <c r="A1328" t="s">
        <v>241</v>
      </c>
      <c r="B1328" t="s">
        <v>9</v>
      </c>
      <c r="C1328">
        <v>0.80405000000000004</v>
      </c>
      <c r="D1328">
        <v>0.83274999999999999</v>
      </c>
      <c r="E1328">
        <v>0.78818999999999995</v>
      </c>
      <c r="F1328">
        <v>0.80228999999999995</v>
      </c>
      <c r="G1328">
        <v>1080500013</v>
      </c>
      <c r="H1328" t="s">
        <v>10</v>
      </c>
    </row>
    <row r="1329" spans="1:8" x14ac:dyDescent="0.3">
      <c r="A1329" t="s">
        <v>241</v>
      </c>
      <c r="B1329" t="s">
        <v>11</v>
      </c>
      <c r="C1329">
        <v>116497.7188</v>
      </c>
      <c r="D1329">
        <v>119320.71090000001</v>
      </c>
      <c r="E1329">
        <v>116485.16409999999</v>
      </c>
      <c r="F1329">
        <v>119306.75780000001</v>
      </c>
      <c r="G1329">
        <v>64755458694</v>
      </c>
      <c r="H1329" t="s">
        <v>12</v>
      </c>
    </row>
    <row r="1330" spans="1:8" x14ac:dyDescent="0.3">
      <c r="A1330" t="s">
        <v>241</v>
      </c>
      <c r="B1330" t="s">
        <v>13</v>
      </c>
      <c r="C1330">
        <v>180.18288999999999</v>
      </c>
      <c r="D1330">
        <v>185.91675000000001</v>
      </c>
      <c r="E1330">
        <v>177.99512999999999</v>
      </c>
      <c r="F1330">
        <v>182.90302</v>
      </c>
      <c r="G1330">
        <v>6719478867</v>
      </c>
      <c r="H1330" t="s">
        <v>14</v>
      </c>
    </row>
    <row r="1331" spans="1:8" x14ac:dyDescent="0.3">
      <c r="A1331" t="s">
        <v>241</v>
      </c>
      <c r="B1331" t="s">
        <v>15</v>
      </c>
      <c r="C1331">
        <v>3.2278799999999999</v>
      </c>
      <c r="D1331">
        <v>3.2766299999999999</v>
      </c>
      <c r="E1331">
        <v>3.16025</v>
      </c>
      <c r="F1331">
        <v>3.1878600000000001</v>
      </c>
      <c r="G1331">
        <v>5480657770</v>
      </c>
      <c r="H1331" t="s">
        <v>16</v>
      </c>
    </row>
    <row r="1332" spans="1:8" x14ac:dyDescent="0.3">
      <c r="A1332" t="s">
        <v>241</v>
      </c>
      <c r="B1332" t="s">
        <v>17</v>
      </c>
      <c r="C1332">
        <v>4263.5527300000003</v>
      </c>
      <c r="D1332">
        <v>4332.2104499999996</v>
      </c>
      <c r="E1332">
        <v>4163.9404299999997</v>
      </c>
      <c r="F1332">
        <v>4254.2177700000002</v>
      </c>
      <c r="G1332">
        <v>36173931367</v>
      </c>
      <c r="H1332" t="s">
        <v>18</v>
      </c>
    </row>
    <row r="1333" spans="1:8" x14ac:dyDescent="0.3">
      <c r="A1333" t="s">
        <v>241</v>
      </c>
      <c r="B1333" t="s">
        <v>19</v>
      </c>
      <c r="C1333">
        <v>799.08672999999999</v>
      </c>
      <c r="D1333">
        <v>815.07250999999997</v>
      </c>
      <c r="E1333">
        <v>796.26819</v>
      </c>
      <c r="F1333">
        <v>805.87347</v>
      </c>
      <c r="G1333">
        <v>2090904941</v>
      </c>
      <c r="H1333" t="s">
        <v>20</v>
      </c>
    </row>
    <row r="1334" spans="1:8" x14ac:dyDescent="0.3">
      <c r="A1334" t="s">
        <v>242</v>
      </c>
      <c r="B1334" t="s">
        <v>9</v>
      </c>
      <c r="C1334">
        <v>0.80228999999999995</v>
      </c>
      <c r="D1334">
        <v>0.83223999999999998</v>
      </c>
      <c r="E1334">
        <v>0.76837999999999995</v>
      </c>
      <c r="F1334">
        <v>0.77398</v>
      </c>
      <c r="G1334">
        <v>1413948082</v>
      </c>
      <c r="H1334" t="s">
        <v>10</v>
      </c>
    </row>
    <row r="1335" spans="1:8" x14ac:dyDescent="0.3">
      <c r="A1335" t="s">
        <v>242</v>
      </c>
      <c r="B1335" t="s">
        <v>11</v>
      </c>
      <c r="C1335">
        <v>119306.8125</v>
      </c>
      <c r="D1335">
        <v>122321.0938</v>
      </c>
      <c r="E1335">
        <v>118159.0313</v>
      </c>
      <c r="F1335">
        <v>118731.44530000001</v>
      </c>
      <c r="G1335">
        <v>90528784177</v>
      </c>
      <c r="H1335" t="s">
        <v>12</v>
      </c>
    </row>
    <row r="1336" spans="1:8" x14ac:dyDescent="0.3">
      <c r="A1336" t="s">
        <v>242</v>
      </c>
      <c r="B1336" t="s">
        <v>13</v>
      </c>
      <c r="C1336">
        <v>182.90303</v>
      </c>
      <c r="D1336">
        <v>186.65729999999999</v>
      </c>
      <c r="E1336">
        <v>173.68668</v>
      </c>
      <c r="F1336">
        <v>174.97781000000001</v>
      </c>
      <c r="G1336">
        <v>7353962794</v>
      </c>
      <c r="H1336" t="s">
        <v>14</v>
      </c>
    </row>
    <row r="1337" spans="1:8" x14ac:dyDescent="0.3">
      <c r="A1337" t="s">
        <v>242</v>
      </c>
      <c r="B1337" t="s">
        <v>15</v>
      </c>
      <c r="C1337">
        <v>3.1878700000000002</v>
      </c>
      <c r="D1337">
        <v>3.3272400000000002</v>
      </c>
      <c r="E1337">
        <v>3.1220500000000002</v>
      </c>
      <c r="F1337">
        <v>3.1345100000000001</v>
      </c>
      <c r="G1337">
        <v>8655881431</v>
      </c>
      <c r="H1337" t="s">
        <v>16</v>
      </c>
    </row>
    <row r="1338" spans="1:8" x14ac:dyDescent="0.3">
      <c r="A1338" t="s">
        <v>242</v>
      </c>
      <c r="B1338" t="s">
        <v>17</v>
      </c>
      <c r="C1338">
        <v>4254.2314500000002</v>
      </c>
      <c r="D1338">
        <v>4362.0927700000002</v>
      </c>
      <c r="E1338">
        <v>4168.875</v>
      </c>
      <c r="F1338">
        <v>4226.9668000000001</v>
      </c>
      <c r="G1338">
        <v>49989853803</v>
      </c>
      <c r="H1338" t="s">
        <v>18</v>
      </c>
    </row>
    <row r="1339" spans="1:8" x14ac:dyDescent="0.3">
      <c r="A1339" t="s">
        <v>242</v>
      </c>
      <c r="B1339" t="s">
        <v>19</v>
      </c>
      <c r="C1339">
        <v>805.87347</v>
      </c>
      <c r="D1339">
        <v>826.50982999999997</v>
      </c>
      <c r="E1339">
        <v>793.37865999999997</v>
      </c>
      <c r="F1339">
        <v>806.73022000000003</v>
      </c>
      <c r="G1339">
        <v>2805693912</v>
      </c>
      <c r="H1339" t="s">
        <v>20</v>
      </c>
    </row>
    <row r="1340" spans="1:8" x14ac:dyDescent="0.3">
      <c r="A1340" t="s">
        <v>243</v>
      </c>
      <c r="B1340" t="s">
        <v>9</v>
      </c>
      <c r="C1340">
        <v>0.77397000000000005</v>
      </c>
      <c r="D1340">
        <v>0.85374000000000005</v>
      </c>
      <c r="E1340">
        <v>0.76776</v>
      </c>
      <c r="F1340">
        <v>0.84119999999999995</v>
      </c>
      <c r="G1340">
        <v>1984793671</v>
      </c>
      <c r="H1340" t="s">
        <v>10</v>
      </c>
    </row>
    <row r="1341" spans="1:8" x14ac:dyDescent="0.3">
      <c r="A1341" t="s">
        <v>243</v>
      </c>
      <c r="B1341" t="s">
        <v>11</v>
      </c>
      <c r="C1341">
        <v>118717.66409999999</v>
      </c>
      <c r="D1341">
        <v>120302.4688</v>
      </c>
      <c r="E1341">
        <v>118228.7188</v>
      </c>
      <c r="F1341">
        <v>120172.9063</v>
      </c>
      <c r="G1341">
        <v>72803657984</v>
      </c>
      <c r="H1341" t="s">
        <v>12</v>
      </c>
    </row>
    <row r="1342" spans="1:8" x14ac:dyDescent="0.3">
      <c r="A1342" t="s">
        <v>243</v>
      </c>
      <c r="B1342" t="s">
        <v>13</v>
      </c>
      <c r="C1342">
        <v>174.97783000000001</v>
      </c>
      <c r="D1342">
        <v>193.44084000000001</v>
      </c>
      <c r="E1342">
        <v>173.83562000000001</v>
      </c>
      <c r="F1342">
        <v>191.85683</v>
      </c>
      <c r="G1342">
        <v>8611505118</v>
      </c>
      <c r="H1342" t="s">
        <v>14</v>
      </c>
    </row>
    <row r="1343" spans="1:8" x14ac:dyDescent="0.3">
      <c r="A1343" t="s">
        <v>243</v>
      </c>
      <c r="B1343" t="s">
        <v>15</v>
      </c>
      <c r="C1343">
        <v>3.13449</v>
      </c>
      <c r="D1343">
        <v>3.3002600000000002</v>
      </c>
      <c r="E1343">
        <v>3.1121500000000002</v>
      </c>
      <c r="F1343">
        <v>3.2665099999999998</v>
      </c>
      <c r="G1343">
        <v>8909122577</v>
      </c>
      <c r="H1343" t="s">
        <v>16</v>
      </c>
    </row>
    <row r="1344" spans="1:8" x14ac:dyDescent="0.3">
      <c r="A1344" t="s">
        <v>243</v>
      </c>
      <c r="B1344" t="s">
        <v>17</v>
      </c>
      <c r="C1344">
        <v>4227.2070299999996</v>
      </c>
      <c r="D1344">
        <v>4634.0551800000003</v>
      </c>
      <c r="E1344">
        <v>4222.3623100000004</v>
      </c>
      <c r="F1344">
        <v>4590.9248100000004</v>
      </c>
      <c r="G1344">
        <v>57237189036</v>
      </c>
      <c r="H1344" t="s">
        <v>18</v>
      </c>
    </row>
    <row r="1345" spans="1:8" x14ac:dyDescent="0.3">
      <c r="A1345" t="s">
        <v>243</v>
      </c>
      <c r="B1345" t="s">
        <v>19</v>
      </c>
      <c r="C1345">
        <v>806.74359000000004</v>
      </c>
      <c r="D1345">
        <v>838.86150999999995</v>
      </c>
      <c r="E1345">
        <v>798.66205000000002</v>
      </c>
      <c r="F1345">
        <v>832.92656999999997</v>
      </c>
      <c r="G1345">
        <v>2889217820</v>
      </c>
      <c r="H1345" t="s">
        <v>20</v>
      </c>
    </row>
    <row r="1346" spans="1:8" x14ac:dyDescent="0.3">
      <c r="A1346" t="s">
        <v>244</v>
      </c>
      <c r="B1346" t="s">
        <v>9</v>
      </c>
      <c r="C1346">
        <v>0.84119999999999995</v>
      </c>
      <c r="D1346">
        <v>0.91801999999999995</v>
      </c>
      <c r="E1346">
        <v>0.83404</v>
      </c>
      <c r="F1346">
        <v>0.90591999999999995</v>
      </c>
      <c r="G1346">
        <v>2355898692</v>
      </c>
      <c r="H1346" t="s">
        <v>10</v>
      </c>
    </row>
    <row r="1347" spans="1:8" x14ac:dyDescent="0.3">
      <c r="A1347" t="s">
        <v>244</v>
      </c>
      <c r="B1347" t="s">
        <v>11</v>
      </c>
      <c r="C1347">
        <v>120168.97659999999</v>
      </c>
      <c r="D1347">
        <v>123682.4531</v>
      </c>
      <c r="E1347">
        <v>118939.63280000001</v>
      </c>
      <c r="F1347">
        <v>123344.0625</v>
      </c>
      <c r="G1347">
        <v>90904808795</v>
      </c>
      <c r="H1347" t="s">
        <v>12</v>
      </c>
    </row>
    <row r="1348" spans="1:8" x14ac:dyDescent="0.3">
      <c r="A1348" t="s">
        <v>244</v>
      </c>
      <c r="B1348" t="s">
        <v>13</v>
      </c>
      <c r="C1348">
        <v>191.85683</v>
      </c>
      <c r="D1348">
        <v>204.47002000000001</v>
      </c>
      <c r="E1348">
        <v>191.49545000000001</v>
      </c>
      <c r="F1348">
        <v>201.59041999999999</v>
      </c>
      <c r="G1348">
        <v>11831412257</v>
      </c>
      <c r="H1348" t="s">
        <v>14</v>
      </c>
    </row>
    <row r="1349" spans="1:8" x14ac:dyDescent="0.3">
      <c r="A1349" t="s">
        <v>244</v>
      </c>
      <c r="B1349" t="s">
        <v>15</v>
      </c>
      <c r="C1349">
        <v>3.2665099999999998</v>
      </c>
      <c r="D1349">
        <v>3.3238400000000001</v>
      </c>
      <c r="E1349">
        <v>3.2075</v>
      </c>
      <c r="F1349">
        <v>3.2805900000000001</v>
      </c>
      <c r="G1349">
        <v>8866523352</v>
      </c>
      <c r="H1349" t="s">
        <v>16</v>
      </c>
    </row>
    <row r="1350" spans="1:8" x14ac:dyDescent="0.3">
      <c r="A1350" t="s">
        <v>244</v>
      </c>
      <c r="B1350" t="s">
        <v>17</v>
      </c>
      <c r="C1350">
        <v>4590.6577200000002</v>
      </c>
      <c r="D1350">
        <v>4784.6689500000002</v>
      </c>
      <c r="E1350">
        <v>4566.2387699999999</v>
      </c>
      <c r="F1350">
        <v>4756.2758800000001</v>
      </c>
      <c r="G1350">
        <v>62550014642</v>
      </c>
      <c r="H1350" t="s">
        <v>18</v>
      </c>
    </row>
    <row r="1351" spans="1:8" x14ac:dyDescent="0.3">
      <c r="A1351" t="s">
        <v>244</v>
      </c>
      <c r="B1351" t="s">
        <v>19</v>
      </c>
      <c r="C1351">
        <v>832.92656999999997</v>
      </c>
      <c r="D1351">
        <v>857.76238999999998</v>
      </c>
      <c r="E1351">
        <v>829.07647999999995</v>
      </c>
      <c r="F1351">
        <v>849.00549000000001</v>
      </c>
      <c r="G1351">
        <v>3364649534</v>
      </c>
      <c r="H1351" t="s">
        <v>20</v>
      </c>
    </row>
    <row r="1352" spans="1:8" x14ac:dyDescent="0.3">
      <c r="A1352" t="s">
        <v>245</v>
      </c>
      <c r="B1352" t="s">
        <v>9</v>
      </c>
      <c r="C1352">
        <v>0.90591999999999995</v>
      </c>
      <c r="D1352">
        <v>1.0164599999999999</v>
      </c>
      <c r="E1352">
        <v>0.88117000000000001</v>
      </c>
      <c r="F1352">
        <v>0.92537999999999998</v>
      </c>
      <c r="G1352">
        <v>6566984812</v>
      </c>
      <c r="H1352" t="s">
        <v>10</v>
      </c>
    </row>
    <row r="1353" spans="1:8" x14ac:dyDescent="0.3">
      <c r="A1353" t="s">
        <v>245</v>
      </c>
      <c r="B1353" t="s">
        <v>11</v>
      </c>
      <c r="C1353">
        <v>123339.39840000001</v>
      </c>
      <c r="D1353">
        <v>124457.11719999999</v>
      </c>
      <c r="E1353">
        <v>117254.88280000001</v>
      </c>
      <c r="F1353">
        <v>118359.5781</v>
      </c>
      <c r="G1353">
        <v>104000000000</v>
      </c>
      <c r="H1353" t="s">
        <v>12</v>
      </c>
    </row>
    <row r="1354" spans="1:8" x14ac:dyDescent="0.3">
      <c r="A1354" t="s">
        <v>245</v>
      </c>
      <c r="B1354" t="s">
        <v>13</v>
      </c>
      <c r="C1354">
        <v>201.58672999999999</v>
      </c>
      <c r="D1354">
        <v>209.66685000000001</v>
      </c>
      <c r="E1354">
        <v>187.78336999999999</v>
      </c>
      <c r="F1354">
        <v>192.58595</v>
      </c>
      <c r="G1354">
        <v>14664456934</v>
      </c>
      <c r="H1354" t="s">
        <v>14</v>
      </c>
    </row>
    <row r="1355" spans="1:8" x14ac:dyDescent="0.3">
      <c r="A1355" t="s">
        <v>245</v>
      </c>
      <c r="B1355" t="s">
        <v>15</v>
      </c>
      <c r="C1355">
        <v>3.28057</v>
      </c>
      <c r="D1355">
        <v>3.34599</v>
      </c>
      <c r="E1355">
        <v>3.0372599999999998</v>
      </c>
      <c r="F1355">
        <v>3.08352</v>
      </c>
      <c r="G1355">
        <v>12234770540</v>
      </c>
      <c r="H1355" t="s">
        <v>16</v>
      </c>
    </row>
    <row r="1356" spans="1:8" x14ac:dyDescent="0.3">
      <c r="A1356" t="s">
        <v>245</v>
      </c>
      <c r="B1356" t="s">
        <v>17</v>
      </c>
      <c r="C1356">
        <v>4756.0434599999999</v>
      </c>
      <c r="D1356">
        <v>4788.5517600000003</v>
      </c>
      <c r="E1356">
        <v>4461.2817400000004</v>
      </c>
      <c r="F1356">
        <v>4548.1665000000003</v>
      </c>
      <c r="G1356">
        <v>75681632806</v>
      </c>
      <c r="H1356" t="s">
        <v>18</v>
      </c>
    </row>
    <row r="1357" spans="1:8" x14ac:dyDescent="0.3">
      <c r="A1357" t="s">
        <v>245</v>
      </c>
      <c r="B1357" t="s">
        <v>19</v>
      </c>
      <c r="C1357">
        <v>849.00549000000001</v>
      </c>
      <c r="D1357">
        <v>868.67980999999997</v>
      </c>
      <c r="E1357">
        <v>826.00220000000002</v>
      </c>
      <c r="F1357">
        <v>840.93097</v>
      </c>
      <c r="G1357">
        <v>4687490471</v>
      </c>
      <c r="H1357" t="s">
        <v>20</v>
      </c>
    </row>
    <row r="1358" spans="1:8" x14ac:dyDescent="0.3">
      <c r="A1358" t="s">
        <v>246</v>
      </c>
      <c r="B1358" t="s">
        <v>9</v>
      </c>
      <c r="C1358">
        <v>0.9254</v>
      </c>
      <c r="D1358">
        <v>0.96108000000000005</v>
      </c>
      <c r="E1358">
        <v>0.91417000000000004</v>
      </c>
      <c r="F1358">
        <v>0.94384000000000001</v>
      </c>
      <c r="G1358">
        <v>3727215369</v>
      </c>
      <c r="H1358" t="s">
        <v>10</v>
      </c>
    </row>
    <row r="1359" spans="1:8" x14ac:dyDescent="0.3">
      <c r="A1359" t="s">
        <v>246</v>
      </c>
      <c r="B1359" t="s">
        <v>11</v>
      </c>
      <c r="C1359">
        <v>118365.7813</v>
      </c>
      <c r="D1359">
        <v>119332.3125</v>
      </c>
      <c r="E1359">
        <v>116864.57030000001</v>
      </c>
      <c r="F1359">
        <v>117398.35159999999</v>
      </c>
      <c r="G1359">
        <v>68665353159</v>
      </c>
      <c r="H1359" t="s">
        <v>12</v>
      </c>
    </row>
    <row r="1360" spans="1:8" x14ac:dyDescent="0.3">
      <c r="A1360" t="s">
        <v>246</v>
      </c>
      <c r="B1360" t="s">
        <v>13</v>
      </c>
      <c r="C1360">
        <v>192.58777000000001</v>
      </c>
      <c r="D1360">
        <v>198.13831999999999</v>
      </c>
      <c r="E1360">
        <v>183.76401000000001</v>
      </c>
      <c r="F1360">
        <v>185.74126000000001</v>
      </c>
      <c r="G1360">
        <v>7685764515</v>
      </c>
      <c r="H1360" t="s">
        <v>14</v>
      </c>
    </row>
    <row r="1361" spans="1:8" x14ac:dyDescent="0.3">
      <c r="A1361" t="s">
        <v>246</v>
      </c>
      <c r="B1361" t="s">
        <v>15</v>
      </c>
      <c r="C1361">
        <v>3.0835599999999999</v>
      </c>
      <c r="D1361">
        <v>3.14276</v>
      </c>
      <c r="E1361">
        <v>3.0085099999999998</v>
      </c>
      <c r="F1361">
        <v>3.0786699999999998</v>
      </c>
      <c r="G1361">
        <v>7119201345</v>
      </c>
      <c r="H1361" t="s">
        <v>16</v>
      </c>
    </row>
    <row r="1362" spans="1:8" x14ac:dyDescent="0.3">
      <c r="A1362" t="s">
        <v>246</v>
      </c>
      <c r="B1362" t="s">
        <v>17</v>
      </c>
      <c r="C1362">
        <v>4549.0756799999999</v>
      </c>
      <c r="D1362">
        <v>4667.7299800000001</v>
      </c>
      <c r="E1362">
        <v>4375.5454099999997</v>
      </c>
      <c r="F1362">
        <v>4439.9887699999999</v>
      </c>
      <c r="G1362">
        <v>55445715824</v>
      </c>
      <c r="H1362" t="s">
        <v>18</v>
      </c>
    </row>
    <row r="1363" spans="1:8" x14ac:dyDescent="0.3">
      <c r="A1363" t="s">
        <v>246</v>
      </c>
      <c r="B1363" t="s">
        <v>19</v>
      </c>
      <c r="C1363">
        <v>840.93097</v>
      </c>
      <c r="D1363">
        <v>853.49834999999996</v>
      </c>
      <c r="E1363">
        <v>813.85126000000002</v>
      </c>
      <c r="F1363">
        <v>827.28917999999999</v>
      </c>
      <c r="G1363">
        <v>3843113557</v>
      </c>
      <c r="H1363" t="s">
        <v>20</v>
      </c>
    </row>
    <row r="1364" spans="1:8" x14ac:dyDescent="0.3">
      <c r="A1364" t="s">
        <v>247</v>
      </c>
      <c r="B1364" t="s">
        <v>9</v>
      </c>
      <c r="C1364">
        <v>0.94384000000000001</v>
      </c>
      <c r="D1364">
        <v>0.97526000000000002</v>
      </c>
      <c r="E1364">
        <v>0.90383000000000002</v>
      </c>
      <c r="F1364">
        <v>0.92127999999999999</v>
      </c>
      <c r="G1364">
        <v>2342325704</v>
      </c>
      <c r="H1364" t="s">
        <v>10</v>
      </c>
    </row>
    <row r="1365" spans="1:8" x14ac:dyDescent="0.3">
      <c r="A1365" t="s">
        <v>247</v>
      </c>
      <c r="B1365" t="s">
        <v>11</v>
      </c>
      <c r="C1365">
        <v>117398.4219</v>
      </c>
      <c r="D1365">
        <v>117996.0625</v>
      </c>
      <c r="E1365">
        <v>117271.9531</v>
      </c>
      <c r="F1365">
        <v>117491.35159999999</v>
      </c>
      <c r="G1365">
        <v>48036922378</v>
      </c>
      <c r="H1365" t="s">
        <v>12</v>
      </c>
    </row>
    <row r="1366" spans="1:8" x14ac:dyDescent="0.3">
      <c r="A1366" t="s">
        <v>247</v>
      </c>
      <c r="B1366" t="s">
        <v>13</v>
      </c>
      <c r="C1366">
        <v>185.73955000000001</v>
      </c>
      <c r="D1366">
        <v>189.98114000000001</v>
      </c>
      <c r="E1366">
        <v>185.45778000000001</v>
      </c>
      <c r="F1366">
        <v>189.767</v>
      </c>
      <c r="G1366">
        <v>3716008732</v>
      </c>
      <c r="H1366" t="s">
        <v>14</v>
      </c>
    </row>
    <row r="1367" spans="1:8" x14ac:dyDescent="0.3">
      <c r="A1367" t="s">
        <v>247</v>
      </c>
      <c r="B1367" t="s">
        <v>15</v>
      </c>
      <c r="C1367">
        <v>3.0786699999999998</v>
      </c>
      <c r="D1367">
        <v>3.1562600000000001</v>
      </c>
      <c r="E1367">
        <v>3.07803</v>
      </c>
      <c r="F1367">
        <v>3.1081400000000001</v>
      </c>
      <c r="G1367">
        <v>4171845770</v>
      </c>
      <c r="H1367" t="s">
        <v>16</v>
      </c>
    </row>
    <row r="1368" spans="1:8" x14ac:dyDescent="0.3">
      <c r="A1368" t="s">
        <v>247</v>
      </c>
      <c r="B1368" t="s">
        <v>17</v>
      </c>
      <c r="C1368">
        <v>4439.9980500000001</v>
      </c>
      <c r="D1368">
        <v>4493.14941</v>
      </c>
      <c r="E1368">
        <v>4379.1645500000004</v>
      </c>
      <c r="F1368">
        <v>4426.1801800000003</v>
      </c>
      <c r="G1368">
        <v>26816931514</v>
      </c>
      <c r="H1368" t="s">
        <v>18</v>
      </c>
    </row>
    <row r="1369" spans="1:8" x14ac:dyDescent="0.3">
      <c r="A1369" t="s">
        <v>247</v>
      </c>
      <c r="B1369" t="s">
        <v>19</v>
      </c>
      <c r="C1369">
        <v>827.28917999999999</v>
      </c>
      <c r="D1369">
        <v>839.51648</v>
      </c>
      <c r="E1369">
        <v>826.61469</v>
      </c>
      <c r="F1369">
        <v>839.39806999999996</v>
      </c>
      <c r="G1369">
        <v>1960223183</v>
      </c>
      <c r="H1369" t="s">
        <v>20</v>
      </c>
    </row>
    <row r="1370" spans="1:8" x14ac:dyDescent="0.3">
      <c r="A1370" t="s">
        <v>248</v>
      </c>
      <c r="B1370" t="s">
        <v>9</v>
      </c>
      <c r="C1370">
        <v>0.92130000000000001</v>
      </c>
      <c r="D1370">
        <v>0.98484000000000005</v>
      </c>
      <c r="E1370">
        <v>0.90688999999999997</v>
      </c>
      <c r="F1370">
        <v>0.96189000000000002</v>
      </c>
      <c r="G1370">
        <v>2190571305</v>
      </c>
      <c r="H1370" t="s">
        <v>10</v>
      </c>
    </row>
    <row r="1371" spans="1:8" x14ac:dyDescent="0.3">
      <c r="A1371" t="s">
        <v>248</v>
      </c>
      <c r="B1371" t="s">
        <v>11</v>
      </c>
      <c r="C1371">
        <v>117492.78909999999</v>
      </c>
      <c r="D1371">
        <v>118595.77340000001</v>
      </c>
      <c r="E1371">
        <v>117279.52340000001</v>
      </c>
      <c r="F1371">
        <v>117453.0625</v>
      </c>
      <c r="G1371">
        <v>45852169525</v>
      </c>
      <c r="H1371" t="s">
        <v>12</v>
      </c>
    </row>
    <row r="1372" spans="1:8" x14ac:dyDescent="0.3">
      <c r="A1372" t="s">
        <v>248</v>
      </c>
      <c r="B1372" t="s">
        <v>13</v>
      </c>
      <c r="C1372">
        <v>189.76585</v>
      </c>
      <c r="D1372">
        <v>195.4408</v>
      </c>
      <c r="E1372">
        <v>187.72368</v>
      </c>
      <c r="F1372">
        <v>191.16482999999999</v>
      </c>
      <c r="G1372">
        <v>4221788171</v>
      </c>
      <c r="H1372" t="s">
        <v>14</v>
      </c>
    </row>
    <row r="1373" spans="1:8" x14ac:dyDescent="0.3">
      <c r="A1373" t="s">
        <v>248</v>
      </c>
      <c r="B1373" t="s">
        <v>15</v>
      </c>
      <c r="C1373">
        <v>3.1081300000000001</v>
      </c>
      <c r="D1373">
        <v>3.1466799999999999</v>
      </c>
      <c r="E1373">
        <v>3.08833</v>
      </c>
      <c r="F1373">
        <v>3.0890399999999998</v>
      </c>
      <c r="G1373">
        <v>3705547889</v>
      </c>
      <c r="H1373" t="s">
        <v>16</v>
      </c>
    </row>
    <row r="1374" spans="1:8" x14ac:dyDescent="0.3">
      <c r="A1374" t="s">
        <v>248</v>
      </c>
      <c r="B1374" t="s">
        <v>17</v>
      </c>
      <c r="C1374">
        <v>4426.2597699999997</v>
      </c>
      <c r="D1374">
        <v>4575.8764700000002</v>
      </c>
      <c r="E1374">
        <v>4400.7133800000001</v>
      </c>
      <c r="F1374">
        <v>4473.2714800000003</v>
      </c>
      <c r="G1374">
        <v>31348101438</v>
      </c>
      <c r="H1374" t="s">
        <v>18</v>
      </c>
    </row>
    <row r="1375" spans="1:8" x14ac:dyDescent="0.3">
      <c r="A1375" t="s">
        <v>248</v>
      </c>
      <c r="B1375" t="s">
        <v>19</v>
      </c>
      <c r="C1375">
        <v>839.39679000000001</v>
      </c>
      <c r="D1375">
        <v>863.34307999999999</v>
      </c>
      <c r="E1375">
        <v>839.18158000000005</v>
      </c>
      <c r="F1375">
        <v>856.40295000000003</v>
      </c>
      <c r="G1375">
        <v>2286889646</v>
      </c>
      <c r="H1375" t="s">
        <v>20</v>
      </c>
    </row>
    <row r="1376" spans="1:8" x14ac:dyDescent="0.3">
      <c r="A1376" t="s">
        <v>249</v>
      </c>
      <c r="B1376" t="s">
        <v>9</v>
      </c>
      <c r="C1376">
        <v>0.96187</v>
      </c>
      <c r="D1376">
        <v>0.96599000000000002</v>
      </c>
      <c r="E1376">
        <v>0.89449000000000001</v>
      </c>
      <c r="F1376">
        <v>0.92325999999999997</v>
      </c>
      <c r="G1376">
        <v>2301661145</v>
      </c>
      <c r="H1376" t="s">
        <v>10</v>
      </c>
    </row>
    <row r="1377" spans="1:8" x14ac:dyDescent="0.3">
      <c r="A1377" t="s">
        <v>249</v>
      </c>
      <c r="B1377" t="s">
        <v>11</v>
      </c>
      <c r="C1377">
        <v>117453.9063</v>
      </c>
      <c r="D1377">
        <v>117614.1719</v>
      </c>
      <c r="E1377">
        <v>114723.67969999999</v>
      </c>
      <c r="F1377">
        <v>116252.3125</v>
      </c>
      <c r="G1377">
        <v>72787808090</v>
      </c>
      <c r="H1377" t="s">
        <v>12</v>
      </c>
    </row>
    <row r="1378" spans="1:8" x14ac:dyDescent="0.3">
      <c r="A1378" t="s">
        <v>249</v>
      </c>
      <c r="B1378" t="s">
        <v>13</v>
      </c>
      <c r="C1378">
        <v>191.16449</v>
      </c>
      <c r="D1378">
        <v>191.35416000000001</v>
      </c>
      <c r="E1378">
        <v>180.41410999999999</v>
      </c>
      <c r="F1378">
        <v>183.06987000000001</v>
      </c>
      <c r="G1378">
        <v>6328028844</v>
      </c>
      <c r="H1378" t="s">
        <v>14</v>
      </c>
    </row>
    <row r="1379" spans="1:8" x14ac:dyDescent="0.3">
      <c r="A1379" t="s">
        <v>249</v>
      </c>
      <c r="B1379" t="s">
        <v>15</v>
      </c>
      <c r="C1379">
        <v>3.0890399999999998</v>
      </c>
      <c r="D1379">
        <v>3.09565</v>
      </c>
      <c r="E1379">
        <v>2.9472700000000001</v>
      </c>
      <c r="F1379">
        <v>3.06148</v>
      </c>
      <c r="G1379">
        <v>8082538521</v>
      </c>
      <c r="H1379" t="s">
        <v>16</v>
      </c>
    </row>
    <row r="1380" spans="1:8" x14ac:dyDescent="0.3">
      <c r="A1380" t="s">
        <v>249</v>
      </c>
      <c r="B1380" t="s">
        <v>17</v>
      </c>
      <c r="C1380">
        <v>4473.3305700000001</v>
      </c>
      <c r="D1380">
        <v>4484.0097699999997</v>
      </c>
      <c r="E1380">
        <v>4229.3798800000004</v>
      </c>
      <c r="F1380">
        <v>4312.5048800000004</v>
      </c>
      <c r="G1380">
        <v>53518423360</v>
      </c>
      <c r="H1380" t="s">
        <v>18</v>
      </c>
    </row>
    <row r="1381" spans="1:8" x14ac:dyDescent="0.3">
      <c r="A1381" t="s">
        <v>249</v>
      </c>
      <c r="B1381" t="s">
        <v>19</v>
      </c>
      <c r="C1381">
        <v>856.40332000000001</v>
      </c>
      <c r="D1381">
        <v>858.30742999999995</v>
      </c>
      <c r="E1381">
        <v>826.53503000000001</v>
      </c>
      <c r="F1381">
        <v>847.41791000000001</v>
      </c>
      <c r="G1381">
        <v>2765082388</v>
      </c>
      <c r="H1381" t="s">
        <v>20</v>
      </c>
    </row>
    <row r="1382" spans="1:8" x14ac:dyDescent="0.3">
      <c r="A1382" t="s">
        <v>250</v>
      </c>
      <c r="B1382" t="s">
        <v>9</v>
      </c>
      <c r="C1382">
        <v>0.92323999999999995</v>
      </c>
      <c r="D1382">
        <v>0.9506</v>
      </c>
      <c r="E1382">
        <v>0.84492999999999996</v>
      </c>
      <c r="F1382">
        <v>0.84504000000000001</v>
      </c>
      <c r="G1382">
        <v>2803347062</v>
      </c>
      <c r="H1382" t="s">
        <v>10</v>
      </c>
    </row>
    <row r="1383" spans="1:8" x14ac:dyDescent="0.3">
      <c r="A1383" t="s">
        <v>250</v>
      </c>
      <c r="B1383" t="s">
        <v>11</v>
      </c>
      <c r="C1383">
        <v>116241.8594</v>
      </c>
      <c r="D1383">
        <v>116764.5</v>
      </c>
      <c r="E1383">
        <v>112730.39840000001</v>
      </c>
      <c r="F1383">
        <v>112831.17969999999</v>
      </c>
      <c r="G1383">
        <v>71657600353</v>
      </c>
      <c r="H1383" t="s">
        <v>12</v>
      </c>
    </row>
    <row r="1384" spans="1:8" x14ac:dyDescent="0.3">
      <c r="A1384" t="s">
        <v>250</v>
      </c>
      <c r="B1384" t="s">
        <v>13</v>
      </c>
      <c r="C1384">
        <v>183.06969000000001</v>
      </c>
      <c r="D1384">
        <v>185.78373999999999</v>
      </c>
      <c r="E1384">
        <v>175.99242000000001</v>
      </c>
      <c r="F1384">
        <v>176.11227</v>
      </c>
      <c r="G1384">
        <v>5990636025</v>
      </c>
      <c r="H1384" t="s">
        <v>14</v>
      </c>
    </row>
    <row r="1385" spans="1:8" x14ac:dyDescent="0.3">
      <c r="A1385" t="s">
        <v>250</v>
      </c>
      <c r="B1385" t="s">
        <v>15</v>
      </c>
      <c r="C1385">
        <v>3.06149</v>
      </c>
      <c r="D1385">
        <v>3.08026</v>
      </c>
      <c r="E1385">
        <v>2.85195</v>
      </c>
      <c r="F1385">
        <v>2.8529200000000001</v>
      </c>
      <c r="G1385">
        <v>7026863070</v>
      </c>
      <c r="H1385" t="s">
        <v>16</v>
      </c>
    </row>
    <row r="1386" spans="1:8" x14ac:dyDescent="0.3">
      <c r="A1386" t="s">
        <v>250</v>
      </c>
      <c r="B1386" t="s">
        <v>17</v>
      </c>
      <c r="C1386">
        <v>4312.5302700000002</v>
      </c>
      <c r="D1386">
        <v>4355.0752000000002</v>
      </c>
      <c r="E1386">
        <v>4070.5354000000002</v>
      </c>
      <c r="F1386">
        <v>4073.4641099999999</v>
      </c>
      <c r="G1386">
        <v>50440367102</v>
      </c>
      <c r="H1386" t="s">
        <v>18</v>
      </c>
    </row>
    <row r="1387" spans="1:8" x14ac:dyDescent="0.3">
      <c r="A1387" t="s">
        <v>250</v>
      </c>
      <c r="B1387" t="s">
        <v>19</v>
      </c>
      <c r="C1387">
        <v>847.41791000000001</v>
      </c>
      <c r="D1387">
        <v>851.94159000000002</v>
      </c>
      <c r="E1387">
        <v>823.35668999999996</v>
      </c>
      <c r="F1387">
        <v>823.56592000000001</v>
      </c>
      <c r="G1387">
        <v>2718797059</v>
      </c>
      <c r="H1387" t="s">
        <v>20</v>
      </c>
    </row>
    <row r="1388" spans="1:8" x14ac:dyDescent="0.3">
      <c r="A1388" t="s">
        <v>251</v>
      </c>
      <c r="B1388" t="s">
        <v>9</v>
      </c>
      <c r="C1388">
        <v>0.84506999999999999</v>
      </c>
      <c r="D1388">
        <v>0.89098999999999995</v>
      </c>
      <c r="E1388">
        <v>0.83977000000000002</v>
      </c>
      <c r="F1388">
        <v>0.88082000000000005</v>
      </c>
      <c r="G1388">
        <v>2190768811</v>
      </c>
      <c r="H1388" t="s">
        <v>10</v>
      </c>
    </row>
    <row r="1389" spans="1:8" x14ac:dyDescent="0.3">
      <c r="A1389" t="s">
        <v>251</v>
      </c>
      <c r="B1389" t="s">
        <v>11</v>
      </c>
      <c r="C1389">
        <v>112828.02340000001</v>
      </c>
      <c r="D1389">
        <v>114625.7969</v>
      </c>
      <c r="E1389">
        <v>112387.96090000001</v>
      </c>
      <c r="F1389">
        <v>114274.74219999999</v>
      </c>
      <c r="G1389">
        <v>67993811526</v>
      </c>
      <c r="H1389" t="s">
        <v>12</v>
      </c>
    </row>
    <row r="1390" spans="1:8" x14ac:dyDescent="0.3">
      <c r="A1390" t="s">
        <v>251</v>
      </c>
      <c r="B1390" t="s">
        <v>13</v>
      </c>
      <c r="C1390">
        <v>176.11387999999999</v>
      </c>
      <c r="D1390">
        <v>187.68953999999999</v>
      </c>
      <c r="E1390">
        <v>176.10101</v>
      </c>
      <c r="F1390">
        <v>187.58629999999999</v>
      </c>
      <c r="G1390">
        <v>6283111574</v>
      </c>
      <c r="H1390" t="s">
        <v>14</v>
      </c>
    </row>
    <row r="1391" spans="1:8" x14ac:dyDescent="0.3">
      <c r="A1391" t="s">
        <v>251</v>
      </c>
      <c r="B1391" t="s">
        <v>15</v>
      </c>
      <c r="C1391">
        <v>2.8530700000000002</v>
      </c>
      <c r="D1391">
        <v>2.9853000000000001</v>
      </c>
      <c r="E1391">
        <v>2.82673</v>
      </c>
      <c r="F1391">
        <v>2.9507500000000002</v>
      </c>
      <c r="G1391">
        <v>7007191461</v>
      </c>
      <c r="H1391" t="s">
        <v>16</v>
      </c>
    </row>
    <row r="1392" spans="1:8" x14ac:dyDescent="0.3">
      <c r="A1392" t="s">
        <v>251</v>
      </c>
      <c r="B1392" t="s">
        <v>17</v>
      </c>
      <c r="C1392">
        <v>4073.1682099999998</v>
      </c>
      <c r="D1392">
        <v>4376.7895500000004</v>
      </c>
      <c r="E1392">
        <v>4064.9650900000001</v>
      </c>
      <c r="F1392">
        <v>4334.5004900000004</v>
      </c>
      <c r="G1392">
        <v>49577862965</v>
      </c>
      <c r="H1392" t="s">
        <v>18</v>
      </c>
    </row>
    <row r="1393" spans="1:8" x14ac:dyDescent="0.3">
      <c r="A1393" t="s">
        <v>251</v>
      </c>
      <c r="B1393" t="s">
        <v>19</v>
      </c>
      <c r="C1393">
        <v>823.56592000000001</v>
      </c>
      <c r="D1393">
        <v>880.33148000000006</v>
      </c>
      <c r="E1393">
        <v>819.32989999999995</v>
      </c>
      <c r="F1393">
        <v>869.10388</v>
      </c>
      <c r="G1393">
        <v>3612563758</v>
      </c>
      <c r="H1393" t="s">
        <v>20</v>
      </c>
    </row>
    <row r="1394" spans="1:8" x14ac:dyDescent="0.3">
      <c r="A1394" t="s">
        <v>252</v>
      </c>
      <c r="B1394" t="s">
        <v>9</v>
      </c>
      <c r="C1394">
        <v>0.88082000000000005</v>
      </c>
      <c r="D1394">
        <v>0.89073000000000002</v>
      </c>
      <c r="E1394">
        <v>0.84853000000000001</v>
      </c>
      <c r="F1394">
        <v>0.85102</v>
      </c>
      <c r="G1394">
        <v>1294029938</v>
      </c>
      <c r="H1394" t="s">
        <v>10</v>
      </c>
    </row>
    <row r="1395" spans="1:8" x14ac:dyDescent="0.3">
      <c r="A1395" t="s">
        <v>252</v>
      </c>
      <c r="B1395" t="s">
        <v>11</v>
      </c>
      <c r="C1395">
        <v>114275.6875</v>
      </c>
      <c r="D1395">
        <v>114802.64840000001</v>
      </c>
      <c r="E1395">
        <v>111986.2344</v>
      </c>
      <c r="F1395">
        <v>112419.0313</v>
      </c>
      <c r="G1395">
        <v>57817883700</v>
      </c>
      <c r="H1395" t="s">
        <v>12</v>
      </c>
    </row>
    <row r="1396" spans="1:8" x14ac:dyDescent="0.3">
      <c r="A1396" t="s">
        <v>252</v>
      </c>
      <c r="B1396" t="s">
        <v>13</v>
      </c>
      <c r="C1396">
        <v>187.58629999999999</v>
      </c>
      <c r="D1396">
        <v>189.40053</v>
      </c>
      <c r="E1396">
        <v>179.71333000000001</v>
      </c>
      <c r="F1396">
        <v>180.28062</v>
      </c>
      <c r="G1396">
        <v>5379108039</v>
      </c>
      <c r="H1396" t="s">
        <v>14</v>
      </c>
    </row>
    <row r="1397" spans="1:8" x14ac:dyDescent="0.3">
      <c r="A1397" t="s">
        <v>252</v>
      </c>
      <c r="B1397" t="s">
        <v>15</v>
      </c>
      <c r="C1397">
        <v>2.9507500000000002</v>
      </c>
      <c r="D1397">
        <v>2.9521700000000002</v>
      </c>
      <c r="E1397">
        <v>2.8439700000000001</v>
      </c>
      <c r="F1397">
        <v>2.8504700000000001</v>
      </c>
      <c r="G1397">
        <v>4660595472</v>
      </c>
      <c r="H1397" t="s">
        <v>16</v>
      </c>
    </row>
    <row r="1398" spans="1:8" x14ac:dyDescent="0.3">
      <c r="A1398" t="s">
        <v>252</v>
      </c>
      <c r="B1398" t="s">
        <v>17</v>
      </c>
      <c r="C1398">
        <v>4334.5673800000004</v>
      </c>
      <c r="D1398">
        <v>4338.8261700000003</v>
      </c>
      <c r="E1398">
        <v>4205.7768599999999</v>
      </c>
      <c r="F1398">
        <v>4223.2099600000001</v>
      </c>
      <c r="G1398">
        <v>33618359942</v>
      </c>
      <c r="H1398" t="s">
        <v>18</v>
      </c>
    </row>
    <row r="1399" spans="1:8" x14ac:dyDescent="0.3">
      <c r="A1399" t="s">
        <v>252</v>
      </c>
      <c r="B1399" t="s">
        <v>19</v>
      </c>
      <c r="C1399">
        <v>869.10388</v>
      </c>
      <c r="D1399">
        <v>882.58954000000006</v>
      </c>
      <c r="E1399">
        <v>834.07959000000005</v>
      </c>
      <c r="F1399">
        <v>839.04083000000003</v>
      </c>
      <c r="G1399">
        <v>2848998239</v>
      </c>
      <c r="H1399" t="s">
        <v>20</v>
      </c>
    </row>
    <row r="1400" spans="1:8" x14ac:dyDescent="0.3">
      <c r="A1400" t="s">
        <v>253</v>
      </c>
      <c r="B1400" t="s">
        <v>9</v>
      </c>
      <c r="C1400">
        <v>0.85102</v>
      </c>
      <c r="D1400">
        <v>0.93901999999999997</v>
      </c>
      <c r="E1400">
        <v>0.82342000000000004</v>
      </c>
      <c r="F1400">
        <v>0.92991999999999997</v>
      </c>
      <c r="G1400">
        <v>2834699734</v>
      </c>
      <c r="H1400" t="s">
        <v>10</v>
      </c>
    </row>
    <row r="1401" spans="1:8" x14ac:dyDescent="0.3">
      <c r="A1401" t="s">
        <v>253</v>
      </c>
      <c r="B1401" t="s">
        <v>11</v>
      </c>
      <c r="C1401">
        <v>112433.7344</v>
      </c>
      <c r="D1401">
        <v>117377.39840000001</v>
      </c>
      <c r="E1401">
        <v>111678.94530000001</v>
      </c>
      <c r="F1401">
        <v>116874.08590000001</v>
      </c>
      <c r="G1401">
        <v>82528088240</v>
      </c>
      <c r="H1401" t="s">
        <v>12</v>
      </c>
    </row>
    <row r="1402" spans="1:8" x14ac:dyDescent="0.3">
      <c r="A1402" t="s">
        <v>253</v>
      </c>
      <c r="B1402" t="s">
        <v>13</v>
      </c>
      <c r="C1402">
        <v>180.27968999999999</v>
      </c>
      <c r="D1402">
        <v>201.93735000000001</v>
      </c>
      <c r="E1402">
        <v>177.47476</v>
      </c>
      <c r="F1402">
        <v>200.64744999999999</v>
      </c>
      <c r="G1402">
        <v>10256417346</v>
      </c>
      <c r="H1402" t="s">
        <v>14</v>
      </c>
    </row>
    <row r="1403" spans="1:8" x14ac:dyDescent="0.3">
      <c r="A1403" t="s">
        <v>253</v>
      </c>
      <c r="B1403" t="s">
        <v>15</v>
      </c>
      <c r="C1403">
        <v>2.8505099999999999</v>
      </c>
      <c r="D1403">
        <v>3.0979899999999998</v>
      </c>
      <c r="E1403">
        <v>2.7843399999999998</v>
      </c>
      <c r="F1403">
        <v>3.0757699999999999</v>
      </c>
      <c r="G1403">
        <v>10060500291</v>
      </c>
      <c r="H1403" t="s">
        <v>16</v>
      </c>
    </row>
    <row r="1404" spans="1:8" x14ac:dyDescent="0.3">
      <c r="A1404" t="s">
        <v>253</v>
      </c>
      <c r="B1404" t="s">
        <v>17</v>
      </c>
      <c r="C1404">
        <v>4223.7309599999999</v>
      </c>
      <c r="D1404">
        <v>4884.2280300000002</v>
      </c>
      <c r="E1404">
        <v>4209.47217</v>
      </c>
      <c r="F1404">
        <v>4831.3486300000004</v>
      </c>
      <c r="G1404">
        <v>75965521535</v>
      </c>
      <c r="H1404" t="s">
        <v>18</v>
      </c>
    </row>
    <row r="1405" spans="1:8" x14ac:dyDescent="0.3">
      <c r="A1405" t="s">
        <v>253</v>
      </c>
      <c r="B1405" t="s">
        <v>19</v>
      </c>
      <c r="C1405">
        <v>839.04083000000003</v>
      </c>
      <c r="D1405">
        <v>899.70012999999994</v>
      </c>
      <c r="E1405">
        <v>839.04083000000003</v>
      </c>
      <c r="F1405">
        <v>898.77454</v>
      </c>
      <c r="G1405">
        <v>3534039226</v>
      </c>
      <c r="H1405" t="s">
        <v>20</v>
      </c>
    </row>
    <row r="1406" spans="1:8" x14ac:dyDescent="0.3">
      <c r="A1406" t="s">
        <v>254</v>
      </c>
      <c r="B1406" t="s">
        <v>9</v>
      </c>
      <c r="C1406">
        <v>0.92991999999999997</v>
      </c>
      <c r="D1406">
        <v>0.93359000000000003</v>
      </c>
      <c r="E1406">
        <v>0.89229999999999998</v>
      </c>
      <c r="F1406">
        <v>0.91313</v>
      </c>
      <c r="G1406">
        <v>1485858765</v>
      </c>
      <c r="H1406" t="s">
        <v>10</v>
      </c>
    </row>
    <row r="1407" spans="1:8" x14ac:dyDescent="0.3">
      <c r="A1407" t="s">
        <v>254</v>
      </c>
      <c r="B1407" t="s">
        <v>11</v>
      </c>
      <c r="C1407">
        <v>116866.36719999999</v>
      </c>
      <c r="D1407">
        <v>116996.25</v>
      </c>
      <c r="E1407">
        <v>114536.1094</v>
      </c>
      <c r="F1407">
        <v>115374.3281</v>
      </c>
      <c r="G1407">
        <v>55377142586</v>
      </c>
      <c r="H1407" t="s">
        <v>12</v>
      </c>
    </row>
    <row r="1408" spans="1:8" x14ac:dyDescent="0.3">
      <c r="A1408" t="s">
        <v>254</v>
      </c>
      <c r="B1408" t="s">
        <v>13</v>
      </c>
      <c r="C1408">
        <v>200.64616000000001</v>
      </c>
      <c r="D1408">
        <v>207.839</v>
      </c>
      <c r="E1408">
        <v>195.37183999999999</v>
      </c>
      <c r="F1408">
        <v>203.93673999999999</v>
      </c>
      <c r="G1408">
        <v>7845395369</v>
      </c>
      <c r="H1408" t="s">
        <v>14</v>
      </c>
    </row>
    <row r="1409" spans="1:8" x14ac:dyDescent="0.3">
      <c r="A1409" t="s">
        <v>254</v>
      </c>
      <c r="B1409" t="s">
        <v>15</v>
      </c>
      <c r="C1409">
        <v>3.07578</v>
      </c>
      <c r="D1409">
        <v>3.07579</v>
      </c>
      <c r="E1409">
        <v>2.9706800000000002</v>
      </c>
      <c r="F1409">
        <v>3.0462099999999999</v>
      </c>
      <c r="G1409">
        <v>4711873113</v>
      </c>
      <c r="H1409" t="s">
        <v>16</v>
      </c>
    </row>
    <row r="1410" spans="1:8" x14ac:dyDescent="0.3">
      <c r="A1410" t="s">
        <v>254</v>
      </c>
      <c r="B1410" t="s">
        <v>17</v>
      </c>
      <c r="C1410">
        <v>4831.0883800000001</v>
      </c>
      <c r="D1410">
        <v>4831.6108400000003</v>
      </c>
      <c r="E1410">
        <v>4669.7250999999997</v>
      </c>
      <c r="F1410">
        <v>4776.09033</v>
      </c>
      <c r="G1410">
        <v>36503623278</v>
      </c>
      <c r="H1410" t="s">
        <v>18</v>
      </c>
    </row>
    <row r="1411" spans="1:8" x14ac:dyDescent="0.3">
      <c r="A1411" t="s">
        <v>254</v>
      </c>
      <c r="B1411" t="s">
        <v>19</v>
      </c>
      <c r="C1411">
        <v>898.77454</v>
      </c>
      <c r="D1411">
        <v>899.35943999999995</v>
      </c>
      <c r="E1411">
        <v>876.51215000000002</v>
      </c>
      <c r="F1411">
        <v>880.04614000000004</v>
      </c>
      <c r="G1411">
        <v>2470653598</v>
      </c>
      <c r="H1411" t="s">
        <v>20</v>
      </c>
    </row>
    <row r="1412" spans="1:8" x14ac:dyDescent="0.3">
      <c r="A1412" t="s">
        <v>255</v>
      </c>
      <c r="B1412" t="s">
        <v>9</v>
      </c>
      <c r="C1412">
        <v>0.91315000000000002</v>
      </c>
      <c r="D1412">
        <v>0.96009</v>
      </c>
      <c r="E1412">
        <v>0.88915999999999995</v>
      </c>
      <c r="F1412">
        <v>0.90961000000000003</v>
      </c>
      <c r="G1412">
        <v>2134094046</v>
      </c>
      <c r="H1412" t="s">
        <v>10</v>
      </c>
    </row>
    <row r="1413" spans="1:8" x14ac:dyDescent="0.3">
      <c r="A1413" t="s">
        <v>255</v>
      </c>
      <c r="B1413" t="s">
        <v>11</v>
      </c>
      <c r="C1413">
        <v>115387.3906</v>
      </c>
      <c r="D1413">
        <v>115615.08590000001</v>
      </c>
      <c r="E1413">
        <v>111060.5469</v>
      </c>
      <c r="F1413">
        <v>113458.42969999999</v>
      </c>
      <c r="G1413">
        <v>73961489632</v>
      </c>
      <c r="H1413" t="s">
        <v>12</v>
      </c>
    </row>
    <row r="1414" spans="1:8" x14ac:dyDescent="0.3">
      <c r="A1414" t="s">
        <v>255</v>
      </c>
      <c r="B1414" t="s">
        <v>13</v>
      </c>
      <c r="C1414">
        <v>203.93715</v>
      </c>
      <c r="D1414">
        <v>211.76024000000001</v>
      </c>
      <c r="E1414">
        <v>201.7072</v>
      </c>
      <c r="F1414">
        <v>205.85237000000001</v>
      </c>
      <c r="G1414">
        <v>11456987571</v>
      </c>
      <c r="H1414" t="s">
        <v>14</v>
      </c>
    </row>
    <row r="1415" spans="1:8" x14ac:dyDescent="0.3">
      <c r="A1415" t="s">
        <v>255</v>
      </c>
      <c r="B1415" t="s">
        <v>15</v>
      </c>
      <c r="C1415">
        <v>3.04623</v>
      </c>
      <c r="D1415">
        <v>3.1236700000000002</v>
      </c>
      <c r="E1415">
        <v>2.99892</v>
      </c>
      <c r="F1415">
        <v>3.0258699999999998</v>
      </c>
      <c r="G1415">
        <v>6414069609</v>
      </c>
      <c r="H1415" t="s">
        <v>16</v>
      </c>
    </row>
    <row r="1416" spans="1:8" x14ac:dyDescent="0.3">
      <c r="A1416" t="s">
        <v>255</v>
      </c>
      <c r="B1416" t="s">
        <v>17</v>
      </c>
      <c r="C1416">
        <v>4776.7045900000003</v>
      </c>
      <c r="D1416">
        <v>4953.7329099999997</v>
      </c>
      <c r="E1416">
        <v>4714.4726600000004</v>
      </c>
      <c r="F1416">
        <v>4779.6474600000001</v>
      </c>
      <c r="G1416">
        <v>52405003873</v>
      </c>
      <c r="H1416" t="s">
        <v>18</v>
      </c>
    </row>
    <row r="1417" spans="1:8" x14ac:dyDescent="0.3">
      <c r="A1417" t="s">
        <v>255</v>
      </c>
      <c r="B1417" t="s">
        <v>19</v>
      </c>
      <c r="C1417">
        <v>880.05334000000005</v>
      </c>
      <c r="D1417">
        <v>885.55602999999996</v>
      </c>
      <c r="E1417">
        <v>860.03521999999998</v>
      </c>
      <c r="F1417">
        <v>876.08019999999999</v>
      </c>
      <c r="G1417">
        <v>2909070734</v>
      </c>
      <c r="H1417" t="s">
        <v>20</v>
      </c>
    </row>
    <row r="1418" spans="1:8" x14ac:dyDescent="0.3">
      <c r="A1418" t="s">
        <v>256</v>
      </c>
      <c r="B1418" t="s">
        <v>9</v>
      </c>
      <c r="C1418">
        <v>0.90961000000000003</v>
      </c>
      <c r="D1418">
        <v>0.92523</v>
      </c>
      <c r="E1418">
        <v>0.83304999999999996</v>
      </c>
      <c r="F1418">
        <v>0.83762999999999999</v>
      </c>
      <c r="G1418">
        <v>2362229556</v>
      </c>
      <c r="H1418" t="s">
        <v>10</v>
      </c>
    </row>
    <row r="1419" spans="1:8" x14ac:dyDescent="0.3">
      <c r="A1419" t="s">
        <v>256</v>
      </c>
      <c r="B1419" t="s">
        <v>11</v>
      </c>
      <c r="C1419">
        <v>113456.89840000001</v>
      </c>
      <c r="D1419">
        <v>113637.8438</v>
      </c>
      <c r="E1419">
        <v>109324.2813</v>
      </c>
      <c r="F1419">
        <v>110124.35159999999</v>
      </c>
      <c r="G1419">
        <v>85706860190</v>
      </c>
      <c r="H1419" t="s">
        <v>12</v>
      </c>
    </row>
    <row r="1420" spans="1:8" x14ac:dyDescent="0.3">
      <c r="A1420" t="s">
        <v>256</v>
      </c>
      <c r="B1420" t="s">
        <v>13</v>
      </c>
      <c r="C1420">
        <v>205.85543999999999</v>
      </c>
      <c r="D1420">
        <v>213.00613000000001</v>
      </c>
      <c r="E1420">
        <v>186.02504999999999</v>
      </c>
      <c r="F1420">
        <v>187.27843999999999</v>
      </c>
      <c r="G1420">
        <v>13048248034</v>
      </c>
      <c r="H1420" t="s">
        <v>14</v>
      </c>
    </row>
    <row r="1421" spans="1:8" x14ac:dyDescent="0.3">
      <c r="A1421" t="s">
        <v>256</v>
      </c>
      <c r="B1421" t="s">
        <v>15</v>
      </c>
      <c r="C1421">
        <v>3.0258799999999999</v>
      </c>
      <c r="D1421">
        <v>3.0491600000000001</v>
      </c>
      <c r="E1421">
        <v>2.83338</v>
      </c>
      <c r="F1421">
        <v>2.8612700000000002</v>
      </c>
      <c r="G1421">
        <v>7446594518</v>
      </c>
      <c r="H1421" t="s">
        <v>16</v>
      </c>
    </row>
    <row r="1422" spans="1:8" x14ac:dyDescent="0.3">
      <c r="A1422" t="s">
        <v>256</v>
      </c>
      <c r="B1422" t="s">
        <v>17</v>
      </c>
      <c r="C1422">
        <v>4779.7695299999996</v>
      </c>
      <c r="D1422">
        <v>4796.3500999999997</v>
      </c>
      <c r="E1422">
        <v>4343.9472699999997</v>
      </c>
      <c r="F1422">
        <v>4372.9877900000001</v>
      </c>
      <c r="G1422">
        <v>63936163545</v>
      </c>
      <c r="H1422" t="s">
        <v>18</v>
      </c>
    </row>
    <row r="1423" spans="1:8" x14ac:dyDescent="0.3">
      <c r="A1423" t="s">
        <v>256</v>
      </c>
      <c r="B1423" t="s">
        <v>19</v>
      </c>
      <c r="C1423">
        <v>876.08019999999999</v>
      </c>
      <c r="D1423">
        <v>879.94073000000003</v>
      </c>
      <c r="E1423">
        <v>835.25598000000002</v>
      </c>
      <c r="F1423">
        <v>840.17193999999995</v>
      </c>
      <c r="G1423">
        <v>3300479072</v>
      </c>
      <c r="H1423" t="s">
        <v>20</v>
      </c>
    </row>
    <row r="1424" spans="1:8" x14ac:dyDescent="0.3">
      <c r="A1424" t="s">
        <v>257</v>
      </c>
      <c r="B1424" t="s">
        <v>9</v>
      </c>
      <c r="C1424">
        <v>0.83762999999999999</v>
      </c>
      <c r="D1424">
        <v>0.87382000000000004</v>
      </c>
      <c r="E1424">
        <v>0.83209999999999995</v>
      </c>
      <c r="F1424">
        <v>0.86668000000000001</v>
      </c>
      <c r="G1424">
        <v>1410119067</v>
      </c>
      <c r="H1424" t="s">
        <v>10</v>
      </c>
    </row>
    <row r="1425" spans="1:8" x14ac:dyDescent="0.3">
      <c r="A1425" t="s">
        <v>257</v>
      </c>
      <c r="B1425" t="s">
        <v>11</v>
      </c>
      <c r="C1425">
        <v>110124.10159999999</v>
      </c>
      <c r="D1425">
        <v>112397.0156</v>
      </c>
      <c r="E1425">
        <v>108762.03909999999</v>
      </c>
      <c r="F1425">
        <v>111802.6563</v>
      </c>
      <c r="G1425">
        <v>69396320317</v>
      </c>
      <c r="H1425" t="s">
        <v>12</v>
      </c>
    </row>
    <row r="1426" spans="1:8" x14ac:dyDescent="0.3">
      <c r="A1426" t="s">
        <v>257</v>
      </c>
      <c r="B1426" t="s">
        <v>13</v>
      </c>
      <c r="C1426">
        <v>187.26841999999999</v>
      </c>
      <c r="D1426">
        <v>197.84653</v>
      </c>
      <c r="E1426">
        <v>186.17345</v>
      </c>
      <c r="F1426">
        <v>195.90509</v>
      </c>
      <c r="G1426">
        <v>8032115173</v>
      </c>
      <c r="H1426" t="s">
        <v>14</v>
      </c>
    </row>
    <row r="1427" spans="1:8" x14ac:dyDescent="0.3">
      <c r="A1427" t="s">
        <v>257</v>
      </c>
      <c r="B1427" t="s">
        <v>15</v>
      </c>
      <c r="C1427">
        <v>2.8612600000000001</v>
      </c>
      <c r="D1427">
        <v>3.0737399999999999</v>
      </c>
      <c r="E1427">
        <v>2.85772</v>
      </c>
      <c r="F1427">
        <v>3.0122200000000001</v>
      </c>
      <c r="G1427">
        <v>7015039498</v>
      </c>
      <c r="H1427" t="s">
        <v>16</v>
      </c>
    </row>
    <row r="1428" spans="1:8" x14ac:dyDescent="0.3">
      <c r="A1428" t="s">
        <v>257</v>
      </c>
      <c r="B1428" t="s">
        <v>17</v>
      </c>
      <c r="C1428">
        <v>4372.8803699999999</v>
      </c>
      <c r="D1428">
        <v>4632.0732399999997</v>
      </c>
      <c r="E1428">
        <v>4316.3007799999996</v>
      </c>
      <c r="F1428">
        <v>4600.4267600000003</v>
      </c>
      <c r="G1428">
        <v>53829747706</v>
      </c>
      <c r="H1428" t="s">
        <v>18</v>
      </c>
    </row>
    <row r="1429" spans="1:8" x14ac:dyDescent="0.3">
      <c r="A1429" t="s">
        <v>257</v>
      </c>
      <c r="B1429" t="s">
        <v>19</v>
      </c>
      <c r="C1429">
        <v>840.17102</v>
      </c>
      <c r="D1429">
        <v>867.71283000000005</v>
      </c>
      <c r="E1429">
        <v>832.71942000000001</v>
      </c>
      <c r="F1429">
        <v>863.63049000000001</v>
      </c>
      <c r="G1429">
        <v>2609863400</v>
      </c>
      <c r="H1429" t="s">
        <v>20</v>
      </c>
    </row>
    <row r="1430" spans="1:8" x14ac:dyDescent="0.3">
      <c r="A1430" t="s">
        <v>258</v>
      </c>
      <c r="B1430" t="s">
        <v>9</v>
      </c>
      <c r="C1430">
        <v>0.86668000000000001</v>
      </c>
      <c r="D1430">
        <v>0.87519000000000002</v>
      </c>
      <c r="E1430">
        <v>0.85009999999999997</v>
      </c>
      <c r="F1430">
        <v>0.85016000000000003</v>
      </c>
      <c r="G1430">
        <v>1323719490</v>
      </c>
      <c r="H1430" t="s">
        <v>10</v>
      </c>
    </row>
    <row r="1431" spans="1:8" x14ac:dyDescent="0.3">
      <c r="A1431" t="s">
        <v>258</v>
      </c>
      <c r="B1431" t="s">
        <v>11</v>
      </c>
      <c r="C1431">
        <v>111795.71090000001</v>
      </c>
      <c r="D1431">
        <v>112619.41409999999</v>
      </c>
      <c r="E1431">
        <v>110398.2656</v>
      </c>
      <c r="F1431">
        <v>111222.0625</v>
      </c>
      <c r="G1431">
        <v>62137056409</v>
      </c>
      <c r="H1431" t="s">
        <v>12</v>
      </c>
    </row>
    <row r="1432" spans="1:8" x14ac:dyDescent="0.3">
      <c r="A1432" t="s">
        <v>258</v>
      </c>
      <c r="B1432" t="s">
        <v>13</v>
      </c>
      <c r="C1432">
        <v>195.90601000000001</v>
      </c>
      <c r="D1432">
        <v>211.85757000000001</v>
      </c>
      <c r="E1432">
        <v>194.06310999999999</v>
      </c>
      <c r="F1432">
        <v>202.92337000000001</v>
      </c>
      <c r="G1432">
        <v>12883119559</v>
      </c>
      <c r="H1432" t="s">
        <v>14</v>
      </c>
    </row>
    <row r="1433" spans="1:8" x14ac:dyDescent="0.3">
      <c r="A1433" t="s">
        <v>258</v>
      </c>
      <c r="B1433" t="s">
        <v>15</v>
      </c>
      <c r="C1433">
        <v>3.0122300000000002</v>
      </c>
      <c r="D1433">
        <v>3.0425300000000002</v>
      </c>
      <c r="E1433">
        <v>2.96428</v>
      </c>
      <c r="F1433">
        <v>2.9666199999999998</v>
      </c>
      <c r="G1433">
        <v>6656258780</v>
      </c>
      <c r="H1433" t="s">
        <v>16</v>
      </c>
    </row>
    <row r="1434" spans="1:8" x14ac:dyDescent="0.3">
      <c r="A1434" t="s">
        <v>258</v>
      </c>
      <c r="B1434" t="s">
        <v>17</v>
      </c>
      <c r="C1434">
        <v>4600.5102500000003</v>
      </c>
      <c r="D1434">
        <v>4659.9873100000004</v>
      </c>
      <c r="E1434">
        <v>4489.2978499999999</v>
      </c>
      <c r="F1434">
        <v>4503.3930700000001</v>
      </c>
      <c r="G1434">
        <v>43509902322</v>
      </c>
      <c r="H1434" t="s">
        <v>18</v>
      </c>
    </row>
    <row r="1435" spans="1:8" x14ac:dyDescent="0.3">
      <c r="A1435" t="s">
        <v>258</v>
      </c>
      <c r="B1435" t="s">
        <v>19</v>
      </c>
      <c r="C1435">
        <v>863.63049000000001</v>
      </c>
      <c r="D1435">
        <v>866.98473999999999</v>
      </c>
      <c r="E1435">
        <v>853.86566000000005</v>
      </c>
      <c r="F1435">
        <v>855.6463</v>
      </c>
      <c r="G1435">
        <v>2391188252</v>
      </c>
      <c r="H1435" t="s">
        <v>20</v>
      </c>
    </row>
    <row r="1436" spans="1:8" x14ac:dyDescent="0.3">
      <c r="A1436" t="s">
        <v>259</v>
      </c>
      <c r="B1436" t="s">
        <v>9</v>
      </c>
      <c r="C1436">
        <v>0.85016000000000003</v>
      </c>
      <c r="D1436">
        <v>0.87785000000000002</v>
      </c>
      <c r="E1436">
        <v>0.84382999999999997</v>
      </c>
      <c r="F1436">
        <v>0.85775000000000001</v>
      </c>
      <c r="G1436">
        <v>1202927839</v>
      </c>
      <c r="H1436" t="s">
        <v>10</v>
      </c>
    </row>
    <row r="1437" spans="1:8" x14ac:dyDescent="0.3">
      <c r="A1437" t="s">
        <v>259</v>
      </c>
      <c r="B1437" t="s">
        <v>11</v>
      </c>
      <c r="C1437">
        <v>111219.05469999999</v>
      </c>
      <c r="D1437">
        <v>113450.0781</v>
      </c>
      <c r="E1437">
        <v>110900.9219</v>
      </c>
      <c r="F1437">
        <v>112544.80469999999</v>
      </c>
      <c r="G1437">
        <v>58860155962</v>
      </c>
      <c r="H1437" t="s">
        <v>12</v>
      </c>
    </row>
    <row r="1438" spans="1:8" x14ac:dyDescent="0.3">
      <c r="A1438" t="s">
        <v>259</v>
      </c>
      <c r="B1438" t="s">
        <v>13</v>
      </c>
      <c r="C1438">
        <v>202.92571000000001</v>
      </c>
      <c r="D1438">
        <v>216.0874</v>
      </c>
      <c r="E1438">
        <v>202.00713999999999</v>
      </c>
      <c r="F1438">
        <v>214.40564000000001</v>
      </c>
      <c r="G1438">
        <v>12079041801</v>
      </c>
      <c r="H1438" t="s">
        <v>14</v>
      </c>
    </row>
    <row r="1439" spans="1:8" x14ac:dyDescent="0.3">
      <c r="A1439" t="s">
        <v>259</v>
      </c>
      <c r="B1439" t="s">
        <v>15</v>
      </c>
      <c r="C1439">
        <v>2.96672</v>
      </c>
      <c r="D1439">
        <v>3.02407</v>
      </c>
      <c r="E1439">
        <v>2.9460999999999999</v>
      </c>
      <c r="F1439">
        <v>2.9670899999999998</v>
      </c>
      <c r="G1439">
        <v>5961279099</v>
      </c>
      <c r="H1439" t="s">
        <v>16</v>
      </c>
    </row>
    <row r="1440" spans="1:8" x14ac:dyDescent="0.3">
      <c r="A1440" t="s">
        <v>259</v>
      </c>
      <c r="B1440" t="s">
        <v>17</v>
      </c>
      <c r="C1440">
        <v>4503.6313499999997</v>
      </c>
      <c r="D1440">
        <v>4629.03125</v>
      </c>
      <c r="E1440">
        <v>4435.1093799999999</v>
      </c>
      <c r="F1440">
        <v>4507.1777300000003</v>
      </c>
      <c r="G1440">
        <v>36045274078</v>
      </c>
      <c r="H1440" t="s">
        <v>18</v>
      </c>
    </row>
    <row r="1441" spans="1:8" x14ac:dyDescent="0.3">
      <c r="A1441" t="s">
        <v>259</v>
      </c>
      <c r="B1441" t="s">
        <v>19</v>
      </c>
      <c r="C1441">
        <v>855.6463</v>
      </c>
      <c r="D1441">
        <v>878.80858999999998</v>
      </c>
      <c r="E1441">
        <v>851.89862000000005</v>
      </c>
      <c r="F1441">
        <v>874.36603000000002</v>
      </c>
      <c r="G1441">
        <v>2744315947</v>
      </c>
      <c r="H1441" t="s">
        <v>20</v>
      </c>
    </row>
    <row r="1442" spans="1:8" x14ac:dyDescent="0.3">
      <c r="A1442" t="s">
        <v>260</v>
      </c>
      <c r="B1442" t="s">
        <v>9</v>
      </c>
      <c r="C1442">
        <v>0.85775999999999997</v>
      </c>
      <c r="D1442">
        <v>0.86262000000000005</v>
      </c>
      <c r="E1442">
        <v>0.81220000000000003</v>
      </c>
      <c r="F1442">
        <v>0.82713999999999999</v>
      </c>
      <c r="G1442">
        <v>1678140344</v>
      </c>
      <c r="H1442" t="s">
        <v>10</v>
      </c>
    </row>
    <row r="1443" spans="1:8" x14ac:dyDescent="0.3">
      <c r="A1443" t="s">
        <v>260</v>
      </c>
      <c r="B1443" t="s">
        <v>11</v>
      </c>
      <c r="C1443">
        <v>112550.52340000001</v>
      </c>
      <c r="D1443">
        <v>112619.05469999999</v>
      </c>
      <c r="E1443">
        <v>107559.625</v>
      </c>
      <c r="F1443">
        <v>108410.83590000001</v>
      </c>
      <c r="G1443">
        <v>77843379644</v>
      </c>
      <c r="H1443" t="s">
        <v>12</v>
      </c>
    </row>
    <row r="1444" spans="1:8" x14ac:dyDescent="0.3">
      <c r="A1444" t="s">
        <v>260</v>
      </c>
      <c r="B1444" t="s">
        <v>13</v>
      </c>
      <c r="C1444">
        <v>214.40134</v>
      </c>
      <c r="D1444">
        <v>217.83670000000001</v>
      </c>
      <c r="E1444">
        <v>200.43593999999999</v>
      </c>
      <c r="F1444">
        <v>205.22</v>
      </c>
      <c r="G1444">
        <v>14055051455</v>
      </c>
      <c r="H1444" t="s">
        <v>14</v>
      </c>
    </row>
    <row r="1445" spans="1:8" x14ac:dyDescent="0.3">
      <c r="A1445" t="s">
        <v>260</v>
      </c>
      <c r="B1445" t="s">
        <v>15</v>
      </c>
      <c r="C1445">
        <v>2.96705</v>
      </c>
      <c r="D1445">
        <v>2.9724400000000002</v>
      </c>
      <c r="E1445">
        <v>2.7809599999999999</v>
      </c>
      <c r="F1445">
        <v>2.8219599999999998</v>
      </c>
      <c r="G1445">
        <v>8455152430</v>
      </c>
      <c r="H1445" t="s">
        <v>16</v>
      </c>
    </row>
    <row r="1446" spans="1:8" x14ac:dyDescent="0.3">
      <c r="A1446" t="s">
        <v>260</v>
      </c>
      <c r="B1446" t="s">
        <v>17</v>
      </c>
      <c r="C1446">
        <v>4507.6313499999997</v>
      </c>
      <c r="D1446">
        <v>4513.8593799999999</v>
      </c>
      <c r="E1446">
        <v>4272.4594699999998</v>
      </c>
      <c r="F1446">
        <v>4360.15283</v>
      </c>
      <c r="G1446">
        <v>46899991962</v>
      </c>
      <c r="H1446" t="s">
        <v>18</v>
      </c>
    </row>
    <row r="1447" spans="1:8" x14ac:dyDescent="0.3">
      <c r="A1447" t="s">
        <v>260</v>
      </c>
      <c r="B1447" t="s">
        <v>19</v>
      </c>
      <c r="C1447">
        <v>874.35455000000002</v>
      </c>
      <c r="D1447">
        <v>876.84771999999998</v>
      </c>
      <c r="E1447">
        <v>851.31415000000004</v>
      </c>
      <c r="F1447">
        <v>863.27655000000004</v>
      </c>
      <c r="G1447">
        <v>2614507748</v>
      </c>
      <c r="H1447" t="s">
        <v>20</v>
      </c>
    </row>
    <row r="1448" spans="1:8" x14ac:dyDescent="0.3">
      <c r="A1448" t="s">
        <v>261</v>
      </c>
      <c r="B1448" t="s">
        <v>9</v>
      </c>
      <c r="C1448">
        <v>0.82715000000000005</v>
      </c>
      <c r="D1448">
        <v>0.84184999999999999</v>
      </c>
      <c r="E1448">
        <v>0.80911</v>
      </c>
      <c r="F1448">
        <v>0.82240000000000002</v>
      </c>
      <c r="G1448">
        <v>795989685</v>
      </c>
      <c r="H1448" t="s">
        <v>10</v>
      </c>
    </row>
    <row r="1449" spans="1:8" x14ac:dyDescent="0.3">
      <c r="A1449" t="s">
        <v>261</v>
      </c>
      <c r="B1449" t="s">
        <v>11</v>
      </c>
      <c r="C1449">
        <v>108409.4063</v>
      </c>
      <c r="D1449">
        <v>108929.35159999999</v>
      </c>
      <c r="E1449">
        <v>107444.44530000001</v>
      </c>
      <c r="F1449">
        <v>108808.07030000001</v>
      </c>
      <c r="G1449">
        <v>51486264208</v>
      </c>
      <c r="H1449" t="s">
        <v>12</v>
      </c>
    </row>
    <row r="1450" spans="1:8" x14ac:dyDescent="0.3">
      <c r="A1450" t="s">
        <v>261</v>
      </c>
      <c r="B1450" t="s">
        <v>13</v>
      </c>
      <c r="C1450">
        <v>205.21448000000001</v>
      </c>
      <c r="D1450">
        <v>206.8004</v>
      </c>
      <c r="E1450">
        <v>197.89420000000001</v>
      </c>
      <c r="F1450">
        <v>202.86014</v>
      </c>
      <c r="G1450">
        <v>5828701739</v>
      </c>
      <c r="H1450" t="s">
        <v>14</v>
      </c>
    </row>
    <row r="1451" spans="1:8" x14ac:dyDescent="0.3">
      <c r="A1451" t="s">
        <v>261</v>
      </c>
      <c r="B1451" t="s">
        <v>15</v>
      </c>
      <c r="C1451">
        <v>2.82193</v>
      </c>
      <c r="D1451">
        <v>2.8336800000000002</v>
      </c>
      <c r="E1451">
        <v>2.77129</v>
      </c>
      <c r="F1451">
        <v>2.81819</v>
      </c>
      <c r="G1451">
        <v>3786859473</v>
      </c>
      <c r="H1451" t="s">
        <v>16</v>
      </c>
    </row>
    <row r="1452" spans="1:8" x14ac:dyDescent="0.3">
      <c r="A1452" t="s">
        <v>261</v>
      </c>
      <c r="B1452" t="s">
        <v>17</v>
      </c>
      <c r="C1452">
        <v>4360.0888699999996</v>
      </c>
      <c r="D1452">
        <v>4413.2749000000003</v>
      </c>
      <c r="E1452">
        <v>4264.1953100000001</v>
      </c>
      <c r="F1452">
        <v>4374.1533200000003</v>
      </c>
      <c r="G1452">
        <v>25883112278</v>
      </c>
      <c r="H1452" t="s">
        <v>18</v>
      </c>
    </row>
    <row r="1453" spans="1:8" x14ac:dyDescent="0.3">
      <c r="A1453" t="s">
        <v>261</v>
      </c>
      <c r="B1453" t="s">
        <v>19</v>
      </c>
      <c r="C1453">
        <v>863.28216999999995</v>
      </c>
      <c r="D1453">
        <v>863.64477999999997</v>
      </c>
      <c r="E1453">
        <v>852.81872999999996</v>
      </c>
      <c r="F1453">
        <v>862.40399000000002</v>
      </c>
      <c r="G1453">
        <v>2030968355</v>
      </c>
      <c r="H1453" t="s">
        <v>20</v>
      </c>
    </row>
    <row r="1454" spans="1:8" x14ac:dyDescent="0.3">
      <c r="A1454" t="s">
        <v>262</v>
      </c>
      <c r="B1454" t="s">
        <v>9</v>
      </c>
      <c r="C1454">
        <v>0.82240999999999997</v>
      </c>
      <c r="D1454">
        <v>0.83694000000000002</v>
      </c>
      <c r="E1454">
        <v>0.81100000000000005</v>
      </c>
      <c r="F1454">
        <v>0.81135999999999997</v>
      </c>
      <c r="G1454">
        <v>686397615</v>
      </c>
      <c r="H1454" t="s">
        <v>10</v>
      </c>
    </row>
    <row r="1455" spans="1:8" x14ac:dyDescent="0.3">
      <c r="A1455" t="s">
        <v>262</v>
      </c>
      <c r="B1455" t="s">
        <v>11</v>
      </c>
      <c r="C1455">
        <v>108818.46090000001</v>
      </c>
      <c r="D1455">
        <v>109491</v>
      </c>
      <c r="E1455">
        <v>108104.6563</v>
      </c>
      <c r="F1455">
        <v>108236.71090000001</v>
      </c>
      <c r="G1455">
        <v>47986191770</v>
      </c>
      <c r="H1455" t="s">
        <v>12</v>
      </c>
    </row>
    <row r="1456" spans="1:8" x14ac:dyDescent="0.3">
      <c r="A1456" t="s">
        <v>262</v>
      </c>
      <c r="B1456" t="s">
        <v>13</v>
      </c>
      <c r="C1456">
        <v>202.85719</v>
      </c>
      <c r="D1456">
        <v>206.50695999999999</v>
      </c>
      <c r="E1456">
        <v>200.65669</v>
      </c>
      <c r="F1456">
        <v>200.86354</v>
      </c>
      <c r="G1456">
        <v>5028997406</v>
      </c>
      <c r="H1456" t="s">
        <v>14</v>
      </c>
    </row>
    <row r="1457" spans="1:8" x14ac:dyDescent="0.3">
      <c r="A1457" t="s">
        <v>262</v>
      </c>
      <c r="B1457" t="s">
        <v>15</v>
      </c>
      <c r="C1457">
        <v>2.81819</v>
      </c>
      <c r="D1457">
        <v>2.8643100000000001</v>
      </c>
      <c r="E1457">
        <v>2.7743799999999998</v>
      </c>
      <c r="F1457">
        <v>2.77664</v>
      </c>
      <c r="G1457">
        <v>3292986154</v>
      </c>
      <c r="H1457" t="s">
        <v>16</v>
      </c>
    </row>
    <row r="1458" spans="1:8" x14ac:dyDescent="0.3">
      <c r="A1458" t="s">
        <v>262</v>
      </c>
      <c r="B1458" t="s">
        <v>17</v>
      </c>
      <c r="C1458">
        <v>4374.8935600000004</v>
      </c>
      <c r="D1458">
        <v>4497.1767600000003</v>
      </c>
      <c r="E1458">
        <v>4373.5966799999997</v>
      </c>
      <c r="F1458">
        <v>4390.0190400000001</v>
      </c>
      <c r="G1458">
        <v>26683044984</v>
      </c>
      <c r="H1458" t="s">
        <v>18</v>
      </c>
    </row>
    <row r="1459" spans="1:8" x14ac:dyDescent="0.3">
      <c r="A1459" t="s">
        <v>262</v>
      </c>
      <c r="B1459" t="s">
        <v>19</v>
      </c>
      <c r="C1459">
        <v>862.40399000000002</v>
      </c>
      <c r="D1459">
        <v>867.59667999999999</v>
      </c>
      <c r="E1459">
        <v>857.31781000000001</v>
      </c>
      <c r="F1459">
        <v>857.81677000000002</v>
      </c>
      <c r="G1459">
        <v>1741117798</v>
      </c>
      <c r="H1459" t="s">
        <v>20</v>
      </c>
    </row>
    <row r="1460" spans="1:8" x14ac:dyDescent="0.3">
      <c r="A1460" t="s">
        <v>263</v>
      </c>
      <c r="B1460" t="s">
        <v>9</v>
      </c>
      <c r="C1460">
        <v>0.81135999999999997</v>
      </c>
      <c r="D1460">
        <v>0.84269000000000005</v>
      </c>
      <c r="E1460">
        <v>0.78576999999999997</v>
      </c>
      <c r="F1460">
        <v>0.80018999999999996</v>
      </c>
      <c r="G1460">
        <v>1560962898</v>
      </c>
      <c r="H1460" t="s">
        <v>10</v>
      </c>
    </row>
    <row r="1461" spans="1:8" x14ac:dyDescent="0.3">
      <c r="A1461" t="s">
        <v>263</v>
      </c>
      <c r="B1461" t="s">
        <v>11</v>
      </c>
      <c r="C1461">
        <v>108228.75</v>
      </c>
      <c r="D1461">
        <v>109890.58590000001</v>
      </c>
      <c r="E1461">
        <v>107271.17969999999</v>
      </c>
      <c r="F1461">
        <v>109250.5938</v>
      </c>
      <c r="G1461">
        <v>66870372995</v>
      </c>
      <c r="H1461" t="s">
        <v>12</v>
      </c>
    </row>
    <row r="1462" spans="1:8" x14ac:dyDescent="0.3">
      <c r="A1462" t="s">
        <v>263</v>
      </c>
      <c r="B1462" t="s">
        <v>13</v>
      </c>
      <c r="C1462">
        <v>200.86186000000001</v>
      </c>
      <c r="D1462">
        <v>204.21785</v>
      </c>
      <c r="E1462">
        <v>194.37801999999999</v>
      </c>
      <c r="F1462">
        <v>197.10834</v>
      </c>
      <c r="G1462">
        <v>7253329838</v>
      </c>
      <c r="H1462" t="s">
        <v>14</v>
      </c>
    </row>
    <row r="1463" spans="1:8" x14ac:dyDescent="0.3">
      <c r="A1463" t="s">
        <v>263</v>
      </c>
      <c r="B1463" t="s">
        <v>15</v>
      </c>
      <c r="C1463">
        <v>2.7766799999999998</v>
      </c>
      <c r="D1463">
        <v>2.8342700000000001</v>
      </c>
      <c r="E1463">
        <v>2.7064400000000002</v>
      </c>
      <c r="F1463">
        <v>2.7536999999999998</v>
      </c>
      <c r="G1463">
        <v>8041446525</v>
      </c>
      <c r="H1463" t="s">
        <v>16</v>
      </c>
    </row>
    <row r="1464" spans="1:8" x14ac:dyDescent="0.3">
      <c r="A1464" t="s">
        <v>263</v>
      </c>
      <c r="B1464" t="s">
        <v>17</v>
      </c>
      <c r="C1464">
        <v>4389.6259799999998</v>
      </c>
      <c r="D1464">
        <v>4490.3466799999997</v>
      </c>
      <c r="E1464">
        <v>4221.2475599999998</v>
      </c>
      <c r="F1464">
        <v>4314.4702200000002</v>
      </c>
      <c r="G1464">
        <v>37530746508</v>
      </c>
      <c r="H1464" t="s">
        <v>18</v>
      </c>
    </row>
    <row r="1465" spans="1:8" x14ac:dyDescent="0.3">
      <c r="A1465" t="s">
        <v>263</v>
      </c>
      <c r="B1465" t="s">
        <v>19</v>
      </c>
      <c r="C1465">
        <v>857.81262000000004</v>
      </c>
      <c r="D1465">
        <v>866.97388000000001</v>
      </c>
      <c r="E1465">
        <v>840.89751999999999</v>
      </c>
      <c r="F1465">
        <v>845.82628999999997</v>
      </c>
      <c r="G1465">
        <v>2756614903</v>
      </c>
      <c r="H1465" t="s">
        <v>20</v>
      </c>
    </row>
    <row r="1466" spans="1:8" x14ac:dyDescent="0.3">
      <c r="A1466" t="s">
        <v>264</v>
      </c>
      <c r="B1466" t="s">
        <v>9</v>
      </c>
      <c r="C1466">
        <v>0.80018999999999996</v>
      </c>
      <c r="D1466">
        <v>0.83472999999999997</v>
      </c>
      <c r="E1466">
        <v>0.79932999999999998</v>
      </c>
      <c r="F1466">
        <v>0.83457999999999999</v>
      </c>
      <c r="G1466">
        <v>1225760452</v>
      </c>
      <c r="H1466" t="s">
        <v>10</v>
      </c>
    </row>
    <row r="1467" spans="1:8" x14ac:dyDescent="0.3">
      <c r="A1467" t="s">
        <v>264</v>
      </c>
      <c r="B1467" t="s">
        <v>11</v>
      </c>
      <c r="C1467">
        <v>109243.07030000001</v>
      </c>
      <c r="D1467">
        <v>111748.0156</v>
      </c>
      <c r="E1467">
        <v>108454.0313</v>
      </c>
      <c r="F1467">
        <v>111200.58590000001</v>
      </c>
      <c r="G1467">
        <v>74776999491</v>
      </c>
      <c r="H1467" t="s">
        <v>12</v>
      </c>
    </row>
    <row r="1468" spans="1:8" x14ac:dyDescent="0.3">
      <c r="A1468" t="s">
        <v>264</v>
      </c>
      <c r="B1468" t="s">
        <v>13</v>
      </c>
      <c r="C1468">
        <v>197.10959</v>
      </c>
      <c r="D1468">
        <v>209.48154</v>
      </c>
      <c r="E1468">
        <v>197.09366</v>
      </c>
      <c r="F1468">
        <v>209.48154</v>
      </c>
      <c r="G1468">
        <v>8625200488</v>
      </c>
      <c r="H1468" t="s">
        <v>14</v>
      </c>
    </row>
    <row r="1469" spans="1:8" x14ac:dyDescent="0.3">
      <c r="A1469" t="s">
        <v>264</v>
      </c>
      <c r="B1469" t="s">
        <v>15</v>
      </c>
      <c r="C1469">
        <v>2.7538399999999998</v>
      </c>
      <c r="D1469">
        <v>2.86252</v>
      </c>
      <c r="E1469">
        <v>2.75075</v>
      </c>
      <c r="F1469">
        <v>2.8618600000000001</v>
      </c>
      <c r="G1469">
        <v>7493678799</v>
      </c>
      <c r="H1469" t="s">
        <v>16</v>
      </c>
    </row>
    <row r="1470" spans="1:8" x14ac:dyDescent="0.3">
      <c r="A1470" t="s">
        <v>264</v>
      </c>
      <c r="B1470" t="s">
        <v>17</v>
      </c>
      <c r="C1470">
        <v>4314.3911099999996</v>
      </c>
      <c r="D1470">
        <v>4414.93408</v>
      </c>
      <c r="E1470">
        <v>4260.4594699999998</v>
      </c>
      <c r="F1470">
        <v>4325.3657199999998</v>
      </c>
      <c r="G1470">
        <v>39884692334</v>
      </c>
      <c r="H1470" t="s">
        <v>18</v>
      </c>
    </row>
    <row r="1471" spans="1:8" x14ac:dyDescent="0.3">
      <c r="A1471" t="s">
        <v>264</v>
      </c>
      <c r="B1471" t="s">
        <v>19</v>
      </c>
      <c r="C1471">
        <v>845.82628999999997</v>
      </c>
      <c r="D1471">
        <v>856.46442000000002</v>
      </c>
      <c r="E1471">
        <v>841.61261000000002</v>
      </c>
      <c r="F1471">
        <v>851.77722000000006</v>
      </c>
      <c r="G1471">
        <v>2385434736</v>
      </c>
      <c r="H1471" t="s">
        <v>20</v>
      </c>
    </row>
    <row r="1472" spans="1:8" x14ac:dyDescent="0.3">
      <c r="A1472" t="s">
        <v>265</v>
      </c>
      <c r="B1472" t="s">
        <v>9</v>
      </c>
      <c r="C1472">
        <v>0.83457999999999999</v>
      </c>
      <c r="D1472">
        <v>0.84301000000000004</v>
      </c>
      <c r="E1472">
        <v>0.82735999999999998</v>
      </c>
      <c r="F1472">
        <v>0.83653</v>
      </c>
      <c r="G1472">
        <v>873946795</v>
      </c>
      <c r="H1472" t="s">
        <v>10</v>
      </c>
    </row>
    <row r="1473" spans="1:8" x14ac:dyDescent="0.3">
      <c r="A1473" t="s">
        <v>265</v>
      </c>
      <c r="B1473" t="s">
        <v>11</v>
      </c>
      <c r="C1473">
        <v>111190.69530000001</v>
      </c>
      <c r="D1473">
        <v>112600.22659999999</v>
      </c>
      <c r="E1473">
        <v>110582.96090000001</v>
      </c>
      <c r="F1473">
        <v>111723.21090000001</v>
      </c>
      <c r="G1473">
        <v>61119643565</v>
      </c>
      <c r="H1473" t="s">
        <v>12</v>
      </c>
    </row>
    <row r="1474" spans="1:8" x14ac:dyDescent="0.3">
      <c r="A1474" t="s">
        <v>265</v>
      </c>
      <c r="B1474" t="s">
        <v>13</v>
      </c>
      <c r="C1474">
        <v>209.48278999999999</v>
      </c>
      <c r="D1474">
        <v>212.82352</v>
      </c>
      <c r="E1474">
        <v>207.58408</v>
      </c>
      <c r="F1474">
        <v>210.74630999999999</v>
      </c>
      <c r="G1474">
        <v>6966454259</v>
      </c>
      <c r="H1474" t="s">
        <v>14</v>
      </c>
    </row>
    <row r="1475" spans="1:8" x14ac:dyDescent="0.3">
      <c r="A1475" t="s">
        <v>265</v>
      </c>
      <c r="B1475" t="s">
        <v>15</v>
      </c>
      <c r="C1475">
        <v>2.86185</v>
      </c>
      <c r="D1475">
        <v>2.8848500000000001</v>
      </c>
      <c r="E1475">
        <v>2.8140399999999999</v>
      </c>
      <c r="F1475">
        <v>2.8448899999999999</v>
      </c>
      <c r="G1475">
        <v>4435438842</v>
      </c>
      <c r="H1475" t="s">
        <v>16</v>
      </c>
    </row>
    <row r="1476" spans="1:8" x14ac:dyDescent="0.3">
      <c r="A1476" t="s">
        <v>265</v>
      </c>
      <c r="B1476" t="s">
        <v>17</v>
      </c>
      <c r="C1476">
        <v>4324.6962899999999</v>
      </c>
      <c r="D1476">
        <v>4489.1987300000001</v>
      </c>
      <c r="E1476">
        <v>4286.2060600000004</v>
      </c>
      <c r="F1476">
        <v>4450.3891599999997</v>
      </c>
      <c r="G1476">
        <v>35260873497</v>
      </c>
      <c r="H1476" t="s">
        <v>18</v>
      </c>
    </row>
    <row r="1477" spans="1:8" x14ac:dyDescent="0.3">
      <c r="A1477" t="s">
        <v>265</v>
      </c>
      <c r="B1477" t="s">
        <v>19</v>
      </c>
      <c r="C1477">
        <v>851.77722000000006</v>
      </c>
      <c r="D1477">
        <v>863.47253000000001</v>
      </c>
      <c r="E1477">
        <v>849.15796</v>
      </c>
      <c r="F1477">
        <v>855.25878999999998</v>
      </c>
      <c r="G1477">
        <v>1915348780</v>
      </c>
      <c r="H1477" t="s">
        <v>20</v>
      </c>
    </row>
    <row r="1478" spans="1:8" x14ac:dyDescent="0.3">
      <c r="A1478" t="s">
        <v>266</v>
      </c>
      <c r="B1478" t="s">
        <v>9</v>
      </c>
      <c r="C1478">
        <v>0.83653</v>
      </c>
      <c r="D1478">
        <v>0.84135000000000004</v>
      </c>
      <c r="E1478">
        <v>0.80417000000000005</v>
      </c>
      <c r="F1478">
        <v>0.80989</v>
      </c>
      <c r="G1478">
        <v>865781781</v>
      </c>
      <c r="H1478" t="s">
        <v>10</v>
      </c>
    </row>
    <row r="1479" spans="1:8" x14ac:dyDescent="0.3">
      <c r="A1479" t="s">
        <v>266</v>
      </c>
      <c r="B1479" t="s">
        <v>11</v>
      </c>
      <c r="C1479">
        <v>111718.14840000001</v>
      </c>
      <c r="D1479">
        <v>112208.3281</v>
      </c>
      <c r="E1479">
        <v>109347.22659999999</v>
      </c>
      <c r="F1479">
        <v>110723.60159999999</v>
      </c>
      <c r="G1479">
        <v>60131132901</v>
      </c>
      <c r="H1479" t="s">
        <v>12</v>
      </c>
    </row>
    <row r="1480" spans="1:8" x14ac:dyDescent="0.3">
      <c r="A1480" t="s">
        <v>266</v>
      </c>
      <c r="B1480" t="s">
        <v>13</v>
      </c>
      <c r="C1480">
        <v>210.74630999999999</v>
      </c>
      <c r="D1480">
        <v>211.79500999999999</v>
      </c>
      <c r="E1480">
        <v>202.12701000000001</v>
      </c>
      <c r="F1480">
        <v>202.56018</v>
      </c>
      <c r="G1480">
        <v>5241887525</v>
      </c>
      <c r="H1480" t="s">
        <v>14</v>
      </c>
    </row>
    <row r="1481" spans="1:8" x14ac:dyDescent="0.3">
      <c r="A1481" t="s">
        <v>266</v>
      </c>
      <c r="B1481" t="s">
        <v>15</v>
      </c>
      <c r="C1481">
        <v>2.8449</v>
      </c>
      <c r="D1481">
        <v>2.85907</v>
      </c>
      <c r="E1481">
        <v>2.7885900000000001</v>
      </c>
      <c r="F1481">
        <v>2.79583</v>
      </c>
      <c r="G1481">
        <v>4856488220</v>
      </c>
      <c r="H1481" t="s">
        <v>16</v>
      </c>
    </row>
    <row r="1482" spans="1:8" x14ac:dyDescent="0.3">
      <c r="A1482" t="s">
        <v>266</v>
      </c>
      <c r="B1482" t="s">
        <v>17</v>
      </c>
      <c r="C1482">
        <v>4450.2158200000003</v>
      </c>
      <c r="D1482">
        <v>4483.4511700000003</v>
      </c>
      <c r="E1482">
        <v>4268.5888699999996</v>
      </c>
      <c r="F1482">
        <v>4298.7441399999998</v>
      </c>
      <c r="G1482">
        <v>34919798552</v>
      </c>
      <c r="H1482" t="s">
        <v>18</v>
      </c>
    </row>
    <row r="1483" spans="1:8" x14ac:dyDescent="0.3">
      <c r="A1483" t="s">
        <v>266</v>
      </c>
      <c r="B1483" t="s">
        <v>19</v>
      </c>
      <c r="C1483">
        <v>855.25885000000005</v>
      </c>
      <c r="D1483">
        <v>856.93682999999999</v>
      </c>
      <c r="E1483">
        <v>841.88080000000002</v>
      </c>
      <c r="F1483">
        <v>843.80298000000005</v>
      </c>
      <c r="G1483">
        <v>1915009280</v>
      </c>
      <c r="H1483" t="s">
        <v>20</v>
      </c>
    </row>
    <row r="1484" spans="1:8" x14ac:dyDescent="0.3">
      <c r="A1484" t="s">
        <v>267</v>
      </c>
      <c r="B1484" t="s">
        <v>9</v>
      </c>
      <c r="C1484">
        <v>0.80986999999999998</v>
      </c>
      <c r="D1484">
        <v>0.84606999999999999</v>
      </c>
      <c r="E1484">
        <v>0.80578000000000005</v>
      </c>
      <c r="F1484">
        <v>0.83106999999999998</v>
      </c>
      <c r="G1484">
        <v>1262808667</v>
      </c>
      <c r="H1484" t="s">
        <v>10</v>
      </c>
    </row>
    <row r="1485" spans="1:8" x14ac:dyDescent="0.3">
      <c r="A1485" t="s">
        <v>267</v>
      </c>
      <c r="B1485" t="s">
        <v>11</v>
      </c>
      <c r="C1485">
        <v>110723.0156</v>
      </c>
      <c r="D1485">
        <v>113357.49219999999</v>
      </c>
      <c r="E1485">
        <v>110233.39840000001</v>
      </c>
      <c r="F1485">
        <v>110650.9844</v>
      </c>
      <c r="G1485">
        <v>60241647677</v>
      </c>
      <c r="H1485" t="s">
        <v>12</v>
      </c>
    </row>
    <row r="1486" spans="1:8" x14ac:dyDescent="0.3">
      <c r="A1486" t="s">
        <v>267</v>
      </c>
      <c r="B1486" t="s">
        <v>13</v>
      </c>
      <c r="C1486">
        <v>202.54674</v>
      </c>
      <c r="D1486">
        <v>209.86006</v>
      </c>
      <c r="E1486">
        <v>201.18001000000001</v>
      </c>
      <c r="F1486">
        <v>203.49852000000001</v>
      </c>
      <c r="G1486">
        <v>7780086538</v>
      </c>
      <c r="H1486" t="s">
        <v>14</v>
      </c>
    </row>
    <row r="1487" spans="1:8" x14ac:dyDescent="0.3">
      <c r="A1487" t="s">
        <v>267</v>
      </c>
      <c r="B1487" t="s">
        <v>15</v>
      </c>
      <c r="C1487">
        <v>2.79582</v>
      </c>
      <c r="D1487">
        <v>2.8827099999999999</v>
      </c>
      <c r="E1487">
        <v>2.7810899999999998</v>
      </c>
      <c r="F1487">
        <v>2.8162500000000001</v>
      </c>
      <c r="G1487">
        <v>6912100967</v>
      </c>
      <c r="H1487" t="s">
        <v>16</v>
      </c>
    </row>
    <row r="1488" spans="1:8" x14ac:dyDescent="0.3">
      <c r="A1488" t="s">
        <v>267</v>
      </c>
      <c r="B1488" t="s">
        <v>17</v>
      </c>
      <c r="C1488">
        <v>4298.83691</v>
      </c>
      <c r="D1488">
        <v>4484.3613299999997</v>
      </c>
      <c r="E1488">
        <v>4258.0498100000004</v>
      </c>
      <c r="F1488">
        <v>4306.9887699999999</v>
      </c>
      <c r="G1488">
        <v>44163736676</v>
      </c>
      <c r="H1488" t="s">
        <v>18</v>
      </c>
    </row>
    <row r="1489" spans="1:8" x14ac:dyDescent="0.3">
      <c r="A1489" t="s">
        <v>267</v>
      </c>
      <c r="B1489" t="s">
        <v>19</v>
      </c>
      <c r="C1489">
        <v>843.80298000000005</v>
      </c>
      <c r="D1489">
        <v>857.22460999999998</v>
      </c>
      <c r="E1489">
        <v>843.74652000000003</v>
      </c>
      <c r="F1489">
        <v>849.97924999999998</v>
      </c>
      <c r="G1489">
        <v>2025139739</v>
      </c>
      <c r="H1489" t="s">
        <v>20</v>
      </c>
    </row>
    <row r="1490" spans="1:8" x14ac:dyDescent="0.3">
      <c r="A1490" t="s">
        <v>268</v>
      </c>
      <c r="B1490" t="s">
        <v>9</v>
      </c>
      <c r="C1490">
        <v>0.83106999999999998</v>
      </c>
      <c r="D1490">
        <v>0.83526999999999996</v>
      </c>
      <c r="E1490">
        <v>0.81542999999999999</v>
      </c>
      <c r="F1490">
        <v>0.81845000000000001</v>
      </c>
      <c r="G1490">
        <v>579154321</v>
      </c>
      <c r="H1490" t="s">
        <v>10</v>
      </c>
    </row>
    <row r="1491" spans="1:8" x14ac:dyDescent="0.3">
      <c r="A1491" t="s">
        <v>268</v>
      </c>
      <c r="B1491" t="s">
        <v>11</v>
      </c>
      <c r="C1491">
        <v>110650.57030000001</v>
      </c>
      <c r="D1491">
        <v>111275.0156</v>
      </c>
      <c r="E1491">
        <v>110024.08590000001</v>
      </c>
      <c r="F1491">
        <v>110224.69530000001</v>
      </c>
      <c r="G1491">
        <v>21500719036</v>
      </c>
      <c r="H1491" t="s">
        <v>12</v>
      </c>
    </row>
    <row r="1492" spans="1:8" x14ac:dyDescent="0.3">
      <c r="A1492" t="s">
        <v>268</v>
      </c>
      <c r="B1492" t="s">
        <v>13</v>
      </c>
      <c r="C1492">
        <v>203.49852000000001</v>
      </c>
      <c r="D1492">
        <v>204.55753999999999</v>
      </c>
      <c r="E1492">
        <v>199.6404</v>
      </c>
      <c r="F1492">
        <v>200.24630999999999</v>
      </c>
      <c r="G1492">
        <v>3057210360</v>
      </c>
      <c r="H1492" t="s">
        <v>14</v>
      </c>
    </row>
    <row r="1493" spans="1:8" x14ac:dyDescent="0.3">
      <c r="A1493" t="s">
        <v>268</v>
      </c>
      <c r="B1493" t="s">
        <v>15</v>
      </c>
      <c r="C1493">
        <v>2.8162500000000001</v>
      </c>
      <c r="D1493">
        <v>2.82782</v>
      </c>
      <c r="E1493">
        <v>2.7945099999999998</v>
      </c>
      <c r="F1493">
        <v>2.8108499999999998</v>
      </c>
      <c r="G1493">
        <v>2098512724</v>
      </c>
      <c r="H1493" t="s">
        <v>16</v>
      </c>
    </row>
    <row r="1494" spans="1:8" x14ac:dyDescent="0.3">
      <c r="A1494" t="s">
        <v>268</v>
      </c>
      <c r="B1494" t="s">
        <v>17</v>
      </c>
      <c r="C1494">
        <v>4306.9731499999998</v>
      </c>
      <c r="D1494">
        <v>4327.4399400000002</v>
      </c>
      <c r="E1494">
        <v>4244.7548800000004</v>
      </c>
      <c r="F1494">
        <v>4274.2421899999999</v>
      </c>
      <c r="G1494">
        <v>18108246446</v>
      </c>
      <c r="H1494" t="s">
        <v>18</v>
      </c>
    </row>
    <row r="1495" spans="1:8" x14ac:dyDescent="0.3">
      <c r="A1495" t="s">
        <v>268</v>
      </c>
      <c r="B1495" t="s">
        <v>19</v>
      </c>
      <c r="C1495">
        <v>849.97924999999998</v>
      </c>
      <c r="D1495">
        <v>864.49914999999999</v>
      </c>
      <c r="E1495">
        <v>849.57458999999994</v>
      </c>
      <c r="F1495">
        <v>861.77209000000005</v>
      </c>
      <c r="G1495">
        <v>1992250771</v>
      </c>
      <c r="H1495" t="s">
        <v>20</v>
      </c>
    </row>
    <row r="1496" spans="1:8" x14ac:dyDescent="0.3">
      <c r="A1496" t="s">
        <v>269</v>
      </c>
      <c r="B1496" t="s">
        <v>9</v>
      </c>
      <c r="C1496">
        <v>0.81845000000000001</v>
      </c>
      <c r="D1496">
        <v>0.84082000000000001</v>
      </c>
      <c r="E1496">
        <v>0.81843999999999995</v>
      </c>
      <c r="F1496">
        <v>0.83506000000000002</v>
      </c>
      <c r="G1496">
        <v>719398251</v>
      </c>
      <c r="H1496" t="s">
        <v>10</v>
      </c>
    </row>
    <row r="1497" spans="1:8" x14ac:dyDescent="0.3">
      <c r="A1497" t="s">
        <v>269</v>
      </c>
      <c r="B1497" t="s">
        <v>11</v>
      </c>
      <c r="C1497">
        <v>110221.3281</v>
      </c>
      <c r="D1497">
        <v>111591.0781</v>
      </c>
      <c r="E1497">
        <v>110211.625</v>
      </c>
      <c r="F1497">
        <v>111167.61719999999</v>
      </c>
      <c r="G1497">
        <v>24618007520</v>
      </c>
      <c r="H1497" t="s">
        <v>12</v>
      </c>
    </row>
    <row r="1498" spans="1:8" x14ac:dyDescent="0.3">
      <c r="A1498" t="s">
        <v>269</v>
      </c>
      <c r="B1498" t="s">
        <v>13</v>
      </c>
      <c r="C1498">
        <v>200.24735999999999</v>
      </c>
      <c r="D1498">
        <v>207.86734000000001</v>
      </c>
      <c r="E1498">
        <v>200.2285</v>
      </c>
      <c r="F1498">
        <v>206.46818999999999</v>
      </c>
      <c r="G1498">
        <v>4153166545</v>
      </c>
      <c r="H1498" t="s">
        <v>14</v>
      </c>
    </row>
    <row r="1499" spans="1:8" x14ac:dyDescent="0.3">
      <c r="A1499" t="s">
        <v>269</v>
      </c>
      <c r="B1499" t="s">
        <v>15</v>
      </c>
      <c r="C1499">
        <v>2.8108499999999998</v>
      </c>
      <c r="D1499">
        <v>2.9104100000000002</v>
      </c>
      <c r="E1499">
        <v>2.8106300000000002</v>
      </c>
      <c r="F1499">
        <v>2.8785599999999998</v>
      </c>
      <c r="G1499">
        <v>3861213414</v>
      </c>
      <c r="H1499" t="s">
        <v>16</v>
      </c>
    </row>
    <row r="1500" spans="1:8" x14ac:dyDescent="0.3">
      <c r="A1500" t="s">
        <v>269</v>
      </c>
      <c r="B1500" t="s">
        <v>17</v>
      </c>
      <c r="C1500">
        <v>4274.1669899999997</v>
      </c>
      <c r="D1500">
        <v>4334.27441</v>
      </c>
      <c r="E1500">
        <v>4271.5341799999997</v>
      </c>
      <c r="F1500">
        <v>4305.3476600000004</v>
      </c>
      <c r="G1500">
        <v>17426783536</v>
      </c>
      <c r="H1500" t="s">
        <v>18</v>
      </c>
    </row>
    <row r="1501" spans="1:8" x14ac:dyDescent="0.3">
      <c r="A1501" t="s">
        <v>269</v>
      </c>
      <c r="B1501" t="s">
        <v>19</v>
      </c>
      <c r="C1501">
        <v>861.77209000000005</v>
      </c>
      <c r="D1501">
        <v>882.88580000000002</v>
      </c>
      <c r="E1501">
        <v>861.27454</v>
      </c>
      <c r="F1501">
        <v>880.61303999999996</v>
      </c>
      <c r="G1501">
        <v>1996378716</v>
      </c>
      <c r="H1501" t="s">
        <v>20</v>
      </c>
    </row>
    <row r="1502" spans="1:8" x14ac:dyDescent="0.3">
      <c r="A1502" t="s">
        <v>270</v>
      </c>
      <c r="B1502" t="s">
        <v>9</v>
      </c>
      <c r="C1502">
        <v>0.83506000000000002</v>
      </c>
      <c r="D1502">
        <v>0.86851</v>
      </c>
      <c r="E1502">
        <v>0.83120000000000005</v>
      </c>
      <c r="F1502">
        <v>0.86504999999999999</v>
      </c>
      <c r="G1502">
        <v>1398016818</v>
      </c>
      <c r="H1502" t="s">
        <v>10</v>
      </c>
    </row>
    <row r="1503" spans="1:8" x14ac:dyDescent="0.3">
      <c r="A1503" t="s">
        <v>270</v>
      </c>
      <c r="B1503" t="s">
        <v>11</v>
      </c>
      <c r="C1503">
        <v>111163.0156</v>
      </c>
      <c r="D1503">
        <v>112869.2344</v>
      </c>
      <c r="E1503">
        <v>110630.6094</v>
      </c>
      <c r="F1503">
        <v>112071.42969999999</v>
      </c>
      <c r="G1503">
        <v>40212813407</v>
      </c>
      <c r="H1503" t="s">
        <v>12</v>
      </c>
    </row>
    <row r="1504" spans="1:8" x14ac:dyDescent="0.3">
      <c r="A1504" t="s">
        <v>270</v>
      </c>
      <c r="B1504" t="s">
        <v>13</v>
      </c>
      <c r="C1504">
        <v>206.46454</v>
      </c>
      <c r="D1504">
        <v>216.89977999999999</v>
      </c>
      <c r="E1504">
        <v>205.71736000000001</v>
      </c>
      <c r="F1504">
        <v>214.18639999999999</v>
      </c>
      <c r="G1504">
        <v>10019366594</v>
      </c>
      <c r="H1504" t="s">
        <v>14</v>
      </c>
    </row>
    <row r="1505" spans="1:8" x14ac:dyDescent="0.3">
      <c r="A1505" t="s">
        <v>270</v>
      </c>
      <c r="B1505" t="s">
        <v>15</v>
      </c>
      <c r="C1505">
        <v>2.8785599999999998</v>
      </c>
      <c r="D1505">
        <v>2.9918999999999998</v>
      </c>
      <c r="E1505">
        <v>2.8672</v>
      </c>
      <c r="F1505">
        <v>2.9704000000000002</v>
      </c>
      <c r="G1505">
        <v>6130006998</v>
      </c>
      <c r="H1505" t="s">
        <v>16</v>
      </c>
    </row>
    <row r="1506" spans="1:8" x14ac:dyDescent="0.3">
      <c r="A1506" t="s">
        <v>270</v>
      </c>
      <c r="B1506" t="s">
        <v>17</v>
      </c>
      <c r="C1506">
        <v>4305.3813499999997</v>
      </c>
      <c r="D1506">
        <v>4381.2749000000003</v>
      </c>
      <c r="E1506">
        <v>4279.97217</v>
      </c>
      <c r="F1506">
        <v>4308.0722699999997</v>
      </c>
      <c r="G1506">
        <v>32277142378</v>
      </c>
      <c r="H1506" t="s">
        <v>18</v>
      </c>
    </row>
    <row r="1507" spans="1:8" x14ac:dyDescent="0.3">
      <c r="A1507" t="s">
        <v>270</v>
      </c>
      <c r="B1507" t="s">
        <v>19</v>
      </c>
      <c r="C1507">
        <v>880.61303999999996</v>
      </c>
      <c r="D1507">
        <v>885.23181</v>
      </c>
      <c r="E1507">
        <v>872.03863999999999</v>
      </c>
      <c r="F1507">
        <v>878.27593999999999</v>
      </c>
      <c r="G1507">
        <v>2289021738</v>
      </c>
      <c r="H1507" t="s">
        <v>20</v>
      </c>
    </row>
    <row r="1508" spans="1:8" x14ac:dyDescent="0.3">
      <c r="A1508" t="s">
        <v>271</v>
      </c>
      <c r="B1508" t="s">
        <v>9</v>
      </c>
      <c r="C1508">
        <v>0.86506000000000005</v>
      </c>
      <c r="D1508">
        <v>0.89363000000000004</v>
      </c>
      <c r="E1508">
        <v>0.85370999999999997</v>
      </c>
      <c r="F1508">
        <v>0.86502999999999997</v>
      </c>
      <c r="G1508">
        <v>1730015556</v>
      </c>
      <c r="H1508" t="s">
        <v>10</v>
      </c>
    </row>
    <row r="1509" spans="1:8" x14ac:dyDescent="0.3">
      <c r="A1509" t="s">
        <v>271</v>
      </c>
      <c r="B1509" t="s">
        <v>11</v>
      </c>
      <c r="C1509">
        <v>112077.5781</v>
      </c>
      <c r="D1509">
        <v>113225.4375</v>
      </c>
      <c r="E1509">
        <v>110776.7031</v>
      </c>
      <c r="F1509">
        <v>111530.5469</v>
      </c>
      <c r="G1509">
        <v>45984480722</v>
      </c>
      <c r="H1509" t="s">
        <v>12</v>
      </c>
    </row>
    <row r="1510" spans="1:8" x14ac:dyDescent="0.3">
      <c r="A1510" t="s">
        <v>271</v>
      </c>
      <c r="B1510" t="s">
        <v>13</v>
      </c>
      <c r="C1510">
        <v>214.18654000000001</v>
      </c>
      <c r="D1510">
        <v>219.52350000000001</v>
      </c>
      <c r="E1510">
        <v>211.15825000000001</v>
      </c>
      <c r="F1510">
        <v>217.25068999999999</v>
      </c>
      <c r="G1510">
        <v>8798692220</v>
      </c>
      <c r="H1510" t="s">
        <v>14</v>
      </c>
    </row>
    <row r="1511" spans="1:8" x14ac:dyDescent="0.3">
      <c r="A1511" t="s">
        <v>271</v>
      </c>
      <c r="B1511" t="s">
        <v>15</v>
      </c>
      <c r="C1511">
        <v>2.9704000000000002</v>
      </c>
      <c r="D1511">
        <v>3.03321</v>
      </c>
      <c r="E1511">
        <v>2.9352100000000001</v>
      </c>
      <c r="F1511">
        <v>2.9466100000000002</v>
      </c>
      <c r="G1511">
        <v>5916483406</v>
      </c>
      <c r="H1511" t="s">
        <v>16</v>
      </c>
    </row>
    <row r="1512" spans="1:8" x14ac:dyDescent="0.3">
      <c r="A1512" t="s">
        <v>271</v>
      </c>
      <c r="B1512" t="s">
        <v>17</v>
      </c>
      <c r="C1512">
        <v>4308.2831999999999</v>
      </c>
      <c r="D1512">
        <v>4381.2265600000001</v>
      </c>
      <c r="E1512">
        <v>4277.8530300000002</v>
      </c>
      <c r="F1512">
        <v>4309.0415000000003</v>
      </c>
      <c r="G1512">
        <v>30703320925</v>
      </c>
      <c r="H1512" t="s">
        <v>18</v>
      </c>
    </row>
    <row r="1513" spans="1:8" x14ac:dyDescent="0.3">
      <c r="A1513" t="s">
        <v>271</v>
      </c>
      <c r="B1513" t="s">
        <v>19</v>
      </c>
      <c r="C1513">
        <v>878.27593999999999</v>
      </c>
      <c r="D1513">
        <v>884.23590000000002</v>
      </c>
      <c r="E1513">
        <v>871.86023</v>
      </c>
      <c r="F1513">
        <v>880.01500999999996</v>
      </c>
      <c r="G1513">
        <v>1795168603</v>
      </c>
      <c r="H1513" t="s">
        <v>20</v>
      </c>
    </row>
    <row r="1514" spans="1:8" x14ac:dyDescent="0.3">
      <c r="A1514" t="s">
        <v>272</v>
      </c>
      <c r="B1514" t="s">
        <v>9</v>
      </c>
      <c r="C1514">
        <v>0.86502999999999997</v>
      </c>
      <c r="D1514">
        <v>0.89397000000000004</v>
      </c>
      <c r="E1514">
        <v>0.86063000000000001</v>
      </c>
      <c r="F1514">
        <v>0.88468999999999998</v>
      </c>
      <c r="G1514">
        <v>1204166506</v>
      </c>
      <c r="H1514" t="s">
        <v>10</v>
      </c>
    </row>
    <row r="1515" spans="1:8" x14ac:dyDescent="0.3">
      <c r="A1515" t="s">
        <v>272</v>
      </c>
      <c r="B1515" t="s">
        <v>11</v>
      </c>
      <c r="C1515">
        <v>111531.25</v>
      </c>
      <c r="D1515">
        <v>114275.25</v>
      </c>
      <c r="E1515">
        <v>110940.0781</v>
      </c>
      <c r="F1515">
        <v>113955.3594</v>
      </c>
      <c r="G1515">
        <v>56377473784</v>
      </c>
      <c r="H1515" t="s">
        <v>12</v>
      </c>
    </row>
    <row r="1516" spans="1:8" x14ac:dyDescent="0.3">
      <c r="A1516" t="s">
        <v>272</v>
      </c>
      <c r="B1516" t="s">
        <v>13</v>
      </c>
      <c r="C1516">
        <v>217.25040000000001</v>
      </c>
      <c r="D1516">
        <v>225.51247000000001</v>
      </c>
      <c r="E1516">
        <v>215.27251999999999</v>
      </c>
      <c r="F1516">
        <v>223.98690999999999</v>
      </c>
      <c r="G1516">
        <v>9070263027</v>
      </c>
      <c r="H1516" t="s">
        <v>14</v>
      </c>
    </row>
    <row r="1517" spans="1:8" x14ac:dyDescent="0.3">
      <c r="A1517" t="s">
        <v>272</v>
      </c>
      <c r="B1517" t="s">
        <v>15</v>
      </c>
      <c r="C1517">
        <v>2.9466100000000002</v>
      </c>
      <c r="D1517">
        <v>3.0198900000000002</v>
      </c>
      <c r="E1517">
        <v>2.9369100000000001</v>
      </c>
      <c r="F1517">
        <v>2.9817100000000001</v>
      </c>
      <c r="G1517">
        <v>4335352685</v>
      </c>
      <c r="H1517" t="s">
        <v>16</v>
      </c>
    </row>
    <row r="1518" spans="1:8" x14ac:dyDescent="0.3">
      <c r="A1518" t="s">
        <v>272</v>
      </c>
      <c r="B1518" t="s">
        <v>17</v>
      </c>
      <c r="C1518">
        <v>4309.0918000000001</v>
      </c>
      <c r="D1518">
        <v>4450.4179700000004</v>
      </c>
      <c r="E1518">
        <v>4286.0625</v>
      </c>
      <c r="F1518">
        <v>4349.1459999999997</v>
      </c>
      <c r="G1518">
        <v>39521365146</v>
      </c>
      <c r="H1518" t="s">
        <v>18</v>
      </c>
    </row>
    <row r="1519" spans="1:8" x14ac:dyDescent="0.3">
      <c r="A1519" t="s">
        <v>272</v>
      </c>
      <c r="B1519" t="s">
        <v>19</v>
      </c>
      <c r="C1519">
        <v>880.01500999999996</v>
      </c>
      <c r="D1519">
        <v>906.12261999999998</v>
      </c>
      <c r="E1519">
        <v>877.51202000000001</v>
      </c>
      <c r="F1519">
        <v>893.56659000000002</v>
      </c>
      <c r="G1519">
        <v>2868650920</v>
      </c>
      <c r="H1519" t="s">
        <v>20</v>
      </c>
    </row>
    <row r="1520" spans="1:8" x14ac:dyDescent="0.3">
      <c r="A1520" t="s">
        <v>273</v>
      </c>
      <c r="B1520" t="s">
        <v>9</v>
      </c>
      <c r="C1520">
        <v>0.88470000000000004</v>
      </c>
      <c r="D1520">
        <v>0.89544999999999997</v>
      </c>
      <c r="E1520">
        <v>0.87360000000000004</v>
      </c>
      <c r="F1520">
        <v>0.89420999999999995</v>
      </c>
      <c r="G1520">
        <v>1307050671</v>
      </c>
      <c r="H1520" t="s">
        <v>10</v>
      </c>
    </row>
    <row r="1521" spans="1:8" x14ac:dyDescent="0.3">
      <c r="A1521" t="s">
        <v>273</v>
      </c>
      <c r="B1521" t="s">
        <v>11</v>
      </c>
      <c r="C1521">
        <v>113961.42969999999</v>
      </c>
      <c r="D1521">
        <v>115522.5469</v>
      </c>
      <c r="E1521">
        <v>113453.83590000001</v>
      </c>
      <c r="F1521">
        <v>115507.53909999999</v>
      </c>
      <c r="G1521">
        <v>45685065332</v>
      </c>
      <c r="H1521" t="s">
        <v>12</v>
      </c>
    </row>
    <row r="1522" spans="1:8" x14ac:dyDescent="0.3">
      <c r="A1522" t="s">
        <v>273</v>
      </c>
      <c r="B1522" t="s">
        <v>13</v>
      </c>
      <c r="C1522">
        <v>223.98569000000001</v>
      </c>
      <c r="D1522">
        <v>228.90882999999999</v>
      </c>
      <c r="E1522">
        <v>222.02515</v>
      </c>
      <c r="F1522">
        <v>228.75618</v>
      </c>
      <c r="G1522">
        <v>9580815361</v>
      </c>
      <c r="H1522" t="s">
        <v>14</v>
      </c>
    </row>
    <row r="1523" spans="1:8" x14ac:dyDescent="0.3">
      <c r="A1523" t="s">
        <v>273</v>
      </c>
      <c r="B1523" t="s">
        <v>15</v>
      </c>
      <c r="C1523">
        <v>2.9817300000000002</v>
      </c>
      <c r="D1523">
        <v>3.0474000000000001</v>
      </c>
      <c r="E1523">
        <v>2.9791699999999999</v>
      </c>
      <c r="F1523">
        <v>3.0409299999999999</v>
      </c>
      <c r="G1523">
        <v>5308930163</v>
      </c>
      <c r="H1523" t="s">
        <v>16</v>
      </c>
    </row>
    <row r="1524" spans="1:8" x14ac:dyDescent="0.3">
      <c r="A1524" t="s">
        <v>273</v>
      </c>
      <c r="B1524" t="s">
        <v>17</v>
      </c>
      <c r="C1524">
        <v>4349.2002000000002</v>
      </c>
      <c r="D1524">
        <v>4471.6987300000001</v>
      </c>
      <c r="E1524">
        <v>4339.7168000000001</v>
      </c>
      <c r="F1524">
        <v>4461.2334000000001</v>
      </c>
      <c r="G1524">
        <v>35959212991</v>
      </c>
      <c r="H1524" t="s">
        <v>18</v>
      </c>
    </row>
    <row r="1525" spans="1:8" x14ac:dyDescent="0.3">
      <c r="A1525" t="s">
        <v>273</v>
      </c>
      <c r="B1525" t="s">
        <v>19</v>
      </c>
      <c r="C1525">
        <v>893.56659000000002</v>
      </c>
      <c r="D1525">
        <v>903.33294999999998</v>
      </c>
      <c r="E1525">
        <v>889.37072999999998</v>
      </c>
      <c r="F1525">
        <v>902.98334</v>
      </c>
      <c r="G1525">
        <v>2250551806</v>
      </c>
      <c r="H1525" t="s">
        <v>20</v>
      </c>
    </row>
    <row r="1526" spans="1:8" x14ac:dyDescent="0.3">
      <c r="A1526" t="s">
        <v>274</v>
      </c>
      <c r="B1526" t="s">
        <v>9</v>
      </c>
      <c r="C1526">
        <v>0.89420999999999995</v>
      </c>
      <c r="D1526">
        <v>0.91710000000000003</v>
      </c>
      <c r="E1526">
        <v>0.88483999999999996</v>
      </c>
      <c r="F1526">
        <v>0.91708999999999996</v>
      </c>
      <c r="G1526">
        <v>1586142736</v>
      </c>
      <c r="H1526" t="s">
        <v>10</v>
      </c>
    </row>
    <row r="1527" spans="1:8" x14ac:dyDescent="0.3">
      <c r="A1527" t="s">
        <v>274</v>
      </c>
      <c r="B1527" t="s">
        <v>11</v>
      </c>
      <c r="C1527">
        <v>115507.78909999999</v>
      </c>
      <c r="D1527">
        <v>116769.38280000001</v>
      </c>
      <c r="E1527">
        <v>114794.4844</v>
      </c>
      <c r="F1527">
        <v>116101.5781</v>
      </c>
      <c r="G1527">
        <v>54785725894</v>
      </c>
      <c r="H1527" t="s">
        <v>12</v>
      </c>
    </row>
    <row r="1528" spans="1:8" x14ac:dyDescent="0.3">
      <c r="A1528" t="s">
        <v>274</v>
      </c>
      <c r="B1528" t="s">
        <v>13</v>
      </c>
      <c r="C1528">
        <v>228.75623999999999</v>
      </c>
      <c r="D1528">
        <v>243.78890999999999</v>
      </c>
      <c r="E1528">
        <v>228.26355000000001</v>
      </c>
      <c r="F1528">
        <v>242.30328</v>
      </c>
      <c r="G1528">
        <v>13008621197</v>
      </c>
      <c r="H1528" t="s">
        <v>14</v>
      </c>
    </row>
    <row r="1529" spans="1:8" x14ac:dyDescent="0.3">
      <c r="A1529" t="s">
        <v>274</v>
      </c>
      <c r="B1529" t="s">
        <v>15</v>
      </c>
      <c r="C1529">
        <v>3.04094</v>
      </c>
      <c r="D1529">
        <v>3.1293000000000002</v>
      </c>
      <c r="E1529">
        <v>3.0211800000000002</v>
      </c>
      <c r="F1529">
        <v>3.10764</v>
      </c>
      <c r="G1529">
        <v>6243311041</v>
      </c>
      <c r="H1529" t="s">
        <v>16</v>
      </c>
    </row>
    <row r="1530" spans="1:8" x14ac:dyDescent="0.3">
      <c r="A1530" t="s">
        <v>274</v>
      </c>
      <c r="B1530" t="s">
        <v>17</v>
      </c>
      <c r="C1530">
        <v>4461.4794899999997</v>
      </c>
      <c r="D1530">
        <v>4734.2739300000003</v>
      </c>
      <c r="E1530">
        <v>4453.28467</v>
      </c>
      <c r="F1530">
        <v>4715.2460899999996</v>
      </c>
      <c r="G1530">
        <v>43839753626</v>
      </c>
      <c r="H1530" t="s">
        <v>18</v>
      </c>
    </row>
    <row r="1531" spans="1:8" x14ac:dyDescent="0.3">
      <c r="A1531" t="s">
        <v>274</v>
      </c>
      <c r="B1531" t="s">
        <v>19</v>
      </c>
      <c r="C1531">
        <v>902.98334</v>
      </c>
      <c r="D1531">
        <v>928.61699999999996</v>
      </c>
      <c r="E1531">
        <v>901.97411999999997</v>
      </c>
      <c r="F1531">
        <v>925.03070000000002</v>
      </c>
      <c r="G1531">
        <v>2648100391</v>
      </c>
      <c r="H1531" t="s">
        <v>20</v>
      </c>
    </row>
    <row r="1532" spans="1:8" x14ac:dyDescent="0.3">
      <c r="A1532" t="s">
        <v>275</v>
      </c>
      <c r="B1532" t="s">
        <v>9</v>
      </c>
      <c r="C1532">
        <v>0.91708000000000001</v>
      </c>
      <c r="D1532">
        <v>0.95257000000000003</v>
      </c>
      <c r="E1532">
        <v>0.91705000000000003</v>
      </c>
      <c r="F1532">
        <v>0.92984</v>
      </c>
      <c r="G1532">
        <v>2205805247</v>
      </c>
      <c r="H1532" t="s">
        <v>10</v>
      </c>
    </row>
    <row r="1533" spans="1:8" x14ac:dyDescent="0.3">
      <c r="A1533" t="s">
        <v>275</v>
      </c>
      <c r="B1533" t="s">
        <v>11</v>
      </c>
      <c r="C1533">
        <v>116093.5625</v>
      </c>
      <c r="D1533">
        <v>116334.63280000001</v>
      </c>
      <c r="E1533">
        <v>115248.27340000001</v>
      </c>
      <c r="F1533">
        <v>115950.50780000001</v>
      </c>
      <c r="G1533">
        <v>34549454947</v>
      </c>
      <c r="H1533" t="s">
        <v>12</v>
      </c>
    </row>
    <row r="1534" spans="1:8" x14ac:dyDescent="0.3">
      <c r="A1534" t="s">
        <v>275</v>
      </c>
      <c r="B1534" t="s">
        <v>13</v>
      </c>
      <c r="C1534">
        <v>242.30098000000001</v>
      </c>
      <c r="D1534">
        <v>244.14328</v>
      </c>
      <c r="E1534">
        <v>236.47329999999999</v>
      </c>
      <c r="F1534">
        <v>242.5959</v>
      </c>
      <c r="G1534">
        <v>7478581447</v>
      </c>
      <c r="H1534" t="s">
        <v>14</v>
      </c>
    </row>
    <row r="1535" spans="1:8" x14ac:dyDescent="0.3">
      <c r="A1535" t="s">
        <v>275</v>
      </c>
      <c r="B1535" t="s">
        <v>15</v>
      </c>
      <c r="C1535">
        <v>3.1076199999999998</v>
      </c>
      <c r="D1535">
        <v>3.1834500000000001</v>
      </c>
      <c r="E1535">
        <v>3.09457</v>
      </c>
      <c r="F1535">
        <v>3.12147</v>
      </c>
      <c r="G1535">
        <v>5576961697</v>
      </c>
      <c r="H1535" t="s">
        <v>16</v>
      </c>
    </row>
    <row r="1536" spans="1:8" x14ac:dyDescent="0.3">
      <c r="A1536" t="s">
        <v>275</v>
      </c>
      <c r="B1536" t="s">
        <v>17</v>
      </c>
      <c r="C1536">
        <v>4714.7036099999996</v>
      </c>
      <c r="D1536">
        <v>4763.3613299999997</v>
      </c>
      <c r="E1536">
        <v>4609.1254900000004</v>
      </c>
      <c r="F1536">
        <v>4668.1796899999999</v>
      </c>
      <c r="G1536">
        <v>34843845977</v>
      </c>
      <c r="H1536" t="s">
        <v>18</v>
      </c>
    </row>
    <row r="1537" spans="1:8" x14ac:dyDescent="0.3">
      <c r="A1537" t="s">
        <v>275</v>
      </c>
      <c r="B1537" t="s">
        <v>19</v>
      </c>
      <c r="C1537">
        <v>925.03070000000002</v>
      </c>
      <c r="D1537">
        <v>942.52844000000005</v>
      </c>
      <c r="E1537">
        <v>923.86719000000005</v>
      </c>
      <c r="F1537">
        <v>933.89966000000004</v>
      </c>
      <c r="G1537">
        <v>2744192106</v>
      </c>
      <c r="H1537" t="s">
        <v>20</v>
      </c>
    </row>
    <row r="1538" spans="1:8" x14ac:dyDescent="0.3">
      <c r="A1538" t="s">
        <v>276</v>
      </c>
      <c r="B1538" t="s">
        <v>9</v>
      </c>
      <c r="C1538">
        <v>0.92984</v>
      </c>
      <c r="D1538">
        <v>0.93047999999999997</v>
      </c>
      <c r="E1538">
        <v>0.88136000000000003</v>
      </c>
      <c r="F1538">
        <v>0.88898999999999995</v>
      </c>
      <c r="G1538">
        <v>1388605835</v>
      </c>
      <c r="H1538" t="s">
        <v>10</v>
      </c>
    </row>
    <row r="1539" spans="1:8" x14ac:dyDescent="0.3">
      <c r="A1539" t="s">
        <v>276</v>
      </c>
      <c r="B1539" t="s">
        <v>11</v>
      </c>
      <c r="C1539">
        <v>115950.28909999999</v>
      </c>
      <c r="D1539">
        <v>116181.5</v>
      </c>
      <c r="E1539">
        <v>115222.39840000001</v>
      </c>
      <c r="F1539">
        <v>115407.6563</v>
      </c>
      <c r="G1539">
        <v>32798036057</v>
      </c>
      <c r="H1539" t="s">
        <v>12</v>
      </c>
    </row>
    <row r="1540" spans="1:8" x14ac:dyDescent="0.3">
      <c r="A1540" t="s">
        <v>276</v>
      </c>
      <c r="B1540" t="s">
        <v>13</v>
      </c>
      <c r="C1540">
        <v>242.59559999999999</v>
      </c>
      <c r="D1540">
        <v>249.12413000000001</v>
      </c>
      <c r="E1540">
        <v>240.21393</v>
      </c>
      <c r="F1540">
        <v>240.55769000000001</v>
      </c>
      <c r="G1540">
        <v>9358190854</v>
      </c>
      <c r="H1540" t="s">
        <v>14</v>
      </c>
    </row>
    <row r="1541" spans="1:8" x14ac:dyDescent="0.3">
      <c r="A1541" t="s">
        <v>276</v>
      </c>
      <c r="B1541" t="s">
        <v>15</v>
      </c>
      <c r="C1541">
        <v>3.1214499999999998</v>
      </c>
      <c r="D1541">
        <v>3.1250800000000001</v>
      </c>
      <c r="E1541">
        <v>3.0131800000000002</v>
      </c>
      <c r="F1541">
        <v>3.0325299999999999</v>
      </c>
      <c r="G1541">
        <v>4780192678</v>
      </c>
      <c r="H1541" t="s">
        <v>16</v>
      </c>
    </row>
    <row r="1542" spans="1:8" x14ac:dyDescent="0.3">
      <c r="A1542" t="s">
        <v>276</v>
      </c>
      <c r="B1542" t="s">
        <v>17</v>
      </c>
      <c r="C1542">
        <v>4668.1713900000004</v>
      </c>
      <c r="D1542">
        <v>4690.6420900000003</v>
      </c>
      <c r="E1542">
        <v>4581.84717</v>
      </c>
      <c r="F1542">
        <v>4609.5976600000004</v>
      </c>
      <c r="G1542">
        <v>28394160275</v>
      </c>
      <c r="H1542" t="s">
        <v>18</v>
      </c>
    </row>
    <row r="1543" spans="1:8" x14ac:dyDescent="0.3">
      <c r="A1543" t="s">
        <v>276</v>
      </c>
      <c r="B1543" t="s">
        <v>19</v>
      </c>
      <c r="C1543">
        <v>933.89966000000004</v>
      </c>
      <c r="D1543">
        <v>944.05817000000002</v>
      </c>
      <c r="E1543">
        <v>923.76404000000002</v>
      </c>
      <c r="F1543">
        <v>927.24170000000004</v>
      </c>
      <c r="G1543">
        <v>2338327311</v>
      </c>
      <c r="H1543" t="s">
        <v>20</v>
      </c>
    </row>
    <row r="1544" spans="1:8" x14ac:dyDescent="0.3">
      <c r="A1544" t="s">
        <v>277</v>
      </c>
      <c r="B1544" t="s">
        <v>9</v>
      </c>
      <c r="C1544">
        <v>0.88898999999999995</v>
      </c>
      <c r="D1544">
        <v>0.90215999999999996</v>
      </c>
      <c r="E1544">
        <v>0.85477999999999998</v>
      </c>
      <c r="F1544">
        <v>0.86351</v>
      </c>
      <c r="G1544">
        <v>1947621867</v>
      </c>
      <c r="H1544" t="s">
        <v>10</v>
      </c>
    </row>
    <row r="1545" spans="1:8" x14ac:dyDescent="0.3">
      <c r="A1545" t="s">
        <v>277</v>
      </c>
      <c r="B1545" t="s">
        <v>11</v>
      </c>
      <c r="C1545">
        <v>115399.63280000001</v>
      </c>
      <c r="D1545">
        <v>116747.88280000001</v>
      </c>
      <c r="E1545">
        <v>114461.0625</v>
      </c>
      <c r="F1545">
        <v>115444.875</v>
      </c>
      <c r="G1545">
        <v>52937859416</v>
      </c>
      <c r="H1545" t="s">
        <v>12</v>
      </c>
    </row>
    <row r="1546" spans="1:8" x14ac:dyDescent="0.3">
      <c r="A1546" t="s">
        <v>277</v>
      </c>
      <c r="B1546" t="s">
        <v>13</v>
      </c>
      <c r="C1546">
        <v>240.54810000000001</v>
      </c>
      <c r="D1546">
        <v>244.00040999999999</v>
      </c>
      <c r="E1546">
        <v>230.48401000000001</v>
      </c>
      <c r="F1546">
        <v>234.35756000000001</v>
      </c>
      <c r="G1546">
        <v>10017744936</v>
      </c>
      <c r="H1546" t="s">
        <v>14</v>
      </c>
    </row>
    <row r="1547" spans="1:8" x14ac:dyDescent="0.3">
      <c r="A1547" t="s">
        <v>277</v>
      </c>
      <c r="B1547" t="s">
        <v>15</v>
      </c>
      <c r="C1547">
        <v>3.0325199999999999</v>
      </c>
      <c r="D1547">
        <v>3.0665</v>
      </c>
      <c r="E1547">
        <v>2.96089</v>
      </c>
      <c r="F1547">
        <v>2.9971100000000002</v>
      </c>
      <c r="G1547">
        <v>6168345239</v>
      </c>
      <c r="H1547" t="s">
        <v>16</v>
      </c>
    </row>
    <row r="1548" spans="1:8" x14ac:dyDescent="0.3">
      <c r="A1548" t="s">
        <v>277</v>
      </c>
      <c r="B1548" t="s">
        <v>17</v>
      </c>
      <c r="C1548">
        <v>4609.7231499999998</v>
      </c>
      <c r="D1548">
        <v>4670.5302700000002</v>
      </c>
      <c r="E1548">
        <v>4469.8613299999997</v>
      </c>
      <c r="F1548">
        <v>4526.8203100000001</v>
      </c>
      <c r="G1548">
        <v>40224062009</v>
      </c>
      <c r="H1548" t="s">
        <v>18</v>
      </c>
    </row>
    <row r="1549" spans="1:8" x14ac:dyDescent="0.3">
      <c r="A1549" t="s">
        <v>277</v>
      </c>
      <c r="B1549" t="s">
        <v>19</v>
      </c>
      <c r="C1549">
        <v>927.24323000000004</v>
      </c>
      <c r="D1549">
        <v>935.21771000000001</v>
      </c>
      <c r="E1549">
        <v>911.55242999999996</v>
      </c>
      <c r="F1549">
        <v>919.97020999999995</v>
      </c>
      <c r="G1549">
        <v>2475846477</v>
      </c>
      <c r="H1549" t="s">
        <v>20</v>
      </c>
    </row>
    <row r="1550" spans="1:8" x14ac:dyDescent="0.3">
      <c r="A1550" t="s">
        <v>278</v>
      </c>
      <c r="B1550" t="s">
        <v>9</v>
      </c>
      <c r="C1550">
        <v>0.86351</v>
      </c>
      <c r="D1550">
        <v>0.88382000000000005</v>
      </c>
      <c r="E1550">
        <v>0.85602999999999996</v>
      </c>
      <c r="F1550">
        <v>0.88068999999999997</v>
      </c>
      <c r="G1550">
        <v>1267357116</v>
      </c>
      <c r="H1550" t="s">
        <v>10</v>
      </c>
    </row>
    <row r="1551" spans="1:8" x14ac:dyDescent="0.3">
      <c r="A1551" t="s">
        <v>278</v>
      </c>
      <c r="B1551" t="s">
        <v>11</v>
      </c>
      <c r="C1551">
        <v>115423.75780000001</v>
      </c>
      <c r="D1551">
        <v>117005.27340000001</v>
      </c>
      <c r="E1551">
        <v>114813.0938</v>
      </c>
      <c r="F1551">
        <v>116843.1875</v>
      </c>
      <c r="G1551">
        <v>45781744593</v>
      </c>
      <c r="H1551" t="s">
        <v>12</v>
      </c>
    </row>
    <row r="1552" spans="1:8" x14ac:dyDescent="0.3">
      <c r="A1552" t="s">
        <v>278</v>
      </c>
      <c r="B1552" t="s">
        <v>13</v>
      </c>
      <c r="C1552">
        <v>234.35921999999999</v>
      </c>
      <c r="D1552">
        <v>240.68351999999999</v>
      </c>
      <c r="E1552">
        <v>231.87297000000001</v>
      </c>
      <c r="F1552">
        <v>236.98957999999999</v>
      </c>
      <c r="G1552">
        <v>7521208086</v>
      </c>
      <c r="H1552" t="s">
        <v>14</v>
      </c>
    </row>
    <row r="1553" spans="1:8" x14ac:dyDescent="0.3">
      <c r="A1553" t="s">
        <v>278</v>
      </c>
      <c r="B1553" t="s">
        <v>15</v>
      </c>
      <c r="C1553">
        <v>2.9971100000000002</v>
      </c>
      <c r="D1553">
        <v>3.0577299999999998</v>
      </c>
      <c r="E1553">
        <v>2.9702500000000001</v>
      </c>
      <c r="F1553">
        <v>3.0384899999999999</v>
      </c>
      <c r="G1553">
        <v>4790701693</v>
      </c>
      <c r="H1553" t="s">
        <v>16</v>
      </c>
    </row>
    <row r="1554" spans="1:8" x14ac:dyDescent="0.3">
      <c r="A1554" t="s">
        <v>278</v>
      </c>
      <c r="B1554" t="s">
        <v>17</v>
      </c>
      <c r="C1554">
        <v>4526.0781299999999</v>
      </c>
      <c r="D1554">
        <v>4537.5996100000002</v>
      </c>
      <c r="E1554">
        <v>4428.3300799999997</v>
      </c>
      <c r="F1554">
        <v>4503.5644499999999</v>
      </c>
      <c r="G1554">
        <v>32761501436</v>
      </c>
      <c r="H1554" t="s">
        <v>18</v>
      </c>
    </row>
    <row r="1555" spans="1:8" x14ac:dyDescent="0.3">
      <c r="A1555" t="s">
        <v>278</v>
      </c>
      <c r="B1555" t="s">
        <v>19</v>
      </c>
      <c r="C1555">
        <v>919.97020999999995</v>
      </c>
      <c r="D1555">
        <v>958.65539999999999</v>
      </c>
      <c r="E1555">
        <v>917.23833999999999</v>
      </c>
      <c r="F1555">
        <v>955.71258999999998</v>
      </c>
      <c r="G1555">
        <v>3101245055</v>
      </c>
      <c r="H1555" t="s">
        <v>20</v>
      </c>
    </row>
    <row r="1556" spans="1:8" x14ac:dyDescent="0.3">
      <c r="A1556" t="s">
        <v>279</v>
      </c>
      <c r="B1556" t="s">
        <v>9</v>
      </c>
      <c r="C1556">
        <v>0.88068999999999997</v>
      </c>
      <c r="D1556">
        <v>0.91832000000000003</v>
      </c>
      <c r="E1556">
        <v>0.86429</v>
      </c>
      <c r="F1556">
        <v>0.91308999999999996</v>
      </c>
      <c r="G1556">
        <v>1875277351</v>
      </c>
      <c r="H1556" t="s">
        <v>10</v>
      </c>
    </row>
    <row r="1557" spans="1:8" x14ac:dyDescent="0.3">
      <c r="A1557" t="s">
        <v>279</v>
      </c>
      <c r="B1557" t="s">
        <v>11</v>
      </c>
      <c r="C1557">
        <v>116840.50780000001</v>
      </c>
      <c r="D1557">
        <v>117328.6094</v>
      </c>
      <c r="E1557">
        <v>114794.97659999999</v>
      </c>
      <c r="F1557">
        <v>116468.50780000001</v>
      </c>
      <c r="G1557">
        <v>60528025996</v>
      </c>
      <c r="H1557" t="s">
        <v>12</v>
      </c>
    </row>
    <row r="1558" spans="1:8" x14ac:dyDescent="0.3">
      <c r="A1558" t="s">
        <v>279</v>
      </c>
      <c r="B1558" t="s">
        <v>13</v>
      </c>
      <c r="C1558">
        <v>236.97752</v>
      </c>
      <c r="D1558">
        <v>246.46394000000001</v>
      </c>
      <c r="E1558">
        <v>232.77396999999999</v>
      </c>
      <c r="F1558">
        <v>244.85745</v>
      </c>
      <c r="G1558">
        <v>10420751509</v>
      </c>
      <c r="H1558" t="s">
        <v>14</v>
      </c>
    </row>
    <row r="1559" spans="1:8" x14ac:dyDescent="0.3">
      <c r="A1559" t="s">
        <v>279</v>
      </c>
      <c r="B1559" t="s">
        <v>15</v>
      </c>
      <c r="C1559">
        <v>3.0384899999999999</v>
      </c>
      <c r="D1559">
        <v>3.1062099999999999</v>
      </c>
      <c r="E1559">
        <v>2.98935</v>
      </c>
      <c r="F1559">
        <v>3.0849899999999999</v>
      </c>
      <c r="G1559">
        <v>6464944702</v>
      </c>
      <c r="H1559" t="s">
        <v>16</v>
      </c>
    </row>
    <row r="1560" spans="1:8" x14ac:dyDescent="0.3">
      <c r="A1560" t="s">
        <v>279</v>
      </c>
      <c r="B1560" t="s">
        <v>17</v>
      </c>
      <c r="C1560">
        <v>4503.6357399999997</v>
      </c>
      <c r="D1560">
        <v>4617.2348599999996</v>
      </c>
      <c r="E1560">
        <v>4429.6445299999996</v>
      </c>
      <c r="F1560">
        <v>4592.7334000000001</v>
      </c>
      <c r="G1560">
        <v>44120899417</v>
      </c>
      <c r="H1560" t="s">
        <v>18</v>
      </c>
    </row>
    <row r="1561" spans="1:8" x14ac:dyDescent="0.3">
      <c r="A1561" t="s">
        <v>279</v>
      </c>
      <c r="B1561" t="s">
        <v>19</v>
      </c>
      <c r="C1561">
        <v>955.68786999999998</v>
      </c>
      <c r="D1561">
        <v>993.12902999999994</v>
      </c>
      <c r="E1561">
        <v>947.77099999999996</v>
      </c>
      <c r="F1561">
        <v>990.30975000000001</v>
      </c>
      <c r="G1561">
        <v>3641636248</v>
      </c>
      <c r="H1561" t="s">
        <v>20</v>
      </c>
    </row>
    <row r="1562" spans="1:8" x14ac:dyDescent="0.3">
      <c r="A1562" t="s">
        <v>280</v>
      </c>
      <c r="B1562" t="s">
        <v>9</v>
      </c>
      <c r="C1562">
        <v>0.91310999999999998</v>
      </c>
      <c r="D1562">
        <v>0.93781999999999999</v>
      </c>
      <c r="E1562">
        <v>0.90100999999999998</v>
      </c>
      <c r="F1562">
        <v>0.92535999999999996</v>
      </c>
      <c r="G1562">
        <v>2009670534</v>
      </c>
      <c r="H1562" t="s">
        <v>10</v>
      </c>
    </row>
    <row r="1563" spans="1:8" x14ac:dyDescent="0.3">
      <c r="A1563" t="s">
        <v>280</v>
      </c>
      <c r="B1563" t="s">
        <v>11</v>
      </c>
      <c r="C1563">
        <v>116461.2656</v>
      </c>
      <c r="D1563">
        <v>117911.78909999999</v>
      </c>
      <c r="E1563">
        <v>116188.7969</v>
      </c>
      <c r="F1563">
        <v>117137.2031</v>
      </c>
      <c r="G1563">
        <v>49457272032</v>
      </c>
      <c r="H1563" t="s">
        <v>12</v>
      </c>
    </row>
    <row r="1564" spans="1:8" x14ac:dyDescent="0.3">
      <c r="A1564" t="s">
        <v>280</v>
      </c>
      <c r="B1564" t="s">
        <v>13</v>
      </c>
      <c r="C1564">
        <v>244.85130000000001</v>
      </c>
      <c r="D1564">
        <v>253.2099</v>
      </c>
      <c r="E1564">
        <v>242.90658999999999</v>
      </c>
      <c r="F1564">
        <v>247.63713000000001</v>
      </c>
      <c r="G1564">
        <v>9258651570</v>
      </c>
      <c r="H1564" t="s">
        <v>14</v>
      </c>
    </row>
    <row r="1565" spans="1:8" x14ac:dyDescent="0.3">
      <c r="A1565" t="s">
        <v>280</v>
      </c>
      <c r="B1565" t="s">
        <v>15</v>
      </c>
      <c r="C1565">
        <v>3.0849500000000001</v>
      </c>
      <c r="D1565">
        <v>3.1373700000000002</v>
      </c>
      <c r="E1565">
        <v>3.0591200000000001</v>
      </c>
      <c r="F1565">
        <v>3.0762700000000001</v>
      </c>
      <c r="G1565">
        <v>6370715154</v>
      </c>
      <c r="H1565" t="s">
        <v>16</v>
      </c>
    </row>
    <row r="1566" spans="1:8" x14ac:dyDescent="0.3">
      <c r="A1566" t="s">
        <v>280</v>
      </c>
      <c r="B1566" t="s">
        <v>17</v>
      </c>
      <c r="C1566">
        <v>4592.4428699999999</v>
      </c>
      <c r="D1566">
        <v>4643.9726600000004</v>
      </c>
      <c r="E1566">
        <v>4556.2700199999999</v>
      </c>
      <c r="F1566">
        <v>4589.9189500000002</v>
      </c>
      <c r="G1566">
        <v>33497259158</v>
      </c>
      <c r="H1566" t="s">
        <v>18</v>
      </c>
    </row>
    <row r="1567" spans="1:8" x14ac:dyDescent="0.3">
      <c r="A1567" t="s">
        <v>280</v>
      </c>
      <c r="B1567" t="s">
        <v>19</v>
      </c>
      <c r="C1567">
        <v>990.31903</v>
      </c>
      <c r="D1567">
        <v>1005.29224</v>
      </c>
      <c r="E1567">
        <v>980.37982</v>
      </c>
      <c r="F1567">
        <v>981.83520999999996</v>
      </c>
      <c r="G1567">
        <v>3741252935</v>
      </c>
      <c r="H1567" t="s">
        <v>20</v>
      </c>
    </row>
    <row r="1568" spans="1:8" x14ac:dyDescent="0.3">
      <c r="A1568" t="s">
        <v>281</v>
      </c>
      <c r="B1568" t="s">
        <v>9</v>
      </c>
      <c r="C1568">
        <v>0.92535999999999996</v>
      </c>
      <c r="D1568">
        <v>0.93637999999999999</v>
      </c>
      <c r="E1568">
        <v>0.88743000000000005</v>
      </c>
      <c r="F1568">
        <v>0.89093999999999995</v>
      </c>
      <c r="G1568">
        <v>1573603604</v>
      </c>
      <c r="H1568" t="s">
        <v>10</v>
      </c>
    </row>
    <row r="1569" spans="1:8" x14ac:dyDescent="0.3">
      <c r="A1569" t="s">
        <v>281</v>
      </c>
      <c r="B1569" t="s">
        <v>11</v>
      </c>
      <c r="C1569">
        <v>117137.6719</v>
      </c>
      <c r="D1569">
        <v>117479.75780000001</v>
      </c>
      <c r="E1569">
        <v>115141.82030000001</v>
      </c>
      <c r="F1569">
        <v>115688.8594</v>
      </c>
      <c r="G1569">
        <v>38828473971</v>
      </c>
      <c r="H1569" t="s">
        <v>12</v>
      </c>
    </row>
    <row r="1570" spans="1:8" x14ac:dyDescent="0.3">
      <c r="A1570" t="s">
        <v>281</v>
      </c>
      <c r="B1570" t="s">
        <v>13</v>
      </c>
      <c r="C1570">
        <v>247.63824</v>
      </c>
      <c r="D1570">
        <v>248.50660999999999</v>
      </c>
      <c r="E1570">
        <v>235.87192999999999</v>
      </c>
      <c r="F1570">
        <v>238.55269999999999</v>
      </c>
      <c r="G1570">
        <v>7513642552</v>
      </c>
      <c r="H1570" t="s">
        <v>14</v>
      </c>
    </row>
    <row r="1571" spans="1:8" x14ac:dyDescent="0.3">
      <c r="A1571" t="s">
        <v>281</v>
      </c>
      <c r="B1571" t="s">
        <v>15</v>
      </c>
      <c r="C1571">
        <v>3.0762700000000001</v>
      </c>
      <c r="D1571">
        <v>3.0919599999999998</v>
      </c>
      <c r="E1571">
        <v>2.9828100000000002</v>
      </c>
      <c r="F1571">
        <v>2.9918499999999999</v>
      </c>
      <c r="G1571">
        <v>5081524032</v>
      </c>
      <c r="H1571" t="s">
        <v>16</v>
      </c>
    </row>
    <row r="1572" spans="1:8" x14ac:dyDescent="0.3">
      <c r="A1572" t="s">
        <v>281</v>
      </c>
      <c r="B1572" t="s">
        <v>17</v>
      </c>
      <c r="C1572">
        <v>4589.5058600000002</v>
      </c>
      <c r="D1572">
        <v>4620.7929700000004</v>
      </c>
      <c r="E1572">
        <v>4443.2646500000001</v>
      </c>
      <c r="F1572">
        <v>4470.9169899999997</v>
      </c>
      <c r="G1572">
        <v>30352619653</v>
      </c>
      <c r="H1572" t="s">
        <v>18</v>
      </c>
    </row>
    <row r="1573" spans="1:8" x14ac:dyDescent="0.3">
      <c r="A1573" t="s">
        <v>281</v>
      </c>
      <c r="B1573" t="s">
        <v>19</v>
      </c>
      <c r="C1573">
        <v>981.83520999999996</v>
      </c>
      <c r="D1573">
        <v>1002.08289</v>
      </c>
      <c r="E1573">
        <v>975.81177000000002</v>
      </c>
      <c r="F1573">
        <v>984.12408000000005</v>
      </c>
      <c r="G1573">
        <v>3293771895</v>
      </c>
      <c r="H1573" t="s">
        <v>20</v>
      </c>
    </row>
    <row r="1574" spans="1:8" x14ac:dyDescent="0.3">
      <c r="A1574" t="s">
        <v>282</v>
      </c>
      <c r="B1574" t="s">
        <v>9</v>
      </c>
      <c r="C1574">
        <v>0.89093</v>
      </c>
      <c r="D1574">
        <v>0.90632000000000001</v>
      </c>
      <c r="E1574">
        <v>0.88870000000000005</v>
      </c>
      <c r="F1574">
        <v>0.89393</v>
      </c>
      <c r="G1574">
        <v>785758505</v>
      </c>
      <c r="H1574" t="s">
        <v>10</v>
      </c>
    </row>
    <row r="1575" spans="1:8" x14ac:dyDescent="0.3">
      <c r="A1575" t="s">
        <v>282</v>
      </c>
      <c r="B1575" t="s">
        <v>11</v>
      </c>
      <c r="C1575">
        <v>115691.125</v>
      </c>
      <c r="D1575">
        <v>116191.14840000001</v>
      </c>
      <c r="E1575">
        <v>115473.52340000001</v>
      </c>
      <c r="F1575">
        <v>115721.96090000001</v>
      </c>
      <c r="G1575">
        <v>22864449614</v>
      </c>
      <c r="H1575" t="s">
        <v>12</v>
      </c>
    </row>
    <row r="1576" spans="1:8" x14ac:dyDescent="0.3">
      <c r="A1576" t="s">
        <v>282</v>
      </c>
      <c r="B1576" t="s">
        <v>13</v>
      </c>
      <c r="C1576">
        <v>238.54975999999999</v>
      </c>
      <c r="D1576">
        <v>240.99896000000001</v>
      </c>
      <c r="E1576">
        <v>237.17776000000001</v>
      </c>
      <c r="F1576">
        <v>239.59247999999999</v>
      </c>
      <c r="G1576">
        <v>3518711912</v>
      </c>
      <c r="H1576" t="s">
        <v>14</v>
      </c>
    </row>
    <row r="1577" spans="1:8" x14ac:dyDescent="0.3">
      <c r="A1577" t="s">
        <v>282</v>
      </c>
      <c r="B1577" t="s">
        <v>15</v>
      </c>
      <c r="C1577">
        <v>2.9918300000000002</v>
      </c>
      <c r="D1577">
        <v>3.0097700000000001</v>
      </c>
      <c r="E1577">
        <v>2.9726900000000001</v>
      </c>
      <c r="F1577">
        <v>2.97892</v>
      </c>
      <c r="G1577">
        <v>3128134656</v>
      </c>
      <c r="H1577" t="s">
        <v>16</v>
      </c>
    </row>
    <row r="1578" spans="1:8" x14ac:dyDescent="0.3">
      <c r="A1578" t="s">
        <v>282</v>
      </c>
      <c r="B1578" t="s">
        <v>17</v>
      </c>
      <c r="C1578">
        <v>4470.9785199999997</v>
      </c>
      <c r="D1578">
        <v>4509.8120099999996</v>
      </c>
      <c r="E1578">
        <v>4459.1591799999997</v>
      </c>
      <c r="F1578">
        <v>4482.2656299999999</v>
      </c>
      <c r="G1578">
        <v>18056494322</v>
      </c>
      <c r="H1578" t="s">
        <v>18</v>
      </c>
    </row>
    <row r="1579" spans="1:8" x14ac:dyDescent="0.3">
      <c r="A1579" t="s">
        <v>282</v>
      </c>
      <c r="B1579" t="s">
        <v>19</v>
      </c>
      <c r="C1579">
        <v>984.13451999999995</v>
      </c>
      <c r="D1579">
        <v>1043.2438999999999</v>
      </c>
      <c r="E1579">
        <v>984.11974999999995</v>
      </c>
      <c r="F1579">
        <v>1042.6501499999999</v>
      </c>
      <c r="G1579">
        <v>3759046572</v>
      </c>
      <c r="H1579" t="s">
        <v>20</v>
      </c>
    </row>
    <row r="1580" spans="1:8" x14ac:dyDescent="0.3">
      <c r="A1580" t="s">
        <v>283</v>
      </c>
      <c r="B1580" t="s">
        <v>9</v>
      </c>
      <c r="C1580">
        <v>0.89393</v>
      </c>
      <c r="D1580">
        <v>0.90232999999999997</v>
      </c>
      <c r="E1580">
        <v>0.87790000000000001</v>
      </c>
      <c r="F1580">
        <v>0.88527999999999996</v>
      </c>
      <c r="G1580">
        <v>878284682</v>
      </c>
      <c r="H1580" t="s">
        <v>10</v>
      </c>
    </row>
    <row r="1581" spans="1:8" x14ac:dyDescent="0.3">
      <c r="A1581" t="s">
        <v>283</v>
      </c>
      <c r="B1581" t="s">
        <v>11</v>
      </c>
      <c r="C1581">
        <v>115730.22659999999</v>
      </c>
      <c r="D1581">
        <v>115901.08590000001</v>
      </c>
      <c r="E1581">
        <v>115252.5781</v>
      </c>
      <c r="F1581">
        <v>115306.0938</v>
      </c>
      <c r="G1581">
        <v>22495852193</v>
      </c>
      <c r="H1581" t="s">
        <v>12</v>
      </c>
    </row>
    <row r="1582" spans="1:8" x14ac:dyDescent="0.3">
      <c r="A1582" t="s">
        <v>283</v>
      </c>
      <c r="B1582" t="s">
        <v>13</v>
      </c>
      <c r="C1582">
        <v>239.59331</v>
      </c>
      <c r="D1582">
        <v>241.80893</v>
      </c>
      <c r="E1582">
        <v>235.71669</v>
      </c>
      <c r="F1582">
        <v>236.57544999999999</v>
      </c>
      <c r="G1582">
        <v>3513052984</v>
      </c>
      <c r="H1582" t="s">
        <v>14</v>
      </c>
    </row>
    <row r="1583" spans="1:8" x14ac:dyDescent="0.3">
      <c r="A1583" t="s">
        <v>283</v>
      </c>
      <c r="B1583" t="s">
        <v>15</v>
      </c>
      <c r="C1583">
        <v>2.9789300000000001</v>
      </c>
      <c r="D1583">
        <v>3.0128599999999999</v>
      </c>
      <c r="E1583">
        <v>2.9580099999999998</v>
      </c>
      <c r="F1583">
        <v>2.9734099999999999</v>
      </c>
      <c r="G1583">
        <v>3006847619</v>
      </c>
      <c r="H1583" t="s">
        <v>16</v>
      </c>
    </row>
    <row r="1584" spans="1:8" x14ac:dyDescent="0.3">
      <c r="A1584" t="s">
        <v>283</v>
      </c>
      <c r="B1584" t="s">
        <v>17</v>
      </c>
      <c r="C1584">
        <v>4482.5839800000003</v>
      </c>
      <c r="D1584">
        <v>4499.3891599999997</v>
      </c>
      <c r="E1584">
        <v>4447.1191399999998</v>
      </c>
      <c r="F1584">
        <v>4451.3290999999999</v>
      </c>
      <c r="G1584">
        <v>19330306133</v>
      </c>
      <c r="H1584" t="s">
        <v>18</v>
      </c>
    </row>
    <row r="1585" spans="1:8" x14ac:dyDescent="0.3">
      <c r="A1585" t="s">
        <v>283</v>
      </c>
      <c r="B1585" t="s">
        <v>19</v>
      </c>
      <c r="C1585">
        <v>1042.66272</v>
      </c>
      <c r="D1585">
        <v>1080.47766</v>
      </c>
      <c r="E1585">
        <v>1041.0262499999999</v>
      </c>
      <c r="F1585">
        <v>1048.67236</v>
      </c>
      <c r="G1585">
        <v>4306431415</v>
      </c>
      <c r="H1585" t="s">
        <v>20</v>
      </c>
    </row>
    <row r="1586" spans="1:8" x14ac:dyDescent="0.3">
      <c r="A1586" t="s">
        <v>284</v>
      </c>
      <c r="B1586" t="s">
        <v>9</v>
      </c>
      <c r="C1586">
        <v>0.88526000000000005</v>
      </c>
      <c r="D1586">
        <v>0.88748000000000005</v>
      </c>
      <c r="E1586">
        <v>0.80603000000000002</v>
      </c>
      <c r="F1586">
        <v>0.82574999999999998</v>
      </c>
      <c r="G1586">
        <v>2389033730</v>
      </c>
      <c r="H1586" t="s">
        <v>10</v>
      </c>
    </row>
    <row r="1587" spans="1:8" x14ac:dyDescent="0.3">
      <c r="A1587" t="s">
        <v>284</v>
      </c>
      <c r="B1587" t="s">
        <v>11</v>
      </c>
      <c r="C1587">
        <v>115309.2188</v>
      </c>
      <c r="D1587">
        <v>115431.3125</v>
      </c>
      <c r="E1587">
        <v>112037.64840000001</v>
      </c>
      <c r="F1587">
        <v>112748.50780000001</v>
      </c>
      <c r="G1587">
        <v>70684158591</v>
      </c>
      <c r="H1587" t="s">
        <v>12</v>
      </c>
    </row>
    <row r="1588" spans="1:8" x14ac:dyDescent="0.3">
      <c r="A1588" t="s">
        <v>284</v>
      </c>
      <c r="B1588" t="s">
        <v>13</v>
      </c>
      <c r="C1588">
        <v>236.57422</v>
      </c>
      <c r="D1588">
        <v>236.86926</v>
      </c>
      <c r="E1588">
        <v>216.91776999999999</v>
      </c>
      <c r="F1588">
        <v>220.49644000000001</v>
      </c>
      <c r="G1588">
        <v>12102727916</v>
      </c>
      <c r="H1588" t="s">
        <v>14</v>
      </c>
    </row>
    <row r="1589" spans="1:8" x14ac:dyDescent="0.3">
      <c r="A1589" t="s">
        <v>284</v>
      </c>
      <c r="B1589" t="s">
        <v>15</v>
      </c>
      <c r="C1589">
        <v>2.97342</v>
      </c>
      <c r="D1589">
        <v>2.9750899999999998</v>
      </c>
      <c r="E1589">
        <v>2.7758400000000001</v>
      </c>
      <c r="F1589">
        <v>2.8530099999999998</v>
      </c>
      <c r="G1589">
        <v>10061060584</v>
      </c>
      <c r="H1589" t="s">
        <v>16</v>
      </c>
    </row>
    <row r="1590" spans="1:8" x14ac:dyDescent="0.3">
      <c r="A1590" t="s">
        <v>284</v>
      </c>
      <c r="B1590" t="s">
        <v>17</v>
      </c>
      <c r="C1590">
        <v>4451.5805700000001</v>
      </c>
      <c r="D1590">
        <v>4457.0825199999999</v>
      </c>
      <c r="E1590">
        <v>4092.3967299999999</v>
      </c>
      <c r="F1590">
        <v>4202.8774400000002</v>
      </c>
      <c r="G1590">
        <v>58221334533</v>
      </c>
      <c r="H1590" t="s">
        <v>18</v>
      </c>
    </row>
    <row r="1591" spans="1:8" x14ac:dyDescent="0.3">
      <c r="A1591" t="s">
        <v>284</v>
      </c>
      <c r="B1591" t="s">
        <v>19</v>
      </c>
      <c r="C1591">
        <v>1048.6711399999999</v>
      </c>
      <c r="D1591">
        <v>1050.31836</v>
      </c>
      <c r="E1591">
        <v>978.57330000000002</v>
      </c>
      <c r="F1591">
        <v>993.01404000000002</v>
      </c>
      <c r="G1591">
        <v>4892903256</v>
      </c>
      <c r="H1591" t="s">
        <v>20</v>
      </c>
    </row>
    <row r="1592" spans="1:8" x14ac:dyDescent="0.3">
      <c r="A1592" t="s">
        <v>285</v>
      </c>
      <c r="B1592" t="s">
        <v>9</v>
      </c>
      <c r="C1592">
        <v>0.82577</v>
      </c>
      <c r="D1592">
        <v>0.82915000000000005</v>
      </c>
      <c r="E1592">
        <v>0.80532999999999999</v>
      </c>
      <c r="F1592">
        <v>0.80762</v>
      </c>
      <c r="G1592">
        <v>1108855046</v>
      </c>
      <c r="H1592" t="s">
        <v>10</v>
      </c>
    </row>
    <row r="1593" spans="1:8" x14ac:dyDescent="0.3">
      <c r="A1593" t="s">
        <v>285</v>
      </c>
      <c r="B1593" t="s">
        <v>11</v>
      </c>
      <c r="C1593">
        <v>112757.47659999999</v>
      </c>
      <c r="D1593">
        <v>113351.91409999999</v>
      </c>
      <c r="E1593">
        <v>111535.57030000001</v>
      </c>
      <c r="F1593">
        <v>112014.5</v>
      </c>
      <c r="G1593">
        <v>47211853279</v>
      </c>
      <c r="H1593" t="s">
        <v>12</v>
      </c>
    </row>
    <row r="1594" spans="1:8" x14ac:dyDescent="0.3">
      <c r="A1594" t="s">
        <v>285</v>
      </c>
      <c r="B1594" t="s">
        <v>13</v>
      </c>
      <c r="C1594">
        <v>220.50390999999999</v>
      </c>
      <c r="D1594">
        <v>221.35005000000001</v>
      </c>
      <c r="E1594">
        <v>212.80286000000001</v>
      </c>
      <c r="F1594">
        <v>213.71729999999999</v>
      </c>
      <c r="G1594">
        <v>7373425460</v>
      </c>
      <c r="H1594" t="s">
        <v>14</v>
      </c>
    </row>
    <row r="1595" spans="1:8" x14ac:dyDescent="0.3">
      <c r="A1595" t="s">
        <v>285</v>
      </c>
      <c r="B1595" t="s">
        <v>15</v>
      </c>
      <c r="C1595">
        <v>2.8530199999999999</v>
      </c>
      <c r="D1595">
        <v>2.8936199999999999</v>
      </c>
      <c r="E1595">
        <v>2.8051200000000001</v>
      </c>
      <c r="F1595">
        <v>2.82816</v>
      </c>
      <c r="G1595">
        <v>5443127217</v>
      </c>
      <c r="H1595" t="s">
        <v>16</v>
      </c>
    </row>
    <row r="1596" spans="1:8" x14ac:dyDescent="0.3">
      <c r="A1596" t="s">
        <v>285</v>
      </c>
      <c r="B1596" t="s">
        <v>17</v>
      </c>
      <c r="C1596">
        <v>4203.0214800000003</v>
      </c>
      <c r="D1596">
        <v>4227.7314500000002</v>
      </c>
      <c r="E1596">
        <v>4120.8154299999997</v>
      </c>
      <c r="F1596">
        <v>4165.5039100000004</v>
      </c>
      <c r="G1596">
        <v>32460075911</v>
      </c>
      <c r="H1596" t="s">
        <v>18</v>
      </c>
    </row>
    <row r="1597" spans="1:8" x14ac:dyDescent="0.3">
      <c r="A1597" t="s">
        <v>285</v>
      </c>
      <c r="B1597" t="s">
        <v>19</v>
      </c>
      <c r="C1597">
        <v>993.01404000000002</v>
      </c>
      <c r="D1597">
        <v>1026.2456099999999</v>
      </c>
      <c r="E1597">
        <v>964.55322000000001</v>
      </c>
      <c r="F1597">
        <v>1017.0199</v>
      </c>
      <c r="G1597">
        <v>4038510425</v>
      </c>
      <c r="H1597" t="s">
        <v>20</v>
      </c>
    </row>
    <row r="1598" spans="1:8" x14ac:dyDescent="0.3">
      <c r="A1598" t="s">
        <v>286</v>
      </c>
      <c r="B1598" t="s">
        <v>9</v>
      </c>
      <c r="C1598">
        <v>0.80762</v>
      </c>
      <c r="D1598">
        <v>0.82908000000000004</v>
      </c>
      <c r="E1598">
        <v>0.79490000000000005</v>
      </c>
      <c r="F1598">
        <v>0.81318999999999997</v>
      </c>
      <c r="G1598">
        <v>1067044180</v>
      </c>
      <c r="H1598" t="s">
        <v>10</v>
      </c>
    </row>
    <row r="1599" spans="1:8" x14ac:dyDescent="0.3">
      <c r="A1599" t="s">
        <v>286</v>
      </c>
      <c r="B1599" t="s">
        <v>11</v>
      </c>
      <c r="C1599">
        <v>112007.66409999999</v>
      </c>
      <c r="D1599">
        <v>113986.27340000001</v>
      </c>
      <c r="E1599">
        <v>111229.6406</v>
      </c>
      <c r="F1599">
        <v>113328.63280000001</v>
      </c>
      <c r="G1599">
        <v>48044595085</v>
      </c>
      <c r="H1599" t="s">
        <v>12</v>
      </c>
    </row>
    <row r="1600" spans="1:8" x14ac:dyDescent="0.3">
      <c r="A1600" t="s">
        <v>286</v>
      </c>
      <c r="B1600" t="s">
        <v>13</v>
      </c>
      <c r="C1600">
        <v>213.71072000000001</v>
      </c>
      <c r="D1600">
        <v>216.38019</v>
      </c>
      <c r="E1600">
        <v>206.04060000000001</v>
      </c>
      <c r="F1600">
        <v>211.75626</v>
      </c>
      <c r="G1600">
        <v>8377116522</v>
      </c>
      <c r="H1600" t="s">
        <v>14</v>
      </c>
    </row>
    <row r="1601" spans="1:8" x14ac:dyDescent="0.3">
      <c r="A1601" t="s">
        <v>286</v>
      </c>
      <c r="B1601" t="s">
        <v>15</v>
      </c>
      <c r="C1601">
        <v>2.8281200000000002</v>
      </c>
      <c r="D1601">
        <v>2.9935900000000002</v>
      </c>
      <c r="E1601">
        <v>2.80314</v>
      </c>
      <c r="F1601">
        <v>2.9280400000000002</v>
      </c>
      <c r="G1601">
        <v>6233618625</v>
      </c>
      <c r="H1601" t="s">
        <v>16</v>
      </c>
    </row>
    <row r="1602" spans="1:8" x14ac:dyDescent="0.3">
      <c r="A1602" t="s">
        <v>286</v>
      </c>
      <c r="B1602" t="s">
        <v>17</v>
      </c>
      <c r="C1602">
        <v>4165.4125999999997</v>
      </c>
      <c r="D1602">
        <v>4206.9018599999999</v>
      </c>
      <c r="E1602">
        <v>4081.3476599999999</v>
      </c>
      <c r="F1602">
        <v>4153.4692400000004</v>
      </c>
      <c r="G1602">
        <v>33538388785</v>
      </c>
      <c r="H1602" t="s">
        <v>18</v>
      </c>
    </row>
    <row r="1603" spans="1:8" x14ac:dyDescent="0.3">
      <c r="A1603" t="s">
        <v>286</v>
      </c>
      <c r="B1603" t="s">
        <v>19</v>
      </c>
      <c r="C1603">
        <v>1017.0293</v>
      </c>
      <c r="D1603">
        <v>1034.0548100000001</v>
      </c>
      <c r="E1603">
        <v>995.29291000000001</v>
      </c>
      <c r="F1603">
        <v>1018.84784</v>
      </c>
      <c r="G1603">
        <v>3603925585</v>
      </c>
      <c r="H1603" t="s">
        <v>20</v>
      </c>
    </row>
    <row r="1604" spans="1:8" x14ac:dyDescent="0.3">
      <c r="A1604" t="s">
        <v>287</v>
      </c>
      <c r="B1604" t="s">
        <v>9</v>
      </c>
      <c r="C1604">
        <v>0.81318999999999997</v>
      </c>
      <c r="D1604">
        <v>0.81440999999999997</v>
      </c>
      <c r="E1604">
        <v>0.75834999999999997</v>
      </c>
      <c r="F1604">
        <v>0.76278999999999997</v>
      </c>
      <c r="G1604">
        <v>1914562312</v>
      </c>
      <c r="H1604" t="s">
        <v>10</v>
      </c>
    </row>
    <row r="1605" spans="1:8" x14ac:dyDescent="0.3">
      <c r="A1605" t="s">
        <v>287</v>
      </c>
      <c r="B1605" t="s">
        <v>11</v>
      </c>
      <c r="C1605">
        <v>113330.16409999999</v>
      </c>
      <c r="D1605">
        <v>113541.08590000001</v>
      </c>
      <c r="E1605">
        <v>108713.39840000001</v>
      </c>
      <c r="F1605">
        <v>109049.28909999999</v>
      </c>
      <c r="G1605">
        <v>75528654284</v>
      </c>
      <c r="H1605" t="s">
        <v>12</v>
      </c>
    </row>
    <row r="1606" spans="1:8" x14ac:dyDescent="0.3">
      <c r="A1606" t="s">
        <v>287</v>
      </c>
      <c r="B1606" t="s">
        <v>13</v>
      </c>
      <c r="C1606">
        <v>211.75344999999999</v>
      </c>
      <c r="D1606">
        <v>212.40075999999999</v>
      </c>
      <c r="E1606">
        <v>192.08314999999999</v>
      </c>
      <c r="F1606">
        <v>192.38077000000001</v>
      </c>
      <c r="G1606">
        <v>12314273479</v>
      </c>
      <c r="H1606" t="s">
        <v>14</v>
      </c>
    </row>
    <row r="1607" spans="1:8" x14ac:dyDescent="0.3">
      <c r="A1607" t="s">
        <v>287</v>
      </c>
      <c r="B1607" t="s">
        <v>15</v>
      </c>
      <c r="C1607">
        <v>2.9280499999999998</v>
      </c>
      <c r="D1607">
        <v>2.94346</v>
      </c>
      <c r="E1607">
        <v>2.7387199999999998</v>
      </c>
      <c r="F1607">
        <v>2.7423199999999999</v>
      </c>
      <c r="G1607">
        <v>9262038626</v>
      </c>
      <c r="H1607" t="s">
        <v>16</v>
      </c>
    </row>
    <row r="1608" spans="1:8" x14ac:dyDescent="0.3">
      <c r="A1608" t="s">
        <v>287</v>
      </c>
      <c r="B1608" t="s">
        <v>17</v>
      </c>
      <c r="C1608">
        <v>4153.5209999999997</v>
      </c>
      <c r="D1608">
        <v>4162.0625</v>
      </c>
      <c r="E1608">
        <v>3829.0107400000002</v>
      </c>
      <c r="F1608">
        <v>3868.3339799999999</v>
      </c>
      <c r="G1608">
        <v>68963092031</v>
      </c>
      <c r="H1608" t="s">
        <v>18</v>
      </c>
    </row>
    <row r="1609" spans="1:8" x14ac:dyDescent="0.3">
      <c r="A1609" t="s">
        <v>287</v>
      </c>
      <c r="B1609" t="s">
        <v>19</v>
      </c>
      <c r="C1609">
        <v>1018.87189</v>
      </c>
      <c r="D1609">
        <v>1019.84283</v>
      </c>
      <c r="E1609">
        <v>943.32483000000002</v>
      </c>
      <c r="F1609">
        <v>945.71361999999999</v>
      </c>
      <c r="G1609">
        <v>4693762081</v>
      </c>
      <c r="H1609" t="s">
        <v>20</v>
      </c>
    </row>
    <row r="1610" spans="1:8" x14ac:dyDescent="0.3">
      <c r="A1610" t="s">
        <v>288</v>
      </c>
      <c r="B1610" t="s">
        <v>9</v>
      </c>
      <c r="C1610">
        <v>0.76278000000000001</v>
      </c>
      <c r="D1610">
        <v>0.79610000000000003</v>
      </c>
      <c r="E1610">
        <v>0.75924999999999998</v>
      </c>
      <c r="F1610">
        <v>0.79218999999999995</v>
      </c>
      <c r="G1610">
        <v>1170359717</v>
      </c>
      <c r="H1610" t="s">
        <v>10</v>
      </c>
    </row>
    <row r="1611" spans="1:8" x14ac:dyDescent="0.3">
      <c r="A1611" t="s">
        <v>288</v>
      </c>
      <c r="B1611" t="s">
        <v>11</v>
      </c>
      <c r="C1611">
        <v>109041.2969</v>
      </c>
      <c r="D1611">
        <v>110359.19530000001</v>
      </c>
      <c r="E1611">
        <v>108728.97659999999</v>
      </c>
      <c r="F1611">
        <v>109712.8281</v>
      </c>
      <c r="G1611">
        <v>57738288949</v>
      </c>
      <c r="H1611" t="s">
        <v>12</v>
      </c>
    </row>
    <row r="1612" spans="1:8" x14ac:dyDescent="0.3">
      <c r="A1612" t="s">
        <v>288</v>
      </c>
      <c r="B1612" t="s">
        <v>13</v>
      </c>
      <c r="C1612">
        <v>192.39796000000001</v>
      </c>
      <c r="D1612">
        <v>205.41528</v>
      </c>
      <c r="E1612">
        <v>191.12665000000001</v>
      </c>
      <c r="F1612">
        <v>205.35255000000001</v>
      </c>
      <c r="G1612">
        <v>10334548744</v>
      </c>
      <c r="H1612" t="s">
        <v>14</v>
      </c>
    </row>
    <row r="1613" spans="1:8" x14ac:dyDescent="0.3">
      <c r="A1613" t="s">
        <v>288</v>
      </c>
      <c r="B1613" t="s">
        <v>15</v>
      </c>
      <c r="C1613">
        <v>2.7423600000000001</v>
      </c>
      <c r="D1613">
        <v>2.80905</v>
      </c>
      <c r="E1613">
        <v>2.70397</v>
      </c>
      <c r="F1613">
        <v>2.7858100000000001</v>
      </c>
      <c r="G1613">
        <v>7991469350</v>
      </c>
      <c r="H1613" t="s">
        <v>16</v>
      </c>
    </row>
    <row r="1614" spans="1:8" x14ac:dyDescent="0.3">
      <c r="A1614" t="s">
        <v>288</v>
      </c>
      <c r="B1614" t="s">
        <v>17</v>
      </c>
      <c r="C1614">
        <v>3868.69092</v>
      </c>
      <c r="D1614">
        <v>4069.1687000000002</v>
      </c>
      <c r="E1614">
        <v>3868.4335900000001</v>
      </c>
      <c r="F1614">
        <v>4035.8879400000001</v>
      </c>
      <c r="G1614">
        <v>47873508328</v>
      </c>
      <c r="H1614" t="s">
        <v>18</v>
      </c>
    </row>
    <row r="1615" spans="1:8" x14ac:dyDescent="0.3">
      <c r="A1615" t="s">
        <v>288</v>
      </c>
      <c r="B1615" t="s">
        <v>19</v>
      </c>
      <c r="C1615">
        <v>945.71361999999999</v>
      </c>
      <c r="D1615">
        <v>964.72838999999999</v>
      </c>
      <c r="E1615">
        <v>933.50525000000005</v>
      </c>
      <c r="F1615">
        <v>960.92394999999999</v>
      </c>
      <c r="G1615">
        <v>3789703570</v>
      </c>
      <c r="H1615" t="s">
        <v>20</v>
      </c>
    </row>
    <row r="1616" spans="1:8" x14ac:dyDescent="0.3">
      <c r="A1616" t="s">
        <v>289</v>
      </c>
      <c r="B1616" t="s">
        <v>9</v>
      </c>
      <c r="C1616">
        <v>0.79218999999999995</v>
      </c>
      <c r="D1616">
        <v>0.79415000000000002</v>
      </c>
      <c r="E1616">
        <v>0.77751000000000003</v>
      </c>
      <c r="F1616">
        <v>0.78169999999999995</v>
      </c>
      <c r="G1616">
        <v>554628951</v>
      </c>
      <c r="H1616" t="s">
        <v>10</v>
      </c>
    </row>
    <row r="1617" spans="1:8" x14ac:dyDescent="0.3">
      <c r="A1617" t="s">
        <v>289</v>
      </c>
      <c r="B1617" t="s">
        <v>11</v>
      </c>
      <c r="C1617">
        <v>109707.1406</v>
      </c>
      <c r="D1617">
        <v>109778.5</v>
      </c>
      <c r="E1617">
        <v>109144.2969</v>
      </c>
      <c r="F1617">
        <v>109681.94530000001</v>
      </c>
      <c r="G1617">
        <v>26308042910</v>
      </c>
      <c r="H1617" t="s">
        <v>12</v>
      </c>
    </row>
    <row r="1618" spans="1:8" x14ac:dyDescent="0.3">
      <c r="A1618" t="s">
        <v>289</v>
      </c>
      <c r="B1618" t="s">
        <v>13</v>
      </c>
      <c r="C1618">
        <v>205.34518</v>
      </c>
      <c r="D1618">
        <v>205.39913999999999</v>
      </c>
      <c r="E1618">
        <v>200.26909000000001</v>
      </c>
      <c r="F1618">
        <v>203.58332999999999</v>
      </c>
      <c r="G1618">
        <v>4016294139</v>
      </c>
      <c r="H1618" t="s">
        <v>14</v>
      </c>
    </row>
    <row r="1619" spans="1:8" x14ac:dyDescent="0.3">
      <c r="A1619" t="s">
        <v>289</v>
      </c>
      <c r="B1619" t="s">
        <v>15</v>
      </c>
      <c r="C1619">
        <v>2.7858000000000001</v>
      </c>
      <c r="D1619">
        <v>2.8261599999999998</v>
      </c>
      <c r="E1619">
        <v>2.7664300000000002</v>
      </c>
      <c r="F1619">
        <v>2.8077299999999998</v>
      </c>
      <c r="G1619">
        <v>2924457406</v>
      </c>
      <c r="H1619" t="s">
        <v>16</v>
      </c>
    </row>
    <row r="1620" spans="1:8" x14ac:dyDescent="0.3">
      <c r="A1620" t="s">
        <v>289</v>
      </c>
      <c r="B1620" t="s">
        <v>17</v>
      </c>
      <c r="C1620">
        <v>4035.91455</v>
      </c>
      <c r="D1620">
        <v>4038.4516600000002</v>
      </c>
      <c r="E1620">
        <v>3975.7580600000001</v>
      </c>
      <c r="F1620">
        <v>4018.6581999999999</v>
      </c>
      <c r="G1620">
        <v>20382555776</v>
      </c>
      <c r="H1620" t="s">
        <v>18</v>
      </c>
    </row>
    <row r="1621" spans="1:8" x14ac:dyDescent="0.3">
      <c r="A1621" t="s">
        <v>289</v>
      </c>
      <c r="B1621" t="s">
        <v>19</v>
      </c>
      <c r="C1621">
        <v>960.92394999999999</v>
      </c>
      <c r="D1621">
        <v>983.92687999999998</v>
      </c>
      <c r="E1621">
        <v>957.40210000000002</v>
      </c>
      <c r="F1621">
        <v>968.78954999999996</v>
      </c>
      <c r="G1621">
        <v>2777184185</v>
      </c>
      <c r="H1621" t="s">
        <v>20</v>
      </c>
    </row>
    <row r="1622" spans="1:8" x14ac:dyDescent="0.3">
      <c r="A1622" t="s">
        <v>290</v>
      </c>
      <c r="B1622" t="s">
        <v>9</v>
      </c>
      <c r="C1622">
        <v>0.78169999999999995</v>
      </c>
      <c r="D1622">
        <v>0.81125000000000003</v>
      </c>
      <c r="E1622">
        <v>0.76593</v>
      </c>
      <c r="F1622">
        <v>0.80817000000000005</v>
      </c>
      <c r="G1622">
        <v>744912865</v>
      </c>
      <c r="H1622" t="s">
        <v>10</v>
      </c>
    </row>
    <row r="1623" spans="1:8" x14ac:dyDescent="0.3">
      <c r="A1623" t="s">
        <v>290</v>
      </c>
      <c r="B1623" t="s">
        <v>11</v>
      </c>
      <c r="C1623">
        <v>109681.94530000001</v>
      </c>
      <c r="D1623">
        <v>112375.4844</v>
      </c>
      <c r="E1623">
        <v>109236.94530000001</v>
      </c>
      <c r="F1623">
        <v>112122.6406</v>
      </c>
      <c r="G1623">
        <v>33371048505</v>
      </c>
      <c r="H1623" t="s">
        <v>12</v>
      </c>
    </row>
    <row r="1624" spans="1:8" x14ac:dyDescent="0.3">
      <c r="A1624" t="s">
        <v>290</v>
      </c>
      <c r="B1624" t="s">
        <v>13</v>
      </c>
      <c r="C1624">
        <v>203.58323999999999</v>
      </c>
      <c r="D1624">
        <v>210.89623</v>
      </c>
      <c r="E1624">
        <v>198.32042999999999</v>
      </c>
      <c r="F1624">
        <v>210.73775000000001</v>
      </c>
      <c r="G1624">
        <v>4467879569</v>
      </c>
      <c r="H1624" t="s">
        <v>14</v>
      </c>
    </row>
    <row r="1625" spans="1:8" x14ac:dyDescent="0.3">
      <c r="A1625" t="s">
        <v>290</v>
      </c>
      <c r="B1625" t="s">
        <v>15</v>
      </c>
      <c r="C1625">
        <v>2.8077100000000002</v>
      </c>
      <c r="D1625">
        <v>2.8668200000000001</v>
      </c>
      <c r="E1625">
        <v>2.7698900000000002</v>
      </c>
      <c r="F1625">
        <v>2.86659</v>
      </c>
      <c r="G1625">
        <v>3306243728</v>
      </c>
      <c r="H1625" t="s">
        <v>16</v>
      </c>
    </row>
    <row r="1626" spans="1:8" x14ac:dyDescent="0.3">
      <c r="A1626" t="s">
        <v>290</v>
      </c>
      <c r="B1626" t="s">
        <v>17</v>
      </c>
      <c r="C1626">
        <v>4018.65967</v>
      </c>
      <c r="D1626">
        <v>4143.0039100000004</v>
      </c>
      <c r="E1626">
        <v>3969.79297</v>
      </c>
      <c r="F1626">
        <v>4141.4765600000001</v>
      </c>
      <c r="G1626">
        <v>24631307054</v>
      </c>
      <c r="H1626" t="s">
        <v>18</v>
      </c>
    </row>
    <row r="1627" spans="1:8" x14ac:dyDescent="0.3">
      <c r="A1627" t="s">
        <v>290</v>
      </c>
      <c r="B1627" t="s">
        <v>19</v>
      </c>
      <c r="C1627">
        <v>968.78954999999996</v>
      </c>
      <c r="D1627">
        <v>993.38567999999998</v>
      </c>
      <c r="E1627">
        <v>964.28754000000004</v>
      </c>
      <c r="F1627">
        <v>993.31555000000003</v>
      </c>
      <c r="G1627">
        <v>2519459113</v>
      </c>
      <c r="H1627" t="s">
        <v>20</v>
      </c>
    </row>
    <row r="1628" spans="1:8" x14ac:dyDescent="0.3">
      <c r="A1628" t="s">
        <v>291</v>
      </c>
      <c r="B1628" t="s">
        <v>9</v>
      </c>
      <c r="C1628">
        <v>0.80817000000000005</v>
      </c>
      <c r="D1628">
        <v>0.81496000000000002</v>
      </c>
      <c r="E1628">
        <v>0.78996999999999995</v>
      </c>
      <c r="F1628">
        <v>0.80679999999999996</v>
      </c>
      <c r="G1628">
        <v>1048602865</v>
      </c>
      <c r="H1628" t="s">
        <v>10</v>
      </c>
    </row>
    <row r="1629" spans="1:8" x14ac:dyDescent="0.3">
      <c r="A1629" t="s">
        <v>291</v>
      </c>
      <c r="B1629" t="s">
        <v>11</v>
      </c>
      <c r="C1629">
        <v>112117.875</v>
      </c>
      <c r="D1629">
        <v>114473.57030000001</v>
      </c>
      <c r="E1629">
        <v>111589.9531</v>
      </c>
      <c r="F1629">
        <v>114400.38280000001</v>
      </c>
      <c r="G1629">
        <v>60000147466</v>
      </c>
      <c r="H1629" t="s">
        <v>12</v>
      </c>
    </row>
    <row r="1630" spans="1:8" x14ac:dyDescent="0.3">
      <c r="A1630" t="s">
        <v>291</v>
      </c>
      <c r="B1630" t="s">
        <v>13</v>
      </c>
      <c r="C1630">
        <v>210.73973000000001</v>
      </c>
      <c r="D1630">
        <v>214.68810999999999</v>
      </c>
      <c r="E1630">
        <v>205.13081</v>
      </c>
      <c r="F1630">
        <v>213.05341000000001</v>
      </c>
      <c r="G1630">
        <v>6886600486</v>
      </c>
      <c r="H1630" t="s">
        <v>14</v>
      </c>
    </row>
    <row r="1631" spans="1:8" x14ac:dyDescent="0.3">
      <c r="A1631" t="s">
        <v>291</v>
      </c>
      <c r="B1631" t="s">
        <v>15</v>
      </c>
      <c r="C1631">
        <v>2.86659</v>
      </c>
      <c r="D1631">
        <v>2.9153699999999998</v>
      </c>
      <c r="E1631">
        <v>2.8486199999999999</v>
      </c>
      <c r="F1631">
        <v>2.8826900000000002</v>
      </c>
      <c r="G1631">
        <v>5241844741</v>
      </c>
      <c r="H1631" t="s">
        <v>16</v>
      </c>
    </row>
    <row r="1632" spans="1:8" x14ac:dyDescent="0.3">
      <c r="A1632" t="s">
        <v>291</v>
      </c>
      <c r="B1632" t="s">
        <v>17</v>
      </c>
      <c r="C1632">
        <v>4141.3564500000002</v>
      </c>
      <c r="D1632">
        <v>4234.7827200000002</v>
      </c>
      <c r="E1632">
        <v>4087.9272500000002</v>
      </c>
      <c r="F1632">
        <v>4217.3418000000001</v>
      </c>
      <c r="G1632">
        <v>38560429932</v>
      </c>
      <c r="H1632" t="s">
        <v>18</v>
      </c>
    </row>
    <row r="1633" spans="1:8" x14ac:dyDescent="0.3">
      <c r="A1633" t="s">
        <v>291</v>
      </c>
      <c r="B1633" t="s">
        <v>19</v>
      </c>
      <c r="C1633">
        <v>993.31579999999997</v>
      </c>
      <c r="D1633">
        <v>1035.7254600000001</v>
      </c>
      <c r="E1633">
        <v>992.64153999999996</v>
      </c>
      <c r="F1633">
        <v>1030.7412099999999</v>
      </c>
      <c r="G1633">
        <v>3359320684</v>
      </c>
      <c r="H1633" t="s">
        <v>20</v>
      </c>
    </row>
    <row r="1634" spans="1:8" x14ac:dyDescent="0.3">
      <c r="A1634" t="s">
        <v>292</v>
      </c>
      <c r="B1634" t="s">
        <v>9</v>
      </c>
      <c r="C1634">
        <v>0.80679000000000001</v>
      </c>
      <c r="D1634">
        <v>0.81198000000000004</v>
      </c>
      <c r="E1634">
        <v>0.77995000000000003</v>
      </c>
      <c r="F1634">
        <v>0.80720000000000003</v>
      </c>
      <c r="G1634">
        <v>1095173989</v>
      </c>
      <c r="H1634" t="s">
        <v>10</v>
      </c>
    </row>
    <row r="1635" spans="1:8" x14ac:dyDescent="0.3">
      <c r="A1635" t="s">
        <v>292</v>
      </c>
      <c r="B1635" t="s">
        <v>11</v>
      </c>
      <c r="C1635">
        <v>114396.52340000001</v>
      </c>
      <c r="D1635">
        <v>114836.61719999999</v>
      </c>
      <c r="E1635">
        <v>112740.5625</v>
      </c>
      <c r="F1635">
        <v>114056.08590000001</v>
      </c>
      <c r="G1635">
        <v>58986330258</v>
      </c>
      <c r="H1635" t="s">
        <v>12</v>
      </c>
    </row>
    <row r="1636" spans="1:8" x14ac:dyDescent="0.3">
      <c r="A1636" t="s">
        <v>292</v>
      </c>
      <c r="B1636" t="s">
        <v>13</v>
      </c>
      <c r="C1636">
        <v>213.04497000000001</v>
      </c>
      <c r="D1636">
        <v>213.50681</v>
      </c>
      <c r="E1636">
        <v>204.56564</v>
      </c>
      <c r="F1636">
        <v>208.74312</v>
      </c>
      <c r="G1636">
        <v>6873718512</v>
      </c>
      <c r="H1636" t="s">
        <v>14</v>
      </c>
    </row>
    <row r="1637" spans="1:8" x14ac:dyDescent="0.3">
      <c r="A1637" t="s">
        <v>292</v>
      </c>
      <c r="B1637" t="s">
        <v>15</v>
      </c>
      <c r="C1637">
        <v>2.88266</v>
      </c>
      <c r="D1637">
        <v>2.9061400000000002</v>
      </c>
      <c r="E1637">
        <v>2.8182900000000002</v>
      </c>
      <c r="F1637">
        <v>2.84693</v>
      </c>
      <c r="G1637">
        <v>4983474471</v>
      </c>
      <c r="H1637" t="s">
        <v>16</v>
      </c>
    </row>
    <row r="1638" spans="1:8" x14ac:dyDescent="0.3">
      <c r="A1638" t="s">
        <v>292</v>
      </c>
      <c r="B1638" t="s">
        <v>17</v>
      </c>
      <c r="C1638">
        <v>4217.0551800000003</v>
      </c>
      <c r="D1638">
        <v>4238.6713900000004</v>
      </c>
      <c r="E1638">
        <v>4095.4436000000001</v>
      </c>
      <c r="F1638">
        <v>4145.9575199999999</v>
      </c>
      <c r="G1638">
        <v>37679153330</v>
      </c>
      <c r="H1638" t="s">
        <v>18</v>
      </c>
    </row>
    <row r="1639" spans="1:8" x14ac:dyDescent="0.3">
      <c r="A1639" t="s">
        <v>292</v>
      </c>
      <c r="B1639" t="s">
        <v>19</v>
      </c>
      <c r="C1639">
        <v>1030.7412099999999</v>
      </c>
      <c r="D1639">
        <v>1032.79602</v>
      </c>
      <c r="E1639">
        <v>994.48401000000001</v>
      </c>
      <c r="F1639">
        <v>1008.48346</v>
      </c>
      <c r="G1639">
        <v>3076619211</v>
      </c>
      <c r="H1639" t="s">
        <v>20</v>
      </c>
    </row>
    <row r="1640" spans="1:8" x14ac:dyDescent="0.3">
      <c r="A1640" t="s">
        <v>293</v>
      </c>
      <c r="B1640" t="s">
        <v>9</v>
      </c>
      <c r="C1640">
        <v>0.80720000000000003</v>
      </c>
      <c r="D1640">
        <v>0.85004000000000002</v>
      </c>
      <c r="E1640">
        <v>0.79820000000000002</v>
      </c>
      <c r="F1640">
        <v>0.85004000000000002</v>
      </c>
      <c r="G1640">
        <v>1380143338</v>
      </c>
      <c r="H1640" t="s">
        <v>10</v>
      </c>
    </row>
    <row r="1641" spans="1:8" x14ac:dyDescent="0.3">
      <c r="A1641" t="s">
        <v>293</v>
      </c>
      <c r="B1641" t="s">
        <v>11</v>
      </c>
      <c r="C1641">
        <v>114057.5938</v>
      </c>
      <c r="D1641">
        <v>118648.92969999999</v>
      </c>
      <c r="E1641">
        <v>113981.39840000001</v>
      </c>
      <c r="F1641">
        <v>118648.92969999999</v>
      </c>
      <c r="G1641">
        <v>71328680132</v>
      </c>
      <c r="H1641" t="s">
        <v>12</v>
      </c>
    </row>
    <row r="1642" spans="1:8" x14ac:dyDescent="0.3">
      <c r="A1642" t="s">
        <v>293</v>
      </c>
      <c r="B1642" t="s">
        <v>13</v>
      </c>
      <c r="C1642">
        <v>208.74223000000001</v>
      </c>
      <c r="D1642">
        <v>221.67587</v>
      </c>
      <c r="E1642">
        <v>206.62066999999999</v>
      </c>
      <c r="F1642">
        <v>221.67587</v>
      </c>
      <c r="G1642">
        <v>8264703260</v>
      </c>
      <c r="H1642" t="s">
        <v>14</v>
      </c>
    </row>
    <row r="1643" spans="1:8" x14ac:dyDescent="0.3">
      <c r="A1643" t="s">
        <v>293</v>
      </c>
      <c r="B1643" t="s">
        <v>15</v>
      </c>
      <c r="C1643">
        <v>2.84694</v>
      </c>
      <c r="D1643">
        <v>2.9588199999999998</v>
      </c>
      <c r="E1643">
        <v>2.8168500000000001</v>
      </c>
      <c r="F1643">
        <v>2.9472800000000001</v>
      </c>
      <c r="G1643">
        <v>6320890474</v>
      </c>
      <c r="H1643" t="s">
        <v>16</v>
      </c>
    </row>
    <row r="1644" spans="1:8" x14ac:dyDescent="0.3">
      <c r="A1644" t="s">
        <v>293</v>
      </c>
      <c r="B1644" t="s">
        <v>17</v>
      </c>
      <c r="C1644">
        <v>4146.0336900000002</v>
      </c>
      <c r="D1644">
        <v>4351.1123100000004</v>
      </c>
      <c r="E1644">
        <v>4125.5419899999997</v>
      </c>
      <c r="F1644">
        <v>4351.1123100000004</v>
      </c>
      <c r="G1644">
        <v>46161664723</v>
      </c>
      <c r="H1644" t="s">
        <v>18</v>
      </c>
    </row>
    <row r="1645" spans="1:8" x14ac:dyDescent="0.3">
      <c r="A1645" t="s">
        <v>293</v>
      </c>
      <c r="B1645" t="s">
        <v>19</v>
      </c>
      <c r="C1645">
        <v>1008.48346</v>
      </c>
      <c r="D1645">
        <v>1034.82971</v>
      </c>
      <c r="E1645">
        <v>1003.88373</v>
      </c>
      <c r="F1645">
        <v>1026.1667500000001</v>
      </c>
      <c r="G1645">
        <v>3100184262</v>
      </c>
      <c r="H1645" t="s">
        <v>20</v>
      </c>
    </row>
    <row r="1646" spans="1:8" x14ac:dyDescent="0.3">
      <c r="A1646" t="s">
        <v>294</v>
      </c>
      <c r="B1646" t="s">
        <v>9</v>
      </c>
      <c r="C1646">
        <v>0.85004000000000002</v>
      </c>
      <c r="D1646">
        <v>0.87726999999999999</v>
      </c>
      <c r="E1646">
        <v>0.83911999999999998</v>
      </c>
      <c r="F1646">
        <v>0.87031999999999998</v>
      </c>
      <c r="G1646">
        <v>1417653094</v>
      </c>
      <c r="H1646" t="s">
        <v>10</v>
      </c>
    </row>
    <row r="1647" spans="1:8" x14ac:dyDescent="0.3">
      <c r="A1647" t="s">
        <v>294</v>
      </c>
      <c r="B1647" t="s">
        <v>11</v>
      </c>
      <c r="C1647">
        <v>118652.38280000001</v>
      </c>
      <c r="D1647">
        <v>121086.4063</v>
      </c>
      <c r="E1647">
        <v>118383.1563</v>
      </c>
      <c r="F1647">
        <v>120681.25780000001</v>
      </c>
      <c r="G1647">
        <v>71415163912</v>
      </c>
      <c r="H1647" t="s">
        <v>12</v>
      </c>
    </row>
    <row r="1648" spans="1:8" x14ac:dyDescent="0.3">
      <c r="A1648" t="s">
        <v>294</v>
      </c>
      <c r="B1648" t="s">
        <v>13</v>
      </c>
      <c r="C1648">
        <v>221.69472999999999</v>
      </c>
      <c r="D1648">
        <v>234.86058</v>
      </c>
      <c r="E1648">
        <v>219.85984999999999</v>
      </c>
      <c r="F1648">
        <v>234.85686999999999</v>
      </c>
      <c r="G1648">
        <v>9665302715</v>
      </c>
      <c r="H1648" t="s">
        <v>14</v>
      </c>
    </row>
    <row r="1649" spans="1:8" x14ac:dyDescent="0.3">
      <c r="A1649" t="s">
        <v>294</v>
      </c>
      <c r="B1649" t="s">
        <v>15</v>
      </c>
      <c r="C1649">
        <v>2.9472900000000002</v>
      </c>
      <c r="D1649">
        <v>3.0992500000000001</v>
      </c>
      <c r="E1649">
        <v>2.9433699999999998</v>
      </c>
      <c r="F1649">
        <v>3.03932</v>
      </c>
      <c r="G1649">
        <v>7342967135</v>
      </c>
      <c r="H1649" t="s">
        <v>16</v>
      </c>
    </row>
    <row r="1650" spans="1:8" x14ac:dyDescent="0.3">
      <c r="A1650" t="s">
        <v>294</v>
      </c>
      <c r="B1650" t="s">
        <v>17</v>
      </c>
      <c r="C1650">
        <v>4352.2407199999998</v>
      </c>
      <c r="D1650">
        <v>4517.6650399999999</v>
      </c>
      <c r="E1650">
        <v>4336.5263699999996</v>
      </c>
      <c r="F1650">
        <v>4487.9238299999997</v>
      </c>
      <c r="G1650">
        <v>48074066058</v>
      </c>
      <c r="H1650" t="s">
        <v>18</v>
      </c>
    </row>
    <row r="1651" spans="1:8" x14ac:dyDescent="0.3">
      <c r="A1651" t="s">
        <v>294</v>
      </c>
      <c r="B1651" t="s">
        <v>19</v>
      </c>
      <c r="C1651">
        <v>1026.1667500000001</v>
      </c>
      <c r="D1651">
        <v>1097.2117900000001</v>
      </c>
      <c r="E1651">
        <v>1023.9827299999999</v>
      </c>
      <c r="F1651">
        <v>1090.6556399999999</v>
      </c>
      <c r="G1651">
        <v>3813163059</v>
      </c>
      <c r="H1651" t="s">
        <v>20</v>
      </c>
    </row>
    <row r="1652" spans="1:8" x14ac:dyDescent="0.3">
      <c r="A1652" t="s">
        <v>295</v>
      </c>
      <c r="B1652" t="s">
        <v>9</v>
      </c>
      <c r="C1652">
        <v>0.87031999999999998</v>
      </c>
      <c r="D1652">
        <v>0.89098999999999995</v>
      </c>
      <c r="E1652">
        <v>0.85043999999999997</v>
      </c>
      <c r="F1652">
        <v>0.86631999999999998</v>
      </c>
      <c r="G1652">
        <v>1417255332</v>
      </c>
      <c r="H1652" t="s">
        <v>10</v>
      </c>
    </row>
    <row r="1653" spans="1:8" x14ac:dyDescent="0.3">
      <c r="A1653" t="s">
        <v>295</v>
      </c>
      <c r="B1653" t="s">
        <v>11</v>
      </c>
      <c r="C1653">
        <v>120656.9844</v>
      </c>
      <c r="D1653">
        <v>123944.7031</v>
      </c>
      <c r="E1653">
        <v>119344.3125</v>
      </c>
      <c r="F1653">
        <v>122266.5313</v>
      </c>
      <c r="G1653">
        <v>83941392228</v>
      </c>
      <c r="H1653" t="s">
        <v>12</v>
      </c>
    </row>
    <row r="1654" spans="1:8" x14ac:dyDescent="0.3">
      <c r="A1654" t="s">
        <v>295</v>
      </c>
      <c r="B1654" t="s">
        <v>13</v>
      </c>
      <c r="C1654">
        <v>234.85399000000001</v>
      </c>
      <c r="D1654">
        <v>236.79118</v>
      </c>
      <c r="E1654">
        <v>227.67674</v>
      </c>
      <c r="F1654">
        <v>233.00197</v>
      </c>
      <c r="G1654">
        <v>9289248668</v>
      </c>
      <c r="H1654" t="s">
        <v>14</v>
      </c>
    </row>
    <row r="1655" spans="1:8" x14ac:dyDescent="0.3">
      <c r="A1655" t="s">
        <v>295</v>
      </c>
      <c r="B1655" t="s">
        <v>15</v>
      </c>
      <c r="C1655">
        <v>3.0393400000000002</v>
      </c>
      <c r="D1655">
        <v>3.09314</v>
      </c>
      <c r="E1655">
        <v>3.0083700000000002</v>
      </c>
      <c r="F1655">
        <v>3.04088</v>
      </c>
      <c r="G1655">
        <v>6969299806</v>
      </c>
      <c r="H1655" t="s">
        <v>16</v>
      </c>
    </row>
    <row r="1656" spans="1:8" x14ac:dyDescent="0.3">
      <c r="A1656" t="s">
        <v>295</v>
      </c>
      <c r="B1656" t="s">
        <v>17</v>
      </c>
      <c r="C1656">
        <v>4486.9345700000003</v>
      </c>
      <c r="D1656">
        <v>4591.4438499999997</v>
      </c>
      <c r="E1656">
        <v>4431.4790000000003</v>
      </c>
      <c r="F1656">
        <v>4514.8706099999999</v>
      </c>
      <c r="G1656">
        <v>49603450230</v>
      </c>
      <c r="H1656" t="s">
        <v>18</v>
      </c>
    </row>
    <row r="1657" spans="1:8" x14ac:dyDescent="0.3">
      <c r="A1657" t="s">
        <v>295</v>
      </c>
      <c r="B1657" t="s">
        <v>19</v>
      </c>
      <c r="C1657">
        <v>1090.6556399999999</v>
      </c>
      <c r="D1657">
        <v>1190.3542500000001</v>
      </c>
      <c r="E1657">
        <v>1085.59546</v>
      </c>
      <c r="F1657">
        <v>1189.9190699999999</v>
      </c>
      <c r="G1657">
        <v>6097241167</v>
      </c>
      <c r="H1657" t="s">
        <v>20</v>
      </c>
    </row>
    <row r="1658" spans="1:8" x14ac:dyDescent="0.3">
      <c r="A1658" t="s">
        <v>296</v>
      </c>
      <c r="B1658" t="s">
        <v>9</v>
      </c>
      <c r="C1658">
        <v>0.86631999999999998</v>
      </c>
      <c r="D1658">
        <v>0.86851</v>
      </c>
      <c r="E1658">
        <v>0.83467000000000002</v>
      </c>
      <c r="F1658">
        <v>0.83992</v>
      </c>
      <c r="G1658">
        <v>923179980</v>
      </c>
      <c r="H1658" t="s">
        <v>10</v>
      </c>
    </row>
    <row r="1659" spans="1:8" x14ac:dyDescent="0.3">
      <c r="A1659" t="s">
        <v>296</v>
      </c>
      <c r="B1659" t="s">
        <v>11</v>
      </c>
      <c r="C1659">
        <v>122267.4688</v>
      </c>
      <c r="D1659">
        <v>122857.6406</v>
      </c>
      <c r="E1659">
        <v>121577.57030000001</v>
      </c>
      <c r="F1659">
        <v>122425.42969999999</v>
      </c>
      <c r="G1659">
        <v>36769171735</v>
      </c>
      <c r="H1659" t="s">
        <v>12</v>
      </c>
    </row>
    <row r="1660" spans="1:8" x14ac:dyDescent="0.3">
      <c r="A1660" t="s">
        <v>296</v>
      </c>
      <c r="B1660" t="s">
        <v>13</v>
      </c>
      <c r="C1660">
        <v>233.00098</v>
      </c>
      <c r="D1660">
        <v>233.90084999999999</v>
      </c>
      <c r="E1660">
        <v>224.47382999999999</v>
      </c>
      <c r="F1660">
        <v>228.00319999999999</v>
      </c>
      <c r="G1660">
        <v>4553115834</v>
      </c>
      <c r="H1660" t="s">
        <v>14</v>
      </c>
    </row>
    <row r="1661" spans="1:8" x14ac:dyDescent="0.3">
      <c r="A1661" t="s">
        <v>296</v>
      </c>
      <c r="B1661" t="s">
        <v>15</v>
      </c>
      <c r="C1661">
        <v>3.0408900000000001</v>
      </c>
      <c r="D1661">
        <v>3.0501900000000002</v>
      </c>
      <c r="E1661">
        <v>2.94251</v>
      </c>
      <c r="F1661">
        <v>2.9693499999999999</v>
      </c>
      <c r="G1661">
        <v>4164234298</v>
      </c>
      <c r="H1661" t="s">
        <v>16</v>
      </c>
    </row>
    <row r="1662" spans="1:8" x14ac:dyDescent="0.3">
      <c r="A1662" t="s">
        <v>296</v>
      </c>
      <c r="B1662" t="s">
        <v>17</v>
      </c>
      <c r="C1662">
        <v>4514.9091799999997</v>
      </c>
      <c r="D1662">
        <v>4519.5268599999999</v>
      </c>
      <c r="E1662">
        <v>4444.0127000000002</v>
      </c>
      <c r="F1662">
        <v>4489.1972699999997</v>
      </c>
      <c r="G1662">
        <v>21832270764</v>
      </c>
      <c r="H1662" t="s">
        <v>18</v>
      </c>
    </row>
    <row r="1663" spans="1:8" x14ac:dyDescent="0.3">
      <c r="A1663" t="s">
        <v>296</v>
      </c>
      <c r="B1663" t="s">
        <v>19</v>
      </c>
      <c r="C1663">
        <v>1189.9288300000001</v>
      </c>
      <c r="D1663">
        <v>1190.0084199999999</v>
      </c>
      <c r="E1663">
        <v>1138.26611</v>
      </c>
      <c r="F1663">
        <v>1150.5476100000001</v>
      </c>
      <c r="G1663">
        <v>3775482131</v>
      </c>
      <c r="H1663" t="s">
        <v>20</v>
      </c>
    </row>
    <row r="1664" spans="1:8" x14ac:dyDescent="0.3">
      <c r="A1664" t="s">
        <v>297</v>
      </c>
      <c r="B1664" t="s">
        <v>9</v>
      </c>
      <c r="C1664">
        <v>0.83992</v>
      </c>
      <c r="D1664">
        <v>0.88002999999999998</v>
      </c>
      <c r="E1664">
        <v>0.83013000000000003</v>
      </c>
      <c r="F1664">
        <v>0.83735000000000004</v>
      </c>
      <c r="G1664">
        <v>1432571585</v>
      </c>
      <c r="H1664" t="s">
        <v>10</v>
      </c>
    </row>
    <row r="1665" spans="1:8" x14ac:dyDescent="0.3">
      <c r="A1665" t="s">
        <v>297</v>
      </c>
      <c r="B1665" t="s">
        <v>11</v>
      </c>
      <c r="C1665">
        <v>122419.6719</v>
      </c>
      <c r="D1665">
        <v>125559.21090000001</v>
      </c>
      <c r="E1665">
        <v>122191.96090000001</v>
      </c>
      <c r="F1665">
        <v>123513.47659999999</v>
      </c>
      <c r="G1665">
        <v>73689317763</v>
      </c>
      <c r="H1665" t="s">
        <v>12</v>
      </c>
    </row>
    <row r="1666" spans="1:8" x14ac:dyDescent="0.3">
      <c r="A1666" t="s">
        <v>297</v>
      </c>
      <c r="B1666" t="s">
        <v>13</v>
      </c>
      <c r="C1666">
        <v>228.0025</v>
      </c>
      <c r="D1666">
        <v>236.77724000000001</v>
      </c>
      <c r="E1666">
        <v>226.89815999999999</v>
      </c>
      <c r="F1666">
        <v>228.60120000000001</v>
      </c>
      <c r="G1666">
        <v>7132874650</v>
      </c>
      <c r="H1666" t="s">
        <v>14</v>
      </c>
    </row>
    <row r="1667" spans="1:8" x14ac:dyDescent="0.3">
      <c r="A1667" t="s">
        <v>297</v>
      </c>
      <c r="B1667" t="s">
        <v>15</v>
      </c>
      <c r="C1667">
        <v>2.9693499999999999</v>
      </c>
      <c r="D1667">
        <v>3.0680900000000002</v>
      </c>
      <c r="E1667">
        <v>2.9508000000000001</v>
      </c>
      <c r="F1667">
        <v>2.9706399999999999</v>
      </c>
      <c r="G1667">
        <v>5535126764</v>
      </c>
      <c r="H1667" t="s">
        <v>16</v>
      </c>
    </row>
    <row r="1668" spans="1:8" x14ac:dyDescent="0.3">
      <c r="A1668" t="s">
        <v>297</v>
      </c>
      <c r="B1668" t="s">
        <v>17</v>
      </c>
      <c r="C1668">
        <v>4489.0532199999998</v>
      </c>
      <c r="D1668">
        <v>4616.5331999999999</v>
      </c>
      <c r="E1668">
        <v>4472.1386700000003</v>
      </c>
      <c r="F1668">
        <v>4515.4228499999999</v>
      </c>
      <c r="G1668">
        <v>44880806324</v>
      </c>
      <c r="H1668" t="s">
        <v>18</v>
      </c>
    </row>
    <row r="1669" spans="1:8" x14ac:dyDescent="0.3">
      <c r="A1669" t="s">
        <v>297</v>
      </c>
      <c r="B1669" t="s">
        <v>19</v>
      </c>
      <c r="C1669">
        <v>1150.54529</v>
      </c>
      <c r="D1669">
        <v>1186.85437</v>
      </c>
      <c r="E1669">
        <v>1145.52881</v>
      </c>
      <c r="F1669">
        <v>1165.5275899999999</v>
      </c>
      <c r="G1669">
        <v>3611451465</v>
      </c>
      <c r="H1669" t="s">
        <v>20</v>
      </c>
    </row>
    <row r="1670" spans="1:8" x14ac:dyDescent="0.3">
      <c r="A1670" t="s">
        <v>298</v>
      </c>
      <c r="B1670" t="s">
        <v>9</v>
      </c>
      <c r="C1670">
        <v>0.83735999999999999</v>
      </c>
      <c r="D1670">
        <v>0.87970999999999999</v>
      </c>
      <c r="E1670">
        <v>0.83401999999999998</v>
      </c>
      <c r="F1670">
        <v>0.87182000000000004</v>
      </c>
      <c r="G1670">
        <v>1536337222</v>
      </c>
      <c r="H1670" t="s">
        <v>10</v>
      </c>
    </row>
    <row r="1671" spans="1:8" x14ac:dyDescent="0.3">
      <c r="A1671" t="s">
        <v>298</v>
      </c>
      <c r="B1671" t="s">
        <v>11</v>
      </c>
      <c r="C1671">
        <v>123510.4531</v>
      </c>
      <c r="D1671">
        <v>126198.07030000001</v>
      </c>
      <c r="E1671">
        <v>123196.0469</v>
      </c>
      <c r="F1671">
        <v>124752.5313</v>
      </c>
      <c r="G1671">
        <v>72568881188</v>
      </c>
      <c r="H1671" t="s">
        <v>12</v>
      </c>
    </row>
    <row r="1672" spans="1:8" x14ac:dyDescent="0.3">
      <c r="A1672" t="s">
        <v>298</v>
      </c>
      <c r="B1672" t="s">
        <v>13</v>
      </c>
      <c r="C1672">
        <v>228.6011</v>
      </c>
      <c r="D1672">
        <v>237.32254</v>
      </c>
      <c r="E1672">
        <v>227.99805000000001</v>
      </c>
      <c r="F1672">
        <v>232.51604</v>
      </c>
      <c r="G1672">
        <v>7521265450</v>
      </c>
      <c r="H1672" t="s">
        <v>14</v>
      </c>
    </row>
    <row r="1673" spans="1:8" x14ac:dyDescent="0.3">
      <c r="A1673" t="s">
        <v>298</v>
      </c>
      <c r="B1673" t="s">
        <v>15</v>
      </c>
      <c r="C1673">
        <v>2.9706199999999998</v>
      </c>
      <c r="D1673">
        <v>3.04644</v>
      </c>
      <c r="E1673">
        <v>2.95974</v>
      </c>
      <c r="F1673">
        <v>2.99072</v>
      </c>
      <c r="G1673">
        <v>6393948188</v>
      </c>
      <c r="H1673" t="s">
        <v>16</v>
      </c>
    </row>
    <row r="1674" spans="1:8" x14ac:dyDescent="0.3">
      <c r="A1674" t="s">
        <v>298</v>
      </c>
      <c r="B1674" t="s">
        <v>17</v>
      </c>
      <c r="C1674">
        <v>4515.3007799999996</v>
      </c>
      <c r="D1674">
        <v>4736.2089800000003</v>
      </c>
      <c r="E1674">
        <v>4492.8701199999996</v>
      </c>
      <c r="F1674">
        <v>4687.7714800000003</v>
      </c>
      <c r="G1674">
        <v>44992456374</v>
      </c>
      <c r="H1674" t="s">
        <v>18</v>
      </c>
    </row>
    <row r="1675" spans="1:8" x14ac:dyDescent="0.3">
      <c r="A1675" t="s">
        <v>298</v>
      </c>
      <c r="B1675" t="s">
        <v>19</v>
      </c>
      <c r="C1675">
        <v>1165.5275899999999</v>
      </c>
      <c r="D1675">
        <v>1237.8118899999999</v>
      </c>
      <c r="E1675">
        <v>1164.01685</v>
      </c>
      <c r="F1675">
        <v>1223.58106</v>
      </c>
      <c r="G1675">
        <v>5653272930</v>
      </c>
      <c r="H1675" t="s">
        <v>20</v>
      </c>
    </row>
    <row r="1676" spans="1:8" x14ac:dyDescent="0.3">
      <c r="A1676" t="s">
        <v>299</v>
      </c>
      <c r="B1676" t="s">
        <v>9</v>
      </c>
      <c r="C1676">
        <v>0.87182000000000004</v>
      </c>
      <c r="D1676">
        <v>0.87692999999999999</v>
      </c>
      <c r="E1676">
        <v>0.81959000000000004</v>
      </c>
      <c r="F1676">
        <v>0.82089999999999996</v>
      </c>
      <c r="G1676">
        <v>1591420298</v>
      </c>
      <c r="H1676" t="s">
        <v>10</v>
      </c>
    </row>
    <row r="1677" spans="1:8" x14ac:dyDescent="0.3">
      <c r="A1677" t="s">
        <v>299</v>
      </c>
      <c r="B1677" t="s">
        <v>11</v>
      </c>
      <c r="C1677">
        <v>124752.1406</v>
      </c>
      <c r="D1677">
        <v>125184.02340000001</v>
      </c>
      <c r="E1677">
        <v>120681.9688</v>
      </c>
      <c r="F1677">
        <v>121451.38280000001</v>
      </c>
      <c r="G1677">
        <v>76149412513</v>
      </c>
      <c r="H1677" t="s">
        <v>12</v>
      </c>
    </row>
    <row r="1678" spans="1:8" x14ac:dyDescent="0.3">
      <c r="A1678" t="s">
        <v>299</v>
      </c>
      <c r="B1678" t="s">
        <v>13</v>
      </c>
      <c r="C1678">
        <v>232.51477</v>
      </c>
      <c r="D1678">
        <v>235.08649</v>
      </c>
      <c r="E1678">
        <v>220.4547</v>
      </c>
      <c r="F1678">
        <v>220.48271</v>
      </c>
      <c r="G1678">
        <v>9339230314</v>
      </c>
      <c r="H1678" t="s">
        <v>14</v>
      </c>
    </row>
    <row r="1679" spans="1:8" x14ac:dyDescent="0.3">
      <c r="A1679" t="s">
        <v>299</v>
      </c>
      <c r="B1679" t="s">
        <v>15</v>
      </c>
      <c r="C1679">
        <v>2.99071</v>
      </c>
      <c r="D1679">
        <v>2.9997500000000001</v>
      </c>
      <c r="E1679">
        <v>2.8548800000000001</v>
      </c>
      <c r="F1679">
        <v>2.8559700000000001</v>
      </c>
      <c r="G1679">
        <v>7275425947</v>
      </c>
      <c r="H1679" t="s">
        <v>16</v>
      </c>
    </row>
    <row r="1680" spans="1:8" x14ac:dyDescent="0.3">
      <c r="A1680" t="s">
        <v>299</v>
      </c>
      <c r="B1680" t="s">
        <v>17</v>
      </c>
      <c r="C1680">
        <v>4687.7099600000001</v>
      </c>
      <c r="D1680">
        <v>4755.2202200000002</v>
      </c>
      <c r="E1680">
        <v>4443.5712899999999</v>
      </c>
      <c r="F1680">
        <v>4451.1518599999999</v>
      </c>
      <c r="G1680">
        <v>54879425294</v>
      </c>
      <c r="H1680" t="s">
        <v>18</v>
      </c>
    </row>
    <row r="1681" spans="1:8" x14ac:dyDescent="0.3">
      <c r="A1681" t="s">
        <v>299</v>
      </c>
      <c r="B1681" t="s">
        <v>19</v>
      </c>
      <c r="C1681">
        <v>1223.58008</v>
      </c>
      <c r="D1681">
        <v>1336.56555</v>
      </c>
      <c r="E1681">
        <v>1209.2814900000001</v>
      </c>
      <c r="F1681">
        <v>1310.2143599999999</v>
      </c>
      <c r="G1681">
        <v>11163171147</v>
      </c>
      <c r="H1681" t="s">
        <v>20</v>
      </c>
    </row>
    <row r="1682" spans="1:8" x14ac:dyDescent="0.3">
      <c r="A1682" t="s">
        <v>300</v>
      </c>
      <c r="B1682" t="s">
        <v>9</v>
      </c>
      <c r="C1682">
        <v>0.82091000000000003</v>
      </c>
      <c r="D1682">
        <v>0.84533000000000003</v>
      </c>
      <c r="E1682">
        <v>0.81172999999999995</v>
      </c>
      <c r="F1682">
        <v>0.83892</v>
      </c>
      <c r="G1682">
        <v>1135536629</v>
      </c>
      <c r="H1682" t="s">
        <v>10</v>
      </c>
    </row>
    <row r="1683" spans="1:8" x14ac:dyDescent="0.3">
      <c r="A1683" t="s">
        <v>300</v>
      </c>
      <c r="B1683" t="s">
        <v>11</v>
      </c>
      <c r="C1683">
        <v>121448.35159999999</v>
      </c>
      <c r="D1683">
        <v>124167.0938</v>
      </c>
      <c r="E1683">
        <v>121119.17969999999</v>
      </c>
      <c r="F1683">
        <v>123354.86719999999</v>
      </c>
      <c r="G1683">
        <v>65354305286</v>
      </c>
      <c r="H1683" t="s">
        <v>12</v>
      </c>
    </row>
    <row r="1684" spans="1:8" x14ac:dyDescent="0.3">
      <c r="A1684" t="s">
        <v>300</v>
      </c>
      <c r="B1684" t="s">
        <v>13</v>
      </c>
      <c r="C1684">
        <v>220.48554999999999</v>
      </c>
      <c r="D1684">
        <v>229.56433000000001</v>
      </c>
      <c r="E1684">
        <v>218.18419</v>
      </c>
      <c r="F1684">
        <v>229.10121000000001</v>
      </c>
      <c r="G1684">
        <v>7198664384</v>
      </c>
      <c r="H1684" t="s">
        <v>14</v>
      </c>
    </row>
    <row r="1685" spans="1:8" x14ac:dyDescent="0.3">
      <c r="A1685" t="s">
        <v>300</v>
      </c>
      <c r="B1685" t="s">
        <v>15</v>
      </c>
      <c r="C1685">
        <v>2.8559800000000002</v>
      </c>
      <c r="D1685">
        <v>2.92306</v>
      </c>
      <c r="E1685">
        <v>2.8429700000000002</v>
      </c>
      <c r="F1685">
        <v>2.8807999999999998</v>
      </c>
      <c r="G1685">
        <v>4668884369</v>
      </c>
      <c r="H1685" t="s">
        <v>16</v>
      </c>
    </row>
    <row r="1686" spans="1:8" x14ac:dyDescent="0.3">
      <c r="A1686" t="s">
        <v>300</v>
      </c>
      <c r="B1686" t="s">
        <v>17</v>
      </c>
      <c r="C1686">
        <v>4451.1079099999997</v>
      </c>
      <c r="D1686">
        <v>4556.2216799999997</v>
      </c>
      <c r="E1686">
        <v>4417.7680700000001</v>
      </c>
      <c r="F1686">
        <v>4527.6479499999996</v>
      </c>
      <c r="G1686">
        <v>40456628235</v>
      </c>
      <c r="H1686" t="s">
        <v>18</v>
      </c>
    </row>
    <row r="1687" spans="1:8" x14ac:dyDescent="0.3">
      <c r="A1687" t="s">
        <v>300</v>
      </c>
      <c r="B1687" t="s">
        <v>19</v>
      </c>
      <c r="C1687">
        <v>1310.22766</v>
      </c>
      <c r="D1687">
        <v>1332.8315399999999</v>
      </c>
      <c r="E1687">
        <v>1270.3103000000001</v>
      </c>
      <c r="F1687">
        <v>1306.5993699999999</v>
      </c>
      <c r="G1687">
        <v>7916662087</v>
      </c>
      <c r="H1687" t="s">
        <v>20</v>
      </c>
    </row>
    <row r="1688" spans="1:8" x14ac:dyDescent="0.3">
      <c r="A1688" t="s">
        <v>301</v>
      </c>
      <c r="B1688" t="s">
        <v>9</v>
      </c>
      <c r="C1688">
        <v>0.83891000000000004</v>
      </c>
      <c r="D1688">
        <v>0.83911999999999998</v>
      </c>
      <c r="E1688">
        <v>0.79713999999999996</v>
      </c>
      <c r="F1688">
        <v>0.81564999999999999</v>
      </c>
      <c r="G1688">
        <v>1196536220</v>
      </c>
      <c r="H1688" t="s">
        <v>10</v>
      </c>
    </row>
    <row r="1689" spans="1:8" x14ac:dyDescent="0.3">
      <c r="A1689" t="s">
        <v>301</v>
      </c>
      <c r="B1689" t="s">
        <v>11</v>
      </c>
      <c r="C1689">
        <v>123337.07030000001</v>
      </c>
      <c r="D1689">
        <v>123739.3438</v>
      </c>
      <c r="E1689">
        <v>119812.0313</v>
      </c>
      <c r="F1689">
        <v>121705.58590000001</v>
      </c>
      <c r="G1689">
        <v>74653009425</v>
      </c>
      <c r="H1689" t="s">
        <v>12</v>
      </c>
    </row>
    <row r="1690" spans="1:8" x14ac:dyDescent="0.3">
      <c r="A1690" t="s">
        <v>301</v>
      </c>
      <c r="B1690" t="s">
        <v>13</v>
      </c>
      <c r="C1690">
        <v>229.09688</v>
      </c>
      <c r="D1690">
        <v>229.31577999999999</v>
      </c>
      <c r="E1690">
        <v>217.19893999999999</v>
      </c>
      <c r="F1690">
        <v>220.99107000000001</v>
      </c>
      <c r="G1690">
        <v>7901186012</v>
      </c>
      <c r="H1690" t="s">
        <v>14</v>
      </c>
    </row>
    <row r="1691" spans="1:8" x14ac:dyDescent="0.3">
      <c r="A1691" t="s">
        <v>301</v>
      </c>
      <c r="B1691" t="s">
        <v>15</v>
      </c>
      <c r="C1691">
        <v>2.8807800000000001</v>
      </c>
      <c r="D1691">
        <v>2.8808400000000001</v>
      </c>
      <c r="E1691">
        <v>2.7791100000000002</v>
      </c>
      <c r="F1691">
        <v>2.80491</v>
      </c>
      <c r="G1691">
        <v>5640441736</v>
      </c>
      <c r="H1691" t="s">
        <v>16</v>
      </c>
    </row>
    <row r="1692" spans="1:8" x14ac:dyDescent="0.3">
      <c r="A1692" t="s">
        <v>301</v>
      </c>
      <c r="B1692" t="s">
        <v>17</v>
      </c>
      <c r="C1692">
        <v>4526.9609399999999</v>
      </c>
      <c r="D1692">
        <v>4531.7168000000001</v>
      </c>
      <c r="E1692">
        <v>4273.5595700000003</v>
      </c>
      <c r="F1692">
        <v>4369.1435600000004</v>
      </c>
      <c r="G1692">
        <v>47903074596</v>
      </c>
      <c r="H1692" t="s">
        <v>18</v>
      </c>
    </row>
    <row r="1693" spans="1:8" x14ac:dyDescent="0.3">
      <c r="A1693" t="s">
        <v>301</v>
      </c>
      <c r="B1693" t="s">
        <v>19</v>
      </c>
      <c r="C1693">
        <v>1306.5974100000001</v>
      </c>
      <c r="D1693">
        <v>1318.05737</v>
      </c>
      <c r="E1693">
        <v>1228.08203</v>
      </c>
      <c r="F1693">
        <v>1255.8906300000001</v>
      </c>
      <c r="G1693">
        <v>8172167891</v>
      </c>
      <c r="H1693" t="s">
        <v>20</v>
      </c>
    </row>
    <row r="1694" spans="1:8" x14ac:dyDescent="0.3">
      <c r="A1694" t="s">
        <v>302</v>
      </c>
      <c r="B1694" t="s">
        <v>9</v>
      </c>
      <c r="C1694">
        <v>0.81564000000000003</v>
      </c>
      <c r="D1694">
        <v>0.82269999999999999</v>
      </c>
      <c r="E1694">
        <v>0.33296999999999999</v>
      </c>
      <c r="F1694">
        <v>0.63483999999999996</v>
      </c>
      <c r="G1694">
        <v>4203182760</v>
      </c>
      <c r="H1694" t="s">
        <v>10</v>
      </c>
    </row>
    <row r="1695" spans="1:8" x14ac:dyDescent="0.3">
      <c r="A1695" t="s">
        <v>302</v>
      </c>
      <c r="B1695" t="s">
        <v>11</v>
      </c>
      <c r="C1695">
        <v>121704.74219999999</v>
      </c>
      <c r="D1695">
        <v>122509.66409999999</v>
      </c>
      <c r="E1695">
        <v>104582.41409999999</v>
      </c>
      <c r="F1695">
        <v>113214.36719999999</v>
      </c>
      <c r="G1695">
        <v>153000000000</v>
      </c>
      <c r="H1695" t="s">
        <v>12</v>
      </c>
    </row>
    <row r="1696" spans="1:8" x14ac:dyDescent="0.3">
      <c r="A1696" t="s">
        <v>302</v>
      </c>
      <c r="B1696" t="s">
        <v>13</v>
      </c>
      <c r="C1696">
        <v>220.99306000000001</v>
      </c>
      <c r="D1696">
        <v>224.25441000000001</v>
      </c>
      <c r="E1696">
        <v>174.06972999999999</v>
      </c>
      <c r="F1696">
        <v>188.66386</v>
      </c>
      <c r="G1696">
        <v>16784427014</v>
      </c>
      <c r="H1696" t="s">
        <v>14</v>
      </c>
    </row>
    <row r="1697" spans="1:8" x14ac:dyDescent="0.3">
      <c r="A1697" t="s">
        <v>302</v>
      </c>
      <c r="B1697" t="s">
        <v>15</v>
      </c>
      <c r="C1697">
        <v>2.80491</v>
      </c>
      <c r="D1697">
        <v>2.8336100000000002</v>
      </c>
      <c r="E1697">
        <v>1.5284500000000001</v>
      </c>
      <c r="F1697">
        <v>2.3586</v>
      </c>
      <c r="G1697">
        <v>15623107075</v>
      </c>
      <c r="H1697" t="s">
        <v>16</v>
      </c>
    </row>
    <row r="1698" spans="1:8" x14ac:dyDescent="0.3">
      <c r="A1698" t="s">
        <v>302</v>
      </c>
      <c r="B1698" t="s">
        <v>17</v>
      </c>
      <c r="C1698">
        <v>4369.0654299999997</v>
      </c>
      <c r="D1698">
        <v>4395.5708000000004</v>
      </c>
      <c r="E1698">
        <v>3460.2224099999999</v>
      </c>
      <c r="F1698">
        <v>3843.0087899999999</v>
      </c>
      <c r="G1698">
        <v>97736621123</v>
      </c>
      <c r="H1698" t="s">
        <v>18</v>
      </c>
    </row>
    <row r="1699" spans="1:8" x14ac:dyDescent="0.3">
      <c r="A1699" t="s">
        <v>302</v>
      </c>
      <c r="B1699" t="s">
        <v>19</v>
      </c>
      <c r="C1699">
        <v>1255.8875700000001</v>
      </c>
      <c r="D1699">
        <v>1276.35815</v>
      </c>
      <c r="E1699">
        <v>962.46813999999995</v>
      </c>
      <c r="F1699">
        <v>1106.8985600000001</v>
      </c>
      <c r="G1699">
        <v>10329526518</v>
      </c>
      <c r="H1699" t="s">
        <v>20</v>
      </c>
    </row>
    <row r="1700" spans="1:8" x14ac:dyDescent="0.3">
      <c r="A1700" t="s">
        <v>303</v>
      </c>
      <c r="B1700" t="s">
        <v>9</v>
      </c>
      <c r="C1700">
        <v>0.63483999999999996</v>
      </c>
      <c r="D1700">
        <v>0.68196000000000001</v>
      </c>
      <c r="E1700">
        <v>0.61492999999999998</v>
      </c>
      <c r="F1700">
        <v>0.63217999999999996</v>
      </c>
      <c r="G1700">
        <v>2703054560</v>
      </c>
      <c r="H1700" t="s">
        <v>10</v>
      </c>
    </row>
    <row r="1701" spans="1:8" x14ac:dyDescent="0.3">
      <c r="A1701" t="s">
        <v>303</v>
      </c>
      <c r="B1701" t="s">
        <v>11</v>
      </c>
      <c r="C1701">
        <v>113236.42969999999</v>
      </c>
      <c r="D1701">
        <v>113429.72659999999</v>
      </c>
      <c r="E1701">
        <v>109760.5625</v>
      </c>
      <c r="F1701">
        <v>110807.88280000001</v>
      </c>
      <c r="G1701">
        <v>110000000000</v>
      </c>
      <c r="H1701" t="s">
        <v>12</v>
      </c>
    </row>
    <row r="1702" spans="1:8" x14ac:dyDescent="0.3">
      <c r="A1702" t="s">
        <v>303</v>
      </c>
      <c r="B1702" t="s">
        <v>13</v>
      </c>
      <c r="C1702">
        <v>188.63890000000001</v>
      </c>
      <c r="D1702">
        <v>190.87914000000001</v>
      </c>
      <c r="E1702">
        <v>173.75479000000001</v>
      </c>
      <c r="F1702">
        <v>178.05417</v>
      </c>
      <c r="G1702">
        <v>12850012618</v>
      </c>
      <c r="H1702" t="s">
        <v>14</v>
      </c>
    </row>
    <row r="1703" spans="1:8" x14ac:dyDescent="0.3">
      <c r="A1703" t="s">
        <v>303</v>
      </c>
      <c r="B1703" t="s">
        <v>15</v>
      </c>
      <c r="C1703">
        <v>2.3587500000000001</v>
      </c>
      <c r="D1703">
        <v>2.5019900000000002</v>
      </c>
      <c r="E1703">
        <v>2.3221699999999998</v>
      </c>
      <c r="F1703">
        <v>2.38598</v>
      </c>
      <c r="G1703">
        <v>11749648817</v>
      </c>
      <c r="H1703" t="s">
        <v>16</v>
      </c>
    </row>
    <row r="1704" spans="1:8" x14ac:dyDescent="0.3">
      <c r="A1704" t="s">
        <v>303</v>
      </c>
      <c r="B1704" t="s">
        <v>17</v>
      </c>
      <c r="C1704">
        <v>3840.96045</v>
      </c>
      <c r="D1704">
        <v>3882.2414600000002</v>
      </c>
      <c r="E1704">
        <v>3652.7900399999999</v>
      </c>
      <c r="F1704">
        <v>3750.61157</v>
      </c>
      <c r="G1704">
        <v>62475475938</v>
      </c>
      <c r="H1704" t="s">
        <v>18</v>
      </c>
    </row>
    <row r="1705" spans="1:8" x14ac:dyDescent="0.3">
      <c r="A1705" t="s">
        <v>303</v>
      </c>
      <c r="B1705" t="s">
        <v>19</v>
      </c>
      <c r="C1705">
        <v>1106.8985600000001</v>
      </c>
      <c r="D1705">
        <v>1180.5258799999999</v>
      </c>
      <c r="E1705">
        <v>1080.71838</v>
      </c>
      <c r="F1705">
        <v>1137.1993399999999</v>
      </c>
      <c r="G1705">
        <v>8101403820</v>
      </c>
      <c r="H1705" t="s">
        <v>20</v>
      </c>
    </row>
    <row r="1706" spans="1:8" x14ac:dyDescent="0.3">
      <c r="A1706" t="s">
        <v>304</v>
      </c>
      <c r="B1706" t="s">
        <v>9</v>
      </c>
      <c r="C1706">
        <v>0.63214000000000004</v>
      </c>
      <c r="D1706">
        <v>0.70821999999999996</v>
      </c>
      <c r="E1706">
        <v>0.62151999999999996</v>
      </c>
      <c r="F1706">
        <v>0.70150999999999997</v>
      </c>
      <c r="G1706">
        <v>1600069384</v>
      </c>
      <c r="H1706" t="s">
        <v>10</v>
      </c>
    </row>
    <row r="1707" spans="1:8" x14ac:dyDescent="0.3">
      <c r="A1707" t="s">
        <v>304</v>
      </c>
      <c r="B1707" t="s">
        <v>11</v>
      </c>
      <c r="C1707">
        <v>110811.5156</v>
      </c>
      <c r="D1707">
        <v>115805.0625</v>
      </c>
      <c r="E1707">
        <v>109715.53909999999</v>
      </c>
      <c r="F1707">
        <v>115169.7656</v>
      </c>
      <c r="G1707">
        <v>93710414091</v>
      </c>
      <c r="H1707" t="s">
        <v>12</v>
      </c>
    </row>
    <row r="1708" spans="1:8" x14ac:dyDescent="0.3">
      <c r="A1708" t="s">
        <v>304</v>
      </c>
      <c r="B1708" t="s">
        <v>13</v>
      </c>
      <c r="C1708">
        <v>178.05619999999999</v>
      </c>
      <c r="D1708">
        <v>198.87397999999999</v>
      </c>
      <c r="E1708">
        <v>173.52139</v>
      </c>
      <c r="F1708">
        <v>197.50854000000001</v>
      </c>
      <c r="G1708">
        <v>11797041281</v>
      </c>
      <c r="H1708" t="s">
        <v>14</v>
      </c>
    </row>
    <row r="1709" spans="1:8" x14ac:dyDescent="0.3">
      <c r="A1709" t="s">
        <v>304</v>
      </c>
      <c r="B1709" t="s">
        <v>15</v>
      </c>
      <c r="C1709">
        <v>2.3859599999999999</v>
      </c>
      <c r="D1709">
        <v>2.5817600000000001</v>
      </c>
      <c r="E1709">
        <v>2.32097</v>
      </c>
      <c r="F1709">
        <v>2.5349599999999999</v>
      </c>
      <c r="G1709">
        <v>9877639191</v>
      </c>
      <c r="H1709" t="s">
        <v>16</v>
      </c>
    </row>
    <row r="1710" spans="1:8" x14ac:dyDescent="0.3">
      <c r="A1710" t="s">
        <v>304</v>
      </c>
      <c r="B1710" t="s">
        <v>17</v>
      </c>
      <c r="C1710">
        <v>3750.94605</v>
      </c>
      <c r="D1710">
        <v>4195.3974600000001</v>
      </c>
      <c r="E1710">
        <v>3701.4782700000001</v>
      </c>
      <c r="F1710">
        <v>4164.4277300000003</v>
      </c>
      <c r="G1710">
        <v>61216174681</v>
      </c>
      <c r="H1710" t="s">
        <v>18</v>
      </c>
    </row>
    <row r="1711" spans="1:8" x14ac:dyDescent="0.3">
      <c r="A1711" t="s">
        <v>304</v>
      </c>
      <c r="B1711" t="s">
        <v>19</v>
      </c>
      <c r="C1711">
        <v>1137.1993399999999</v>
      </c>
      <c r="D1711">
        <v>1319.77197</v>
      </c>
      <c r="E1711">
        <v>1110.19739</v>
      </c>
      <c r="F1711">
        <v>1303.1173100000001</v>
      </c>
      <c r="G1711">
        <v>10201040572</v>
      </c>
      <c r="H1711" t="s">
        <v>20</v>
      </c>
    </row>
    <row r="1712" spans="1:8" x14ac:dyDescent="0.3">
      <c r="A1712" t="s">
        <v>305</v>
      </c>
      <c r="B1712" t="s">
        <v>9</v>
      </c>
      <c r="C1712">
        <v>0.70152999999999999</v>
      </c>
      <c r="D1712">
        <v>0.73504999999999998</v>
      </c>
      <c r="E1712">
        <v>0.69813000000000003</v>
      </c>
      <c r="F1712">
        <v>0.72926000000000002</v>
      </c>
      <c r="G1712">
        <v>1714657141</v>
      </c>
      <c r="H1712" t="s">
        <v>10</v>
      </c>
    </row>
    <row r="1713" spans="1:8" x14ac:dyDescent="0.3">
      <c r="A1713" t="s">
        <v>305</v>
      </c>
      <c r="B1713" t="s">
        <v>11</v>
      </c>
      <c r="C1713">
        <v>115161.67969999999</v>
      </c>
      <c r="D1713">
        <v>116020.4844</v>
      </c>
      <c r="E1713">
        <v>113821.1875</v>
      </c>
      <c r="F1713">
        <v>115271.0781</v>
      </c>
      <c r="G1713">
        <v>71582026739</v>
      </c>
      <c r="H1713" t="s">
        <v>12</v>
      </c>
    </row>
    <row r="1714" spans="1:8" x14ac:dyDescent="0.3">
      <c r="A1714" t="s">
        <v>305</v>
      </c>
      <c r="B1714" t="s">
        <v>13</v>
      </c>
      <c r="C1714">
        <v>197.51219</v>
      </c>
      <c r="D1714">
        <v>209.24919</v>
      </c>
      <c r="E1714">
        <v>191.94417000000001</v>
      </c>
      <c r="F1714">
        <v>208.36729</v>
      </c>
      <c r="G1714">
        <v>11469454798</v>
      </c>
      <c r="H1714" t="s">
        <v>14</v>
      </c>
    </row>
    <row r="1715" spans="1:8" x14ac:dyDescent="0.3">
      <c r="A1715" t="s">
        <v>305</v>
      </c>
      <c r="B1715" t="s">
        <v>15</v>
      </c>
      <c r="C1715">
        <v>2.5350899999999998</v>
      </c>
      <c r="D1715">
        <v>2.6452100000000001</v>
      </c>
      <c r="E1715">
        <v>2.5217900000000002</v>
      </c>
      <c r="F1715">
        <v>2.6065</v>
      </c>
      <c r="G1715">
        <v>8579698636</v>
      </c>
      <c r="H1715" t="s">
        <v>16</v>
      </c>
    </row>
    <row r="1716" spans="1:8" x14ac:dyDescent="0.3">
      <c r="A1716" t="s">
        <v>305</v>
      </c>
      <c r="B1716" t="s">
        <v>17</v>
      </c>
      <c r="C1716">
        <v>4164.0493200000001</v>
      </c>
      <c r="D1716">
        <v>4292.8456999999999</v>
      </c>
      <c r="E1716">
        <v>4061.2246100000002</v>
      </c>
      <c r="F1716">
        <v>4245.4677700000002</v>
      </c>
      <c r="G1716">
        <v>50253782420</v>
      </c>
      <c r="H1716" t="s">
        <v>18</v>
      </c>
    </row>
    <row r="1717" spans="1:8" x14ac:dyDescent="0.3">
      <c r="A1717" t="s">
        <v>305</v>
      </c>
      <c r="B1717" t="s">
        <v>19</v>
      </c>
      <c r="C1717">
        <v>1303.14734</v>
      </c>
      <c r="D1717">
        <v>1370.54602</v>
      </c>
      <c r="E1717">
        <v>1257.11023</v>
      </c>
      <c r="F1717">
        <v>1293.47327</v>
      </c>
      <c r="G1717">
        <v>11820387271</v>
      </c>
      <c r="H1717" t="s">
        <v>20</v>
      </c>
    </row>
    <row r="1718" spans="1:8" x14ac:dyDescent="0.3">
      <c r="A1718" t="s">
        <v>306</v>
      </c>
      <c r="B1718" t="s">
        <v>9</v>
      </c>
      <c r="C1718">
        <v>0.72926000000000002</v>
      </c>
      <c r="D1718">
        <v>0.73258999999999996</v>
      </c>
      <c r="E1718">
        <v>0.66571999999999998</v>
      </c>
      <c r="F1718">
        <v>0.69969000000000003</v>
      </c>
      <c r="G1718">
        <v>1861960330</v>
      </c>
      <c r="H1718" t="s">
        <v>10</v>
      </c>
    </row>
    <row r="1719" spans="1:8" x14ac:dyDescent="0.3">
      <c r="A1719" t="s">
        <v>306</v>
      </c>
      <c r="B1719" t="s">
        <v>11</v>
      </c>
      <c r="C1719">
        <v>115264.88280000001</v>
      </c>
      <c r="D1719">
        <v>115502.88280000001</v>
      </c>
      <c r="E1719">
        <v>110029.4844</v>
      </c>
      <c r="F1719">
        <v>113118.66409999999</v>
      </c>
      <c r="G1719">
        <v>92212917403</v>
      </c>
      <c r="H1719" t="s">
        <v>12</v>
      </c>
    </row>
    <row r="1720" spans="1:8" x14ac:dyDescent="0.3">
      <c r="A1720" t="s">
        <v>306</v>
      </c>
      <c r="B1720" t="s">
        <v>13</v>
      </c>
      <c r="C1720">
        <v>208.36356000000001</v>
      </c>
      <c r="D1720">
        <v>211.10504</v>
      </c>
      <c r="E1720">
        <v>191.67102</v>
      </c>
      <c r="F1720">
        <v>202.46034</v>
      </c>
      <c r="G1720">
        <v>13600198608</v>
      </c>
      <c r="H1720" t="s">
        <v>14</v>
      </c>
    </row>
    <row r="1721" spans="1:8" x14ac:dyDescent="0.3">
      <c r="A1721" t="s">
        <v>306</v>
      </c>
      <c r="B1721" t="s">
        <v>15</v>
      </c>
      <c r="C1721">
        <v>2.60649</v>
      </c>
      <c r="D1721">
        <v>2.6204700000000001</v>
      </c>
      <c r="E1721">
        <v>2.4076200000000001</v>
      </c>
      <c r="F1721">
        <v>2.5056600000000002</v>
      </c>
      <c r="G1721">
        <v>8358303560</v>
      </c>
      <c r="H1721" t="s">
        <v>16</v>
      </c>
    </row>
    <row r="1722" spans="1:8" x14ac:dyDescent="0.3">
      <c r="A1722" t="s">
        <v>306</v>
      </c>
      <c r="B1722" t="s">
        <v>17</v>
      </c>
      <c r="C1722">
        <v>4245.3725599999998</v>
      </c>
      <c r="D1722">
        <v>4265.1054700000004</v>
      </c>
      <c r="E1722">
        <v>3895.97363</v>
      </c>
      <c r="F1722">
        <v>4125.4121100000002</v>
      </c>
      <c r="G1722">
        <v>67094148347</v>
      </c>
      <c r="H1722" t="s">
        <v>18</v>
      </c>
    </row>
    <row r="1723" spans="1:8" x14ac:dyDescent="0.3">
      <c r="A1723" t="s">
        <v>306</v>
      </c>
      <c r="B1723" t="s">
        <v>19</v>
      </c>
      <c r="C1723">
        <v>1293.47327</v>
      </c>
      <c r="D1723">
        <v>1316.4070999999999</v>
      </c>
      <c r="E1723">
        <v>1147.75</v>
      </c>
      <c r="F1723">
        <v>1211.05115</v>
      </c>
      <c r="G1723">
        <v>10106588255</v>
      </c>
      <c r="H1723" t="s">
        <v>20</v>
      </c>
    </row>
    <row r="1724" spans="1:8" x14ac:dyDescent="0.3">
      <c r="A1724" t="s">
        <v>307</v>
      </c>
      <c r="B1724" t="s">
        <v>9</v>
      </c>
      <c r="C1724">
        <v>0.69969000000000003</v>
      </c>
      <c r="D1724">
        <v>0.71333000000000002</v>
      </c>
      <c r="E1724">
        <v>0.66186999999999996</v>
      </c>
      <c r="F1724">
        <v>0.66879999999999995</v>
      </c>
      <c r="G1724">
        <v>1209547947</v>
      </c>
      <c r="H1724" t="s">
        <v>10</v>
      </c>
    </row>
    <row r="1725" spans="1:8" x14ac:dyDescent="0.3">
      <c r="A1725" t="s">
        <v>307</v>
      </c>
      <c r="B1725" t="s">
        <v>11</v>
      </c>
      <c r="C1725">
        <v>113113.9688</v>
      </c>
      <c r="D1725">
        <v>113622.38280000001</v>
      </c>
      <c r="E1725">
        <v>110235.83590000001</v>
      </c>
      <c r="F1725">
        <v>110783.16409999999</v>
      </c>
      <c r="G1725">
        <v>72574132855</v>
      </c>
      <c r="H1725" t="s">
        <v>12</v>
      </c>
    </row>
    <row r="1726" spans="1:8" x14ac:dyDescent="0.3">
      <c r="A1726" t="s">
        <v>307</v>
      </c>
      <c r="B1726" t="s">
        <v>13</v>
      </c>
      <c r="C1726">
        <v>202.46187</v>
      </c>
      <c r="D1726">
        <v>208.33116000000001</v>
      </c>
      <c r="E1726">
        <v>192.70006000000001</v>
      </c>
      <c r="F1726">
        <v>194.02187000000001</v>
      </c>
      <c r="G1726">
        <v>9867608882</v>
      </c>
      <c r="H1726" t="s">
        <v>14</v>
      </c>
    </row>
    <row r="1727" spans="1:8" x14ac:dyDescent="0.3">
      <c r="A1727" t="s">
        <v>307</v>
      </c>
      <c r="B1727" t="s">
        <v>15</v>
      </c>
      <c r="C1727">
        <v>2.5056699999999998</v>
      </c>
      <c r="D1727">
        <v>2.5257200000000002</v>
      </c>
      <c r="E1727">
        <v>2.3895900000000001</v>
      </c>
      <c r="F1727">
        <v>2.4126699999999999</v>
      </c>
      <c r="G1727">
        <v>5540248401</v>
      </c>
      <c r="H1727" t="s">
        <v>16</v>
      </c>
    </row>
    <row r="1728" spans="1:8" x14ac:dyDescent="0.3">
      <c r="A1728" t="s">
        <v>307</v>
      </c>
      <c r="B1728" t="s">
        <v>17</v>
      </c>
      <c r="C1728">
        <v>4125.3613299999997</v>
      </c>
      <c r="D1728">
        <v>4213.8559599999999</v>
      </c>
      <c r="E1728">
        <v>3935.16138</v>
      </c>
      <c r="F1728">
        <v>3987.4594699999998</v>
      </c>
      <c r="G1728">
        <v>50462889453</v>
      </c>
      <c r="H1728" t="s">
        <v>18</v>
      </c>
    </row>
    <row r="1729" spans="1:8" x14ac:dyDescent="0.3">
      <c r="A1729" t="s">
        <v>307</v>
      </c>
      <c r="B1729" t="s">
        <v>19</v>
      </c>
      <c r="C1729">
        <v>1211.05115</v>
      </c>
      <c r="D1729">
        <v>1221.7075199999999</v>
      </c>
      <c r="E1729">
        <v>1151.83521</v>
      </c>
      <c r="F1729">
        <v>1162.6917699999999</v>
      </c>
      <c r="G1729">
        <v>5853929585</v>
      </c>
      <c r="H1729" t="s">
        <v>20</v>
      </c>
    </row>
    <row r="1730" spans="1:8" x14ac:dyDescent="0.3">
      <c r="A1730" t="s">
        <v>308</v>
      </c>
      <c r="B1730" t="s">
        <v>9</v>
      </c>
      <c r="C1730">
        <v>0.66879999999999995</v>
      </c>
      <c r="D1730">
        <v>0.68354999999999999</v>
      </c>
      <c r="E1730">
        <v>0.63583999999999996</v>
      </c>
      <c r="F1730">
        <v>0.64493999999999996</v>
      </c>
      <c r="G1730">
        <v>1359176043</v>
      </c>
      <c r="H1730" t="s">
        <v>10</v>
      </c>
    </row>
    <row r="1731" spans="1:8" x14ac:dyDescent="0.3">
      <c r="A1731" t="s">
        <v>308</v>
      </c>
      <c r="B1731" t="s">
        <v>11</v>
      </c>
      <c r="C1731">
        <v>110782.1719</v>
      </c>
      <c r="D1731">
        <v>111990.8125</v>
      </c>
      <c r="E1731">
        <v>107537.0313</v>
      </c>
      <c r="F1731">
        <v>108186.03909999999</v>
      </c>
      <c r="G1731">
        <v>87306423067</v>
      </c>
      <c r="H1731" t="s">
        <v>12</v>
      </c>
    </row>
    <row r="1732" spans="1:8" x14ac:dyDescent="0.3">
      <c r="A1732" t="s">
        <v>308</v>
      </c>
      <c r="B1732" t="s">
        <v>13</v>
      </c>
      <c r="C1732">
        <v>194.02187000000001</v>
      </c>
      <c r="D1732">
        <v>197.95574999999999</v>
      </c>
      <c r="E1732">
        <v>182.25134</v>
      </c>
      <c r="F1732">
        <v>184.68895000000001</v>
      </c>
      <c r="G1732">
        <v>10042886154</v>
      </c>
      <c r="H1732" t="s">
        <v>14</v>
      </c>
    </row>
    <row r="1733" spans="1:8" x14ac:dyDescent="0.3">
      <c r="A1733" t="s">
        <v>308</v>
      </c>
      <c r="B1733" t="s">
        <v>15</v>
      </c>
      <c r="C1733">
        <v>2.4126699999999999</v>
      </c>
      <c r="D1733">
        <v>2.46286</v>
      </c>
      <c r="E1733">
        <v>2.2876400000000001</v>
      </c>
      <c r="F1733">
        <v>2.3290700000000002</v>
      </c>
      <c r="G1733">
        <v>7020912336</v>
      </c>
      <c r="H1733" t="s">
        <v>16</v>
      </c>
    </row>
    <row r="1734" spans="1:8" x14ac:dyDescent="0.3">
      <c r="A1734" t="s">
        <v>308</v>
      </c>
      <c r="B1734" t="s">
        <v>17</v>
      </c>
      <c r="C1734">
        <v>3987.1489299999998</v>
      </c>
      <c r="D1734">
        <v>4079.6481899999999</v>
      </c>
      <c r="E1734">
        <v>3829.6540500000001</v>
      </c>
      <c r="F1734">
        <v>3894.7543999999998</v>
      </c>
      <c r="G1734">
        <v>49147390731</v>
      </c>
      <c r="H1734" t="s">
        <v>18</v>
      </c>
    </row>
    <row r="1735" spans="1:8" x14ac:dyDescent="0.3">
      <c r="A1735" t="s">
        <v>308</v>
      </c>
      <c r="B1735" t="s">
        <v>19</v>
      </c>
      <c r="C1735">
        <v>1162.69373</v>
      </c>
      <c r="D1735">
        <v>1193.7739300000001</v>
      </c>
      <c r="E1735">
        <v>1125.3332499999999</v>
      </c>
      <c r="F1735">
        <v>1145.8253199999999</v>
      </c>
      <c r="G1735">
        <v>5605348340</v>
      </c>
      <c r="H1735" t="s">
        <v>20</v>
      </c>
    </row>
    <row r="1736" spans="1:8" x14ac:dyDescent="0.3">
      <c r="A1736" t="s">
        <v>309</v>
      </c>
      <c r="B1736" t="s">
        <v>9</v>
      </c>
      <c r="C1736">
        <v>0.64493999999999996</v>
      </c>
      <c r="D1736">
        <v>0.65393999999999997</v>
      </c>
      <c r="E1736">
        <v>0.59516999999999998</v>
      </c>
      <c r="F1736">
        <v>0.62483999999999995</v>
      </c>
      <c r="G1736">
        <v>1684167803</v>
      </c>
      <c r="H1736" t="s">
        <v>10</v>
      </c>
    </row>
    <row r="1737" spans="1:8" x14ac:dyDescent="0.3">
      <c r="A1737" t="s">
        <v>309</v>
      </c>
      <c r="B1737" t="s">
        <v>11</v>
      </c>
      <c r="C1737">
        <v>108179.13280000001</v>
      </c>
      <c r="D1737">
        <v>109235.80469999999</v>
      </c>
      <c r="E1737">
        <v>103598.42969999999</v>
      </c>
      <c r="F1737">
        <v>106467.78909999999</v>
      </c>
      <c r="G1737">
        <v>99703051669</v>
      </c>
      <c r="H1737" t="s">
        <v>12</v>
      </c>
    </row>
    <row r="1738" spans="1:8" x14ac:dyDescent="0.3">
      <c r="A1738" t="s">
        <v>309</v>
      </c>
      <c r="B1738" t="s">
        <v>13</v>
      </c>
      <c r="C1738">
        <v>184.68620000000001</v>
      </c>
      <c r="D1738">
        <v>187.42857000000001</v>
      </c>
      <c r="E1738">
        <v>174.74417</v>
      </c>
      <c r="F1738">
        <v>182.03478999999999</v>
      </c>
      <c r="G1738">
        <v>10401735741</v>
      </c>
      <c r="H1738" t="s">
        <v>14</v>
      </c>
    </row>
    <row r="1739" spans="1:8" x14ac:dyDescent="0.3">
      <c r="A1739" t="s">
        <v>309</v>
      </c>
      <c r="B1739" t="s">
        <v>15</v>
      </c>
      <c r="C1739">
        <v>2.3289900000000001</v>
      </c>
      <c r="D1739">
        <v>2.3804599999999998</v>
      </c>
      <c r="E1739">
        <v>2.1971799999999999</v>
      </c>
      <c r="F1739">
        <v>2.2942399999999998</v>
      </c>
      <c r="G1739">
        <v>7915224855</v>
      </c>
      <c r="H1739" t="s">
        <v>16</v>
      </c>
    </row>
    <row r="1740" spans="1:8" x14ac:dyDescent="0.3">
      <c r="A1740" t="s">
        <v>309</v>
      </c>
      <c r="B1740" t="s">
        <v>17</v>
      </c>
      <c r="C1740">
        <v>3894.3776899999998</v>
      </c>
      <c r="D1740">
        <v>3950.5668999999998</v>
      </c>
      <c r="E1740">
        <v>3678.6203599999999</v>
      </c>
      <c r="F1740">
        <v>3832.5588400000001</v>
      </c>
      <c r="G1740">
        <v>57404271888</v>
      </c>
      <c r="H1740" t="s">
        <v>18</v>
      </c>
    </row>
    <row r="1741" spans="1:8" x14ac:dyDescent="0.3">
      <c r="A1741" t="s">
        <v>309</v>
      </c>
      <c r="B1741" t="s">
        <v>19</v>
      </c>
      <c r="C1741">
        <v>1145.81799</v>
      </c>
      <c r="D1741">
        <v>1154.8912399999999</v>
      </c>
      <c r="E1741">
        <v>1024.0832499999999</v>
      </c>
      <c r="F1741">
        <v>1071.9630099999999</v>
      </c>
      <c r="G1741">
        <v>6656427568</v>
      </c>
      <c r="H1741" t="s">
        <v>20</v>
      </c>
    </row>
    <row r="1742" spans="1:8" x14ac:dyDescent="0.3">
      <c r="A1742" t="s">
        <v>310</v>
      </c>
      <c r="B1742" t="s">
        <v>9</v>
      </c>
      <c r="C1742">
        <v>0.62485000000000002</v>
      </c>
      <c r="D1742">
        <v>0.64081999999999995</v>
      </c>
      <c r="E1742">
        <v>0.62434999999999996</v>
      </c>
      <c r="F1742">
        <v>0.63446000000000002</v>
      </c>
      <c r="G1742">
        <v>549396048</v>
      </c>
      <c r="H1742" t="s">
        <v>10</v>
      </c>
    </row>
    <row r="1743" spans="1:8" x14ac:dyDescent="0.3">
      <c r="A1743" t="s">
        <v>310</v>
      </c>
      <c r="B1743" t="s">
        <v>11</v>
      </c>
      <c r="C1743">
        <v>106483.7344</v>
      </c>
      <c r="D1743">
        <v>107490.9844</v>
      </c>
      <c r="E1743">
        <v>106387.4531</v>
      </c>
      <c r="F1743">
        <v>107198.2656</v>
      </c>
      <c r="G1743">
        <v>37779905278</v>
      </c>
      <c r="H1743" t="s">
        <v>12</v>
      </c>
    </row>
    <row r="1744" spans="1:8" x14ac:dyDescent="0.3">
      <c r="A1744" t="s">
        <v>310</v>
      </c>
      <c r="B1744" t="s">
        <v>13</v>
      </c>
      <c r="C1744">
        <v>182.03616</v>
      </c>
      <c r="D1744">
        <v>188.26787999999999</v>
      </c>
      <c r="E1744">
        <v>182.02399</v>
      </c>
      <c r="F1744">
        <v>187.66029</v>
      </c>
      <c r="G1744">
        <v>4108902789</v>
      </c>
      <c r="H1744" t="s">
        <v>14</v>
      </c>
    </row>
    <row r="1745" spans="1:8" x14ac:dyDescent="0.3">
      <c r="A1745" t="s">
        <v>310</v>
      </c>
      <c r="B1745" t="s">
        <v>15</v>
      </c>
      <c r="C1745">
        <v>2.2944100000000001</v>
      </c>
      <c r="D1745">
        <v>2.3915600000000001</v>
      </c>
      <c r="E1745">
        <v>2.2944100000000001</v>
      </c>
      <c r="F1745">
        <v>2.3605100000000001</v>
      </c>
      <c r="G1745">
        <v>2903249765</v>
      </c>
      <c r="H1745" t="s">
        <v>16</v>
      </c>
    </row>
    <row r="1746" spans="1:8" x14ac:dyDescent="0.3">
      <c r="A1746" t="s">
        <v>310</v>
      </c>
      <c r="B1746" t="s">
        <v>17</v>
      </c>
      <c r="C1746">
        <v>3833.0095200000001</v>
      </c>
      <c r="D1746">
        <v>3927.2456099999999</v>
      </c>
      <c r="E1746">
        <v>3822.2663600000001</v>
      </c>
      <c r="F1746">
        <v>3890.3461900000002</v>
      </c>
      <c r="G1746">
        <v>23815676385</v>
      </c>
      <c r="H1746" t="s">
        <v>18</v>
      </c>
    </row>
    <row r="1747" spans="1:8" x14ac:dyDescent="0.3">
      <c r="A1747" t="s">
        <v>310</v>
      </c>
      <c r="B1747" t="s">
        <v>19</v>
      </c>
      <c r="C1747">
        <v>1071.96558</v>
      </c>
      <c r="D1747">
        <v>1129.1925100000001</v>
      </c>
      <c r="E1747">
        <v>1071.47388</v>
      </c>
      <c r="F1747">
        <v>1093.15247</v>
      </c>
      <c r="G1747">
        <v>3767783165</v>
      </c>
      <c r="H1747" t="s">
        <v>20</v>
      </c>
    </row>
    <row r="1748" spans="1:8" x14ac:dyDescent="0.3">
      <c r="A1748" t="s">
        <v>311</v>
      </c>
      <c r="B1748" t="s">
        <v>9</v>
      </c>
      <c r="C1748">
        <v>0.63446000000000002</v>
      </c>
      <c r="D1748">
        <v>0.66449000000000003</v>
      </c>
      <c r="E1748">
        <v>0.62341000000000002</v>
      </c>
      <c r="F1748">
        <v>0.65254999999999996</v>
      </c>
      <c r="G1748">
        <v>874038329</v>
      </c>
      <c r="H1748" t="s">
        <v>10</v>
      </c>
    </row>
    <row r="1749" spans="1:8" x14ac:dyDescent="0.3">
      <c r="A1749" t="s">
        <v>311</v>
      </c>
      <c r="B1749" t="s">
        <v>11</v>
      </c>
      <c r="C1749">
        <v>107204.3125</v>
      </c>
      <c r="D1749">
        <v>109488.99219999999</v>
      </c>
      <c r="E1749">
        <v>106157.78909999999</v>
      </c>
      <c r="F1749">
        <v>108666.71090000001</v>
      </c>
      <c r="G1749">
        <v>47657008953</v>
      </c>
      <c r="H1749" t="s">
        <v>12</v>
      </c>
    </row>
    <row r="1750" spans="1:8" x14ac:dyDescent="0.3">
      <c r="A1750" t="s">
        <v>311</v>
      </c>
      <c r="B1750" t="s">
        <v>13</v>
      </c>
      <c r="C1750">
        <v>187.66029</v>
      </c>
      <c r="D1750">
        <v>192.20061000000001</v>
      </c>
      <c r="E1750">
        <v>183.45824999999999</v>
      </c>
      <c r="F1750">
        <v>187.79820000000001</v>
      </c>
      <c r="G1750">
        <v>4863227045</v>
      </c>
      <c r="H1750" t="s">
        <v>14</v>
      </c>
    </row>
    <row r="1751" spans="1:8" x14ac:dyDescent="0.3">
      <c r="A1751" t="s">
        <v>311</v>
      </c>
      <c r="B1751" t="s">
        <v>15</v>
      </c>
      <c r="C1751">
        <v>2.3605100000000001</v>
      </c>
      <c r="D1751">
        <v>2.41757</v>
      </c>
      <c r="E1751">
        <v>2.32104</v>
      </c>
      <c r="F1751">
        <v>2.3906299999999998</v>
      </c>
      <c r="G1751">
        <v>3399616949</v>
      </c>
      <c r="H1751" t="s">
        <v>16</v>
      </c>
    </row>
    <row r="1752" spans="1:8" x14ac:dyDescent="0.3">
      <c r="A1752" t="s">
        <v>311</v>
      </c>
      <c r="B1752" t="s">
        <v>17</v>
      </c>
      <c r="C1752">
        <v>3890.5835000000002</v>
      </c>
      <c r="D1752">
        <v>4029.35547</v>
      </c>
      <c r="E1752">
        <v>3843.77295</v>
      </c>
      <c r="F1752">
        <v>3984.64966</v>
      </c>
      <c r="G1752">
        <v>32870655221</v>
      </c>
      <c r="H1752" t="s">
        <v>18</v>
      </c>
    </row>
    <row r="1753" spans="1:8" x14ac:dyDescent="0.3">
      <c r="A1753" t="s">
        <v>311</v>
      </c>
      <c r="B1753" t="s">
        <v>19</v>
      </c>
      <c r="C1753">
        <v>1093.15247</v>
      </c>
      <c r="D1753">
        <v>1132.3472899999999</v>
      </c>
      <c r="E1753">
        <v>1069.3074999999999</v>
      </c>
      <c r="F1753">
        <v>1109.6800499999999</v>
      </c>
      <c r="G1753">
        <v>3690436753</v>
      </c>
      <c r="H1753" t="s">
        <v>20</v>
      </c>
    </row>
    <row r="1754" spans="1:8" x14ac:dyDescent="0.3">
      <c r="A1754" t="s">
        <v>312</v>
      </c>
      <c r="B1754" t="s">
        <v>9</v>
      </c>
      <c r="C1754">
        <v>0.65254999999999996</v>
      </c>
      <c r="D1754">
        <v>0.67549999999999999</v>
      </c>
      <c r="E1754">
        <v>0.64068000000000003</v>
      </c>
      <c r="F1754">
        <v>0.66325000000000001</v>
      </c>
      <c r="G1754">
        <v>1048326206</v>
      </c>
      <c r="H1754" t="s">
        <v>10</v>
      </c>
    </row>
    <row r="1755" spans="1:8" x14ac:dyDescent="0.3">
      <c r="A1755" t="s">
        <v>312</v>
      </c>
      <c r="B1755" t="s">
        <v>11</v>
      </c>
      <c r="C1755">
        <v>108667.44530000001</v>
      </c>
      <c r="D1755">
        <v>111711.0313</v>
      </c>
      <c r="E1755">
        <v>107485.0156</v>
      </c>
      <c r="F1755">
        <v>110588.92969999999</v>
      </c>
      <c r="G1755">
        <v>63507793085</v>
      </c>
      <c r="H1755" t="s">
        <v>12</v>
      </c>
    </row>
    <row r="1756" spans="1:8" x14ac:dyDescent="0.3">
      <c r="A1756" t="s">
        <v>312</v>
      </c>
      <c r="B1756" t="s">
        <v>13</v>
      </c>
      <c r="C1756">
        <v>187.79830999999999</v>
      </c>
      <c r="D1756">
        <v>194.34116</v>
      </c>
      <c r="E1756">
        <v>184.04662999999999</v>
      </c>
      <c r="F1756">
        <v>189.75067000000001</v>
      </c>
      <c r="G1756">
        <v>6103945646</v>
      </c>
      <c r="H1756" t="s">
        <v>14</v>
      </c>
    </row>
    <row r="1757" spans="1:8" x14ac:dyDescent="0.3">
      <c r="A1757" t="s">
        <v>312</v>
      </c>
      <c r="B1757" t="s">
        <v>15</v>
      </c>
      <c r="C1757">
        <v>2.3906499999999999</v>
      </c>
      <c r="D1757">
        <v>2.5430799999999998</v>
      </c>
      <c r="E1757">
        <v>2.3589899999999999</v>
      </c>
      <c r="F1757">
        <v>2.49342</v>
      </c>
      <c r="G1757">
        <v>4680466571</v>
      </c>
      <c r="H1757" t="s">
        <v>16</v>
      </c>
    </row>
    <row r="1758" spans="1:8" x14ac:dyDescent="0.3">
      <c r="A1758" t="s">
        <v>312</v>
      </c>
      <c r="B1758" t="s">
        <v>17</v>
      </c>
      <c r="C1758">
        <v>3984.6962899999999</v>
      </c>
      <c r="D1758">
        <v>4084.15967</v>
      </c>
      <c r="E1758">
        <v>3911.7263200000002</v>
      </c>
      <c r="F1758">
        <v>3980.7602499999998</v>
      </c>
      <c r="G1758">
        <v>40224612563</v>
      </c>
      <c r="H1758" t="s">
        <v>18</v>
      </c>
    </row>
    <row r="1759" spans="1:8" x14ac:dyDescent="0.3">
      <c r="A1759" t="s">
        <v>312</v>
      </c>
      <c r="B1759" t="s">
        <v>19</v>
      </c>
      <c r="C1759">
        <v>1109.6821299999999</v>
      </c>
      <c r="D1759">
        <v>1142.74451</v>
      </c>
      <c r="E1759">
        <v>1090.00684</v>
      </c>
      <c r="F1759">
        <v>1101.0616500000001</v>
      </c>
      <c r="G1759">
        <v>4209252745</v>
      </c>
      <c r="H1759" t="s">
        <v>20</v>
      </c>
    </row>
    <row r="1760" spans="1:8" x14ac:dyDescent="0.3">
      <c r="A1760" t="s">
        <v>313</v>
      </c>
      <c r="B1760" t="s">
        <v>9</v>
      </c>
      <c r="C1760">
        <v>0.66320999999999997</v>
      </c>
      <c r="D1760">
        <v>0.68462999999999996</v>
      </c>
      <c r="E1760">
        <v>0.63793</v>
      </c>
      <c r="F1760">
        <v>0.64290999999999998</v>
      </c>
      <c r="G1760">
        <v>1195836837</v>
      </c>
      <c r="H1760" t="s">
        <v>10</v>
      </c>
    </row>
    <row r="1761" spans="1:8" x14ac:dyDescent="0.3">
      <c r="A1761" t="s">
        <v>313</v>
      </c>
      <c r="B1761" t="s">
        <v>11</v>
      </c>
      <c r="C1761">
        <v>110587.63280000001</v>
      </c>
      <c r="D1761">
        <v>113996.3438</v>
      </c>
      <c r="E1761">
        <v>107534.75</v>
      </c>
      <c r="F1761">
        <v>108476.8906</v>
      </c>
      <c r="G1761">
        <v>101000000000</v>
      </c>
      <c r="H1761" t="s">
        <v>12</v>
      </c>
    </row>
    <row r="1762" spans="1:8" x14ac:dyDescent="0.3">
      <c r="A1762" t="s">
        <v>313</v>
      </c>
      <c r="B1762" t="s">
        <v>13</v>
      </c>
      <c r="C1762">
        <v>189.76204000000001</v>
      </c>
      <c r="D1762">
        <v>197.37448000000001</v>
      </c>
      <c r="E1762">
        <v>183.31325000000001</v>
      </c>
      <c r="F1762">
        <v>185.66628</v>
      </c>
      <c r="G1762">
        <v>8186574439</v>
      </c>
      <c r="H1762" t="s">
        <v>14</v>
      </c>
    </row>
    <row r="1763" spans="1:8" x14ac:dyDescent="0.3">
      <c r="A1763" t="s">
        <v>313</v>
      </c>
      <c r="B1763" t="s">
        <v>15</v>
      </c>
      <c r="C1763">
        <v>2.49559</v>
      </c>
      <c r="D1763">
        <v>2.5313500000000002</v>
      </c>
      <c r="E1763">
        <v>2.4040699999999999</v>
      </c>
      <c r="F1763">
        <v>2.4242699999999999</v>
      </c>
      <c r="G1763">
        <v>5162489261</v>
      </c>
      <c r="H1763" t="s">
        <v>16</v>
      </c>
    </row>
    <row r="1764" spans="1:8" x14ac:dyDescent="0.3">
      <c r="A1764" t="s">
        <v>313</v>
      </c>
      <c r="B1764" t="s">
        <v>17</v>
      </c>
      <c r="C1764">
        <v>3980.7404799999999</v>
      </c>
      <c r="D1764">
        <v>4109.5331999999999</v>
      </c>
      <c r="E1764">
        <v>3843.2277800000002</v>
      </c>
      <c r="F1764">
        <v>3876.7641600000002</v>
      </c>
      <c r="G1764">
        <v>49960290350</v>
      </c>
      <c r="H1764" t="s">
        <v>18</v>
      </c>
    </row>
    <row r="1765" spans="1:8" x14ac:dyDescent="0.3">
      <c r="A1765" t="s">
        <v>313</v>
      </c>
      <c r="B1765" t="s">
        <v>19</v>
      </c>
      <c r="C1765">
        <v>1101.1649199999999</v>
      </c>
      <c r="D1765">
        <v>1114.31323</v>
      </c>
      <c r="E1765">
        <v>1054.30493</v>
      </c>
      <c r="F1765">
        <v>1057.4404300000001</v>
      </c>
      <c r="G1765">
        <v>4398689427</v>
      </c>
      <c r="H1765" t="s">
        <v>20</v>
      </c>
    </row>
    <row r="1766" spans="1:8" x14ac:dyDescent="0.3">
      <c r="A1766" t="s">
        <v>314</v>
      </c>
      <c r="B1766" t="s">
        <v>9</v>
      </c>
      <c r="C1766">
        <v>0.64292000000000005</v>
      </c>
      <c r="D1766">
        <v>0.64668000000000003</v>
      </c>
      <c r="E1766">
        <v>0.61134999999999995</v>
      </c>
      <c r="F1766">
        <v>0.62397000000000002</v>
      </c>
      <c r="G1766">
        <v>1083621498</v>
      </c>
      <c r="H1766" t="s">
        <v>10</v>
      </c>
    </row>
    <row r="1767" spans="1:8" x14ac:dyDescent="0.3">
      <c r="A1767" t="s">
        <v>314</v>
      </c>
      <c r="B1767" t="s">
        <v>11</v>
      </c>
      <c r="C1767">
        <v>108491.5313</v>
      </c>
      <c r="D1767">
        <v>109115.13280000001</v>
      </c>
      <c r="E1767">
        <v>106778</v>
      </c>
      <c r="F1767">
        <v>107688.58590000001</v>
      </c>
      <c r="G1767">
        <v>80807013218</v>
      </c>
      <c r="H1767" t="s">
        <v>12</v>
      </c>
    </row>
    <row r="1768" spans="1:8" x14ac:dyDescent="0.3">
      <c r="A1768" t="s">
        <v>314</v>
      </c>
      <c r="B1768" t="s">
        <v>13</v>
      </c>
      <c r="C1768">
        <v>185.66732999999999</v>
      </c>
      <c r="D1768">
        <v>187.32662999999999</v>
      </c>
      <c r="E1768">
        <v>177.67313999999999</v>
      </c>
      <c r="F1768">
        <v>180.14813000000001</v>
      </c>
      <c r="G1768">
        <v>7337365275</v>
      </c>
      <c r="H1768" t="s">
        <v>14</v>
      </c>
    </row>
    <row r="1769" spans="1:8" x14ac:dyDescent="0.3">
      <c r="A1769" t="s">
        <v>314</v>
      </c>
      <c r="B1769" t="s">
        <v>15</v>
      </c>
      <c r="C1769">
        <v>2.42428</v>
      </c>
      <c r="D1769">
        <v>2.4379200000000001</v>
      </c>
      <c r="E1769">
        <v>2.3350399999999998</v>
      </c>
      <c r="F1769">
        <v>2.3638599999999999</v>
      </c>
      <c r="G1769">
        <v>4563355252</v>
      </c>
      <c r="H1769" t="s">
        <v>16</v>
      </c>
    </row>
    <row r="1770" spans="1:8" x14ac:dyDescent="0.3">
      <c r="A1770" t="s">
        <v>314</v>
      </c>
      <c r="B1770" t="s">
        <v>17</v>
      </c>
      <c r="C1770">
        <v>3877.3630400000002</v>
      </c>
      <c r="D1770">
        <v>3890.6323200000002</v>
      </c>
      <c r="E1770">
        <v>3718.0771500000001</v>
      </c>
      <c r="F1770">
        <v>3808.1223100000002</v>
      </c>
      <c r="G1770">
        <v>46173305673</v>
      </c>
      <c r="H1770" t="s">
        <v>18</v>
      </c>
    </row>
    <row r="1771" spans="1:8" x14ac:dyDescent="0.3">
      <c r="A1771" t="s">
        <v>314</v>
      </c>
      <c r="B1771" t="s">
        <v>19</v>
      </c>
      <c r="C1771">
        <v>1057.4404300000001</v>
      </c>
      <c r="D1771">
        <v>1082.9290800000001</v>
      </c>
      <c r="E1771">
        <v>1054.0701899999999</v>
      </c>
      <c r="F1771">
        <v>1072.0479700000001</v>
      </c>
      <c r="G1771">
        <v>3625757780</v>
      </c>
      <c r="H1771" t="s">
        <v>20</v>
      </c>
    </row>
    <row r="1772" spans="1:8" x14ac:dyDescent="0.3">
      <c r="A1772" t="s">
        <v>315</v>
      </c>
      <c r="B1772" t="s">
        <v>9</v>
      </c>
      <c r="C1772">
        <v>0.62397000000000002</v>
      </c>
      <c r="D1772">
        <v>0.65295999999999998</v>
      </c>
      <c r="E1772">
        <v>0.62324999999999997</v>
      </c>
      <c r="F1772">
        <v>0.64283999999999997</v>
      </c>
      <c r="G1772">
        <v>786265376</v>
      </c>
      <c r="H1772" t="s">
        <v>10</v>
      </c>
    </row>
    <row r="1773" spans="1:8" x14ac:dyDescent="0.3">
      <c r="A1773" t="s">
        <v>315</v>
      </c>
      <c r="B1773" t="s">
        <v>11</v>
      </c>
      <c r="C1773">
        <v>107679.4375</v>
      </c>
      <c r="D1773">
        <v>111288.5938</v>
      </c>
      <c r="E1773">
        <v>107548.42969999999</v>
      </c>
      <c r="F1773">
        <v>110069.72659999999</v>
      </c>
      <c r="G1773">
        <v>54944076060</v>
      </c>
      <c r="H1773" t="s">
        <v>12</v>
      </c>
    </row>
    <row r="1774" spans="1:8" x14ac:dyDescent="0.3">
      <c r="A1774" t="s">
        <v>315</v>
      </c>
      <c r="B1774" t="s">
        <v>13</v>
      </c>
      <c r="C1774">
        <v>180.14813000000001</v>
      </c>
      <c r="D1774">
        <v>193.17556999999999</v>
      </c>
      <c r="E1774">
        <v>179.80087</v>
      </c>
      <c r="F1774">
        <v>191.38828000000001</v>
      </c>
      <c r="G1774">
        <v>6358339771</v>
      </c>
      <c r="H1774" t="s">
        <v>14</v>
      </c>
    </row>
    <row r="1775" spans="1:8" x14ac:dyDescent="0.3">
      <c r="A1775" t="s">
        <v>315</v>
      </c>
      <c r="B1775" t="s">
        <v>15</v>
      </c>
      <c r="C1775">
        <v>2.3638599999999999</v>
      </c>
      <c r="D1775">
        <v>2.42327</v>
      </c>
      <c r="E1775">
        <v>2.3632300000000002</v>
      </c>
      <c r="F1775">
        <v>2.3951500000000001</v>
      </c>
      <c r="G1775">
        <v>3186334728</v>
      </c>
      <c r="H1775" t="s">
        <v>16</v>
      </c>
    </row>
    <row r="1776" spans="1:8" x14ac:dyDescent="0.3">
      <c r="A1776" t="s">
        <v>315</v>
      </c>
      <c r="B1776" t="s">
        <v>17</v>
      </c>
      <c r="C1776">
        <v>3808.0849600000001</v>
      </c>
      <c r="D1776">
        <v>3930.9748500000001</v>
      </c>
      <c r="E1776">
        <v>3801.2414600000002</v>
      </c>
      <c r="F1776">
        <v>3856.02637</v>
      </c>
      <c r="G1776">
        <v>36361652714</v>
      </c>
      <c r="H1776" t="s">
        <v>18</v>
      </c>
    </row>
    <row r="1777" spans="1:8" x14ac:dyDescent="0.3">
      <c r="A1777" t="s">
        <v>315</v>
      </c>
      <c r="B1777" t="s">
        <v>19</v>
      </c>
      <c r="C1777">
        <v>1072.0509</v>
      </c>
      <c r="D1777">
        <v>1150.99927</v>
      </c>
      <c r="E1777">
        <v>1071.9394500000001</v>
      </c>
      <c r="F1777">
        <v>1127.5730000000001</v>
      </c>
      <c r="G1777">
        <v>5661131703</v>
      </c>
      <c r="H1777" t="s">
        <v>20</v>
      </c>
    </row>
    <row r="1778" spans="1:8" x14ac:dyDescent="0.3">
      <c r="A1778" t="s">
        <v>316</v>
      </c>
      <c r="B1778" t="s">
        <v>9</v>
      </c>
      <c r="C1778">
        <v>0.64285000000000003</v>
      </c>
      <c r="D1778">
        <v>0.65883000000000003</v>
      </c>
      <c r="E1778">
        <v>0.63968999999999998</v>
      </c>
      <c r="F1778">
        <v>0.65588999999999997</v>
      </c>
      <c r="G1778">
        <v>838536144</v>
      </c>
      <c r="H1778" t="s">
        <v>10</v>
      </c>
    </row>
    <row r="1779" spans="1:8" x14ac:dyDescent="0.3">
      <c r="A1779" t="s">
        <v>316</v>
      </c>
      <c r="B1779" t="s">
        <v>11</v>
      </c>
      <c r="C1779">
        <v>110069.35159999999</v>
      </c>
      <c r="D1779">
        <v>111842.5313</v>
      </c>
      <c r="E1779">
        <v>109770.14840000001</v>
      </c>
      <c r="F1779">
        <v>111033.9219</v>
      </c>
      <c r="G1779">
        <v>48160816980</v>
      </c>
      <c r="H1779" t="s">
        <v>12</v>
      </c>
    </row>
    <row r="1780" spans="1:8" x14ac:dyDescent="0.3">
      <c r="A1780" t="s">
        <v>316</v>
      </c>
      <c r="B1780" t="s">
        <v>13</v>
      </c>
      <c r="C1780">
        <v>191.3886</v>
      </c>
      <c r="D1780">
        <v>195.31233</v>
      </c>
      <c r="E1780">
        <v>189.10889</v>
      </c>
      <c r="F1780">
        <v>193.56022999999999</v>
      </c>
      <c r="G1780">
        <v>5855077941</v>
      </c>
      <c r="H1780" t="s">
        <v>14</v>
      </c>
    </row>
    <row r="1781" spans="1:8" x14ac:dyDescent="0.3">
      <c r="A1781" t="s">
        <v>316</v>
      </c>
      <c r="B1781" t="s">
        <v>15</v>
      </c>
      <c r="C1781">
        <v>2.3951500000000001</v>
      </c>
      <c r="D1781">
        <v>2.5124599999999999</v>
      </c>
      <c r="E1781">
        <v>2.3889300000000002</v>
      </c>
      <c r="F1781">
        <v>2.5074700000000001</v>
      </c>
      <c r="G1781">
        <v>4400716181</v>
      </c>
      <c r="H1781" t="s">
        <v>16</v>
      </c>
    </row>
    <row r="1782" spans="1:8" x14ac:dyDescent="0.3">
      <c r="A1782" t="s">
        <v>316</v>
      </c>
      <c r="B1782" t="s">
        <v>17</v>
      </c>
      <c r="C1782">
        <v>3856.0331999999999</v>
      </c>
      <c r="D1782">
        <v>4002.5617699999998</v>
      </c>
      <c r="E1782">
        <v>3849.7248500000001</v>
      </c>
      <c r="F1782">
        <v>3934.56738</v>
      </c>
      <c r="G1782">
        <v>34090708715</v>
      </c>
      <c r="H1782" t="s">
        <v>18</v>
      </c>
    </row>
    <row r="1783" spans="1:8" x14ac:dyDescent="0.3">
      <c r="A1783" t="s">
        <v>316</v>
      </c>
      <c r="B1783" t="s">
        <v>19</v>
      </c>
      <c r="C1783">
        <v>1127.5726299999999</v>
      </c>
      <c r="D1783">
        <v>1141.6394</v>
      </c>
      <c r="E1783">
        <v>1098.93103</v>
      </c>
      <c r="F1783">
        <v>1109.14868</v>
      </c>
      <c r="G1783">
        <v>3451758493</v>
      </c>
      <c r="H1783" t="s">
        <v>20</v>
      </c>
    </row>
    <row r="1784" spans="1:8" x14ac:dyDescent="0.3">
      <c r="A1784" t="s">
        <v>317</v>
      </c>
      <c r="B1784" t="s">
        <v>9</v>
      </c>
      <c r="C1784">
        <v>0.65588999999999997</v>
      </c>
      <c r="D1784">
        <v>0.65864999999999996</v>
      </c>
      <c r="E1784">
        <v>0.64900999999999998</v>
      </c>
      <c r="F1784">
        <v>0.65466000000000002</v>
      </c>
      <c r="G1784">
        <v>469372495</v>
      </c>
      <c r="H1784" t="s">
        <v>10</v>
      </c>
    </row>
    <row r="1785" spans="1:8" x14ac:dyDescent="0.3">
      <c r="A1785" t="s">
        <v>317</v>
      </c>
      <c r="B1785" t="s">
        <v>11</v>
      </c>
      <c r="C1785">
        <v>111032.61719999999</v>
      </c>
      <c r="D1785">
        <v>111947.7031</v>
      </c>
      <c r="E1785">
        <v>110704.4063</v>
      </c>
      <c r="F1785">
        <v>111641.72659999999</v>
      </c>
      <c r="G1785">
        <v>24707667305</v>
      </c>
      <c r="H1785" t="s">
        <v>12</v>
      </c>
    </row>
    <row r="1786" spans="1:8" x14ac:dyDescent="0.3">
      <c r="A1786" t="s">
        <v>317</v>
      </c>
      <c r="B1786" t="s">
        <v>13</v>
      </c>
      <c r="C1786">
        <v>193.56082000000001</v>
      </c>
      <c r="D1786">
        <v>195.08336</v>
      </c>
      <c r="E1786">
        <v>191.60333</v>
      </c>
      <c r="F1786">
        <v>194.04037</v>
      </c>
      <c r="G1786">
        <v>3170047006</v>
      </c>
      <c r="H1786" t="s">
        <v>14</v>
      </c>
    </row>
    <row r="1787" spans="1:8" x14ac:dyDescent="0.3">
      <c r="A1787" t="s">
        <v>317</v>
      </c>
      <c r="B1787" t="s">
        <v>15</v>
      </c>
      <c r="C1787">
        <v>2.50753</v>
      </c>
      <c r="D1787">
        <v>2.6452</v>
      </c>
      <c r="E1787">
        <v>2.5058400000000001</v>
      </c>
      <c r="F1787">
        <v>2.5964499999999999</v>
      </c>
      <c r="G1787">
        <v>3953836546</v>
      </c>
      <c r="H1787" t="s">
        <v>16</v>
      </c>
    </row>
    <row r="1788" spans="1:8" x14ac:dyDescent="0.3">
      <c r="A1788" t="s">
        <v>317</v>
      </c>
      <c r="B1788" t="s">
        <v>17</v>
      </c>
      <c r="C1788">
        <v>3934.48999</v>
      </c>
      <c r="D1788">
        <v>3967.6455099999998</v>
      </c>
      <c r="E1788">
        <v>3914.6406299999999</v>
      </c>
      <c r="F1788">
        <v>3953.4709499999999</v>
      </c>
      <c r="G1788">
        <v>15245229017</v>
      </c>
      <c r="H1788" t="s">
        <v>18</v>
      </c>
    </row>
    <row r="1789" spans="1:8" x14ac:dyDescent="0.3">
      <c r="A1789" t="s">
        <v>317</v>
      </c>
      <c r="B1789" t="s">
        <v>19</v>
      </c>
      <c r="C1789">
        <v>1109.1498999999999</v>
      </c>
      <c r="D1789">
        <v>1120.07068</v>
      </c>
      <c r="E1789">
        <v>1102.49512</v>
      </c>
      <c r="F1789">
        <v>1116.7412099999999</v>
      </c>
      <c r="G1789">
        <v>2230311136</v>
      </c>
      <c r="H1789" t="s">
        <v>20</v>
      </c>
    </row>
    <row r="1790" spans="1:8" x14ac:dyDescent="0.3">
      <c r="A1790" t="s">
        <v>318</v>
      </c>
      <c r="B1790" t="s">
        <v>9</v>
      </c>
      <c r="C1790">
        <v>0.65466000000000002</v>
      </c>
      <c r="D1790">
        <v>0.68423</v>
      </c>
      <c r="E1790">
        <v>0.64748000000000006</v>
      </c>
      <c r="F1790">
        <v>0.68106</v>
      </c>
      <c r="G1790">
        <v>788298972</v>
      </c>
      <c r="H1790" t="s">
        <v>10</v>
      </c>
    </row>
    <row r="1791" spans="1:8" x14ac:dyDescent="0.3">
      <c r="A1791" t="s">
        <v>318</v>
      </c>
      <c r="B1791" t="s">
        <v>11</v>
      </c>
      <c r="C1791">
        <v>111639.05469999999</v>
      </c>
      <c r="D1791">
        <v>115260.9063</v>
      </c>
      <c r="E1791">
        <v>111268.4844</v>
      </c>
      <c r="F1791">
        <v>114472.44530000001</v>
      </c>
      <c r="G1791">
        <v>41708524143</v>
      </c>
      <c r="H1791" t="s">
        <v>12</v>
      </c>
    </row>
    <row r="1792" spans="1:8" x14ac:dyDescent="0.3">
      <c r="A1792" t="s">
        <v>318</v>
      </c>
      <c r="B1792" t="s">
        <v>13</v>
      </c>
      <c r="C1792">
        <v>194.03757999999999</v>
      </c>
      <c r="D1792">
        <v>200.62121999999999</v>
      </c>
      <c r="E1792">
        <v>192.16077000000001</v>
      </c>
      <c r="F1792">
        <v>200.02862999999999</v>
      </c>
      <c r="G1792">
        <v>4753310567</v>
      </c>
      <c r="H1792" t="s">
        <v>14</v>
      </c>
    </row>
    <row r="1793" spans="1:8" x14ac:dyDescent="0.3">
      <c r="A1793" t="s">
        <v>318</v>
      </c>
      <c r="B1793" t="s">
        <v>15</v>
      </c>
      <c r="C1793">
        <v>2.5964499999999999</v>
      </c>
      <c r="D1793">
        <v>2.65869</v>
      </c>
      <c r="E1793">
        <v>2.5947900000000002</v>
      </c>
      <c r="F1793">
        <v>2.6451500000000001</v>
      </c>
      <c r="G1793">
        <v>3805025865</v>
      </c>
      <c r="H1793" t="s">
        <v>16</v>
      </c>
    </row>
    <row r="1794" spans="1:8" x14ac:dyDescent="0.3">
      <c r="A1794" t="s">
        <v>318</v>
      </c>
      <c r="B1794" t="s">
        <v>17</v>
      </c>
      <c r="C1794">
        <v>3953.4372600000002</v>
      </c>
      <c r="D1794">
        <v>4177.3105500000001</v>
      </c>
      <c r="E1794">
        <v>3923.19263</v>
      </c>
      <c r="F1794">
        <v>4157.9892600000003</v>
      </c>
      <c r="G1794">
        <v>29120786315</v>
      </c>
      <c r="H1794" t="s">
        <v>18</v>
      </c>
    </row>
    <row r="1795" spans="1:8" x14ac:dyDescent="0.3">
      <c r="A1795" t="s">
        <v>318</v>
      </c>
      <c r="B1795" t="s">
        <v>19</v>
      </c>
      <c r="C1795">
        <v>1116.7419400000001</v>
      </c>
      <c r="D1795">
        <v>1141.95569</v>
      </c>
      <c r="E1795">
        <v>1115.5335700000001</v>
      </c>
      <c r="F1795">
        <v>1137.58691</v>
      </c>
      <c r="G1795">
        <v>2746697366</v>
      </c>
      <c r="H1795" t="s">
        <v>20</v>
      </c>
    </row>
    <row r="1796" spans="1:8" x14ac:dyDescent="0.3">
      <c r="A1796" t="s">
        <v>319</v>
      </c>
      <c r="B1796" t="s">
        <v>9</v>
      </c>
      <c r="C1796">
        <v>0.68106</v>
      </c>
      <c r="D1796">
        <v>0.69186999999999999</v>
      </c>
      <c r="E1796">
        <v>0.66525000000000001</v>
      </c>
      <c r="F1796">
        <v>0.66737000000000002</v>
      </c>
      <c r="G1796">
        <v>909288252</v>
      </c>
      <c r="H1796" t="s">
        <v>10</v>
      </c>
    </row>
    <row r="1797" spans="1:8" x14ac:dyDescent="0.3">
      <c r="A1797" t="s">
        <v>319</v>
      </c>
      <c r="B1797" t="s">
        <v>11</v>
      </c>
      <c r="C1797">
        <v>114479.85159999999</v>
      </c>
      <c r="D1797">
        <v>116273.3125</v>
      </c>
      <c r="E1797">
        <v>113882.28909999999</v>
      </c>
      <c r="F1797">
        <v>114119.3281</v>
      </c>
      <c r="G1797">
        <v>61761358733</v>
      </c>
      <c r="H1797" t="s">
        <v>12</v>
      </c>
    </row>
    <row r="1798" spans="1:8" x14ac:dyDescent="0.3">
      <c r="A1798" t="s">
        <v>319</v>
      </c>
      <c r="B1798" t="s">
        <v>13</v>
      </c>
      <c r="C1798">
        <v>200.02748</v>
      </c>
      <c r="D1798">
        <v>205.02005</v>
      </c>
      <c r="E1798">
        <v>197.59854000000001</v>
      </c>
      <c r="F1798">
        <v>198.74171000000001</v>
      </c>
      <c r="G1798">
        <v>6714497027</v>
      </c>
      <c r="H1798" t="s">
        <v>14</v>
      </c>
    </row>
    <row r="1799" spans="1:8" x14ac:dyDescent="0.3">
      <c r="A1799" t="s">
        <v>319</v>
      </c>
      <c r="B1799" t="s">
        <v>15</v>
      </c>
      <c r="C1799">
        <v>2.64514</v>
      </c>
      <c r="D1799">
        <v>2.6934499999999999</v>
      </c>
      <c r="E1799">
        <v>2.60744</v>
      </c>
      <c r="F1799">
        <v>2.63463</v>
      </c>
      <c r="G1799">
        <v>5079861417</v>
      </c>
      <c r="H1799" t="s">
        <v>16</v>
      </c>
    </row>
    <row r="1800" spans="1:8" x14ac:dyDescent="0.3">
      <c r="A1800" t="s">
        <v>319</v>
      </c>
      <c r="B1800" t="s">
        <v>17</v>
      </c>
      <c r="C1800">
        <v>4158.0107399999997</v>
      </c>
      <c r="D1800">
        <v>4250.6699200000003</v>
      </c>
      <c r="E1800">
        <v>4099.5698199999997</v>
      </c>
      <c r="F1800">
        <v>4120.1220700000003</v>
      </c>
      <c r="G1800">
        <v>40271333201</v>
      </c>
      <c r="H1800" t="s">
        <v>18</v>
      </c>
    </row>
    <row r="1801" spans="1:8" x14ac:dyDescent="0.3">
      <c r="A1801" t="s">
        <v>319</v>
      </c>
      <c r="B1801" t="s">
        <v>19</v>
      </c>
      <c r="C1801">
        <v>1137.5876499999999</v>
      </c>
      <c r="D1801">
        <v>1180.0148899999999</v>
      </c>
      <c r="E1801">
        <v>1134.2910199999999</v>
      </c>
      <c r="F1801">
        <v>1139.7459699999999</v>
      </c>
      <c r="G1801">
        <v>4501355092</v>
      </c>
      <c r="H1801" t="s">
        <v>20</v>
      </c>
    </row>
    <row r="1802" spans="1:8" x14ac:dyDescent="0.3">
      <c r="A1802" t="s">
        <v>320</v>
      </c>
      <c r="B1802" t="s">
        <v>9</v>
      </c>
      <c r="C1802">
        <v>0.66735999999999995</v>
      </c>
      <c r="D1802">
        <v>0.67452000000000001</v>
      </c>
      <c r="E1802">
        <v>0.63941000000000003</v>
      </c>
      <c r="F1802">
        <v>0.64627000000000001</v>
      </c>
      <c r="G1802">
        <v>1559874688</v>
      </c>
      <c r="H1802" t="s">
        <v>10</v>
      </c>
    </row>
    <row r="1803" spans="1:8" x14ac:dyDescent="0.3">
      <c r="A1803" t="s">
        <v>320</v>
      </c>
      <c r="B1803" t="s">
        <v>11</v>
      </c>
      <c r="C1803">
        <v>114129.08590000001</v>
      </c>
      <c r="D1803">
        <v>116078.9844</v>
      </c>
      <c r="E1803">
        <v>112291.67969999999</v>
      </c>
      <c r="F1803">
        <v>112956.16409999999</v>
      </c>
      <c r="G1803">
        <v>64528066504</v>
      </c>
      <c r="H1803" t="s">
        <v>12</v>
      </c>
    </row>
    <row r="1804" spans="1:8" x14ac:dyDescent="0.3">
      <c r="A1804" t="s">
        <v>320</v>
      </c>
      <c r="B1804" t="s">
        <v>13</v>
      </c>
      <c r="C1804">
        <v>198.74100000000001</v>
      </c>
      <c r="D1804">
        <v>203.83176</v>
      </c>
      <c r="E1804">
        <v>191.38518999999999</v>
      </c>
      <c r="F1804">
        <v>194.44279</v>
      </c>
      <c r="G1804">
        <v>8093133805</v>
      </c>
      <c r="H1804" t="s">
        <v>14</v>
      </c>
    </row>
    <row r="1805" spans="1:8" x14ac:dyDescent="0.3">
      <c r="A1805" t="s">
        <v>320</v>
      </c>
      <c r="B1805" t="s">
        <v>15</v>
      </c>
      <c r="C1805">
        <v>2.6346400000000001</v>
      </c>
      <c r="D1805">
        <v>2.6833300000000002</v>
      </c>
      <c r="E1805">
        <v>2.5741200000000002</v>
      </c>
      <c r="F1805">
        <v>2.6059800000000002</v>
      </c>
      <c r="G1805">
        <v>5654771816</v>
      </c>
      <c r="H1805" t="s">
        <v>16</v>
      </c>
    </row>
    <row r="1806" spans="1:8" x14ac:dyDescent="0.3">
      <c r="A1806" t="s">
        <v>320</v>
      </c>
      <c r="B1806" t="s">
        <v>17</v>
      </c>
      <c r="C1806">
        <v>4120.2749000000003</v>
      </c>
      <c r="D1806">
        <v>4173.5053699999999</v>
      </c>
      <c r="E1806">
        <v>3940.8342299999999</v>
      </c>
      <c r="F1806">
        <v>3982.2624500000002</v>
      </c>
      <c r="G1806">
        <v>39684155177</v>
      </c>
      <c r="H1806" t="s">
        <v>18</v>
      </c>
    </row>
    <row r="1807" spans="1:8" x14ac:dyDescent="0.3">
      <c r="A1807" t="s">
        <v>320</v>
      </c>
      <c r="B1807" t="s">
        <v>19</v>
      </c>
      <c r="C1807">
        <v>1139.7508499999999</v>
      </c>
      <c r="D1807">
        <v>1148.55835</v>
      </c>
      <c r="E1807">
        <v>1088.88159</v>
      </c>
      <c r="F1807">
        <v>1103.1447800000001</v>
      </c>
      <c r="G1807">
        <v>4178047763</v>
      </c>
      <c r="H1807" t="s">
        <v>20</v>
      </c>
    </row>
    <row r="1808" spans="1:8" x14ac:dyDescent="0.3">
      <c r="A1808" t="s">
        <v>321</v>
      </c>
      <c r="B1808" t="s">
        <v>9</v>
      </c>
      <c r="C1808">
        <v>0.64625999999999995</v>
      </c>
      <c r="D1808">
        <v>0.65664</v>
      </c>
      <c r="E1808">
        <v>0.63427</v>
      </c>
      <c r="F1808">
        <v>0.64015999999999995</v>
      </c>
      <c r="G1808">
        <v>1145954584</v>
      </c>
      <c r="H1808" t="s">
        <v>10</v>
      </c>
    </row>
    <row r="1809" spans="1:8" x14ac:dyDescent="0.3">
      <c r="A1809" t="s">
        <v>321</v>
      </c>
      <c r="B1809" t="s">
        <v>11</v>
      </c>
      <c r="C1809">
        <v>112921.3281</v>
      </c>
      <c r="D1809">
        <v>113642.72659999999</v>
      </c>
      <c r="E1809">
        <v>109368.7188</v>
      </c>
      <c r="F1809">
        <v>110055.30469999999</v>
      </c>
      <c r="G1809">
        <v>62192043469</v>
      </c>
      <c r="H1809" t="s">
        <v>12</v>
      </c>
    </row>
    <row r="1810" spans="1:8" x14ac:dyDescent="0.3">
      <c r="A1810" t="s">
        <v>321</v>
      </c>
      <c r="B1810" t="s">
        <v>13</v>
      </c>
      <c r="C1810">
        <v>194.43361999999999</v>
      </c>
      <c r="D1810">
        <v>201.67743999999999</v>
      </c>
      <c r="E1810">
        <v>190.60920999999999</v>
      </c>
      <c r="F1810">
        <v>194.41086999999999</v>
      </c>
      <c r="G1810">
        <v>8057327834</v>
      </c>
      <c r="H1810" t="s">
        <v>14</v>
      </c>
    </row>
    <row r="1811" spans="1:8" x14ac:dyDescent="0.3">
      <c r="A1811" t="s">
        <v>321</v>
      </c>
      <c r="B1811" t="s">
        <v>15</v>
      </c>
      <c r="C1811">
        <v>2.6059600000000001</v>
      </c>
      <c r="D1811">
        <v>2.6630199999999999</v>
      </c>
      <c r="E1811">
        <v>2.5433599999999998</v>
      </c>
      <c r="F1811">
        <v>2.5520200000000002</v>
      </c>
      <c r="G1811">
        <v>5094568015</v>
      </c>
      <c r="H1811" t="s">
        <v>16</v>
      </c>
    </row>
    <row r="1812" spans="1:8" x14ac:dyDescent="0.3">
      <c r="A1812" t="s">
        <v>321</v>
      </c>
      <c r="B1812" t="s">
        <v>17</v>
      </c>
      <c r="C1812">
        <v>3980.7590300000002</v>
      </c>
      <c r="D1812">
        <v>4036.3530300000002</v>
      </c>
      <c r="E1812">
        <v>3849.5388200000002</v>
      </c>
      <c r="F1812">
        <v>3903.3530300000002</v>
      </c>
      <c r="G1812">
        <v>35255876156</v>
      </c>
      <c r="H1812" t="s">
        <v>18</v>
      </c>
    </row>
    <row r="1813" spans="1:8" x14ac:dyDescent="0.3">
      <c r="A1813" t="s">
        <v>321</v>
      </c>
      <c r="B1813" t="s">
        <v>19</v>
      </c>
      <c r="C1813">
        <v>1103.1491699999999</v>
      </c>
      <c r="D1813">
        <v>1120.7299800000001</v>
      </c>
      <c r="E1813">
        <v>1089.76819</v>
      </c>
      <c r="F1813">
        <v>1107.1633300000001</v>
      </c>
      <c r="G1813">
        <v>4169218996</v>
      </c>
      <c r="H1813" t="s">
        <v>20</v>
      </c>
    </row>
    <row r="1814" spans="1:8" x14ac:dyDescent="0.3">
      <c r="A1814" t="s">
        <v>322</v>
      </c>
      <c r="B1814" t="s">
        <v>9</v>
      </c>
      <c r="C1814">
        <v>0.64015999999999995</v>
      </c>
      <c r="D1814">
        <v>0.64764999999999995</v>
      </c>
      <c r="E1814">
        <v>0.58877999999999997</v>
      </c>
      <c r="F1814">
        <v>0.60111999999999999</v>
      </c>
      <c r="G1814">
        <v>1228514788</v>
      </c>
      <c r="H1814" t="s">
        <v>10</v>
      </c>
    </row>
    <row r="1815" spans="1:8" x14ac:dyDescent="0.3">
      <c r="A1815" t="s">
        <v>322</v>
      </c>
      <c r="B1815" t="s">
        <v>11</v>
      </c>
      <c r="C1815">
        <v>110059.19530000001</v>
      </c>
      <c r="D1815">
        <v>111612.35159999999</v>
      </c>
      <c r="E1815">
        <v>106376.6875</v>
      </c>
      <c r="F1815">
        <v>108305.5469</v>
      </c>
      <c r="G1815">
        <v>69673964814</v>
      </c>
      <c r="H1815" t="s">
        <v>12</v>
      </c>
    </row>
    <row r="1816" spans="1:8" x14ac:dyDescent="0.3">
      <c r="A1816" t="s">
        <v>322</v>
      </c>
      <c r="B1816" t="s">
        <v>13</v>
      </c>
      <c r="C1816">
        <v>194.40018000000001</v>
      </c>
      <c r="D1816">
        <v>198.03946999999999</v>
      </c>
      <c r="E1816">
        <v>179.22173000000001</v>
      </c>
      <c r="F1816">
        <v>184.62441999999999</v>
      </c>
      <c r="G1816">
        <v>8688393422</v>
      </c>
      <c r="H1816" t="s">
        <v>14</v>
      </c>
    </row>
    <row r="1817" spans="1:8" x14ac:dyDescent="0.3">
      <c r="A1817" t="s">
        <v>322</v>
      </c>
      <c r="B1817" t="s">
        <v>15</v>
      </c>
      <c r="C1817">
        <v>2.55199</v>
      </c>
      <c r="D1817">
        <v>2.5898099999999999</v>
      </c>
      <c r="E1817">
        <v>2.3902899999999998</v>
      </c>
      <c r="F1817">
        <v>2.4397099999999998</v>
      </c>
      <c r="G1817">
        <v>6124183294</v>
      </c>
      <c r="H1817" t="s">
        <v>16</v>
      </c>
    </row>
    <row r="1818" spans="1:8" x14ac:dyDescent="0.3">
      <c r="A1818" t="s">
        <v>322</v>
      </c>
      <c r="B1818" t="s">
        <v>17</v>
      </c>
      <c r="C1818">
        <v>3903.32251</v>
      </c>
      <c r="D1818">
        <v>3948.2226599999999</v>
      </c>
      <c r="E1818">
        <v>3681.90942</v>
      </c>
      <c r="F1818">
        <v>3804.3752399999998</v>
      </c>
      <c r="G1818">
        <v>39981939289</v>
      </c>
      <c r="H1818" t="s">
        <v>18</v>
      </c>
    </row>
    <row r="1819" spans="1:8" x14ac:dyDescent="0.3">
      <c r="A1819" t="s">
        <v>322</v>
      </c>
      <c r="B1819" t="s">
        <v>19</v>
      </c>
      <c r="C1819">
        <v>1107.1619900000001</v>
      </c>
      <c r="D1819">
        <v>1123.6968999999999</v>
      </c>
      <c r="E1819">
        <v>1050.1283000000001</v>
      </c>
      <c r="F1819">
        <v>1078.6114500000001</v>
      </c>
      <c r="G1819">
        <v>4153774666</v>
      </c>
      <c r="H1819" t="s">
        <v>20</v>
      </c>
    </row>
    <row r="1820" spans="1:8" x14ac:dyDescent="0.3">
      <c r="A1820" t="s">
        <v>323</v>
      </c>
      <c r="B1820" t="s">
        <v>9</v>
      </c>
      <c r="C1820">
        <v>0.60114999999999996</v>
      </c>
      <c r="D1820">
        <v>0.61902999999999997</v>
      </c>
      <c r="E1820">
        <v>0.60033999999999998</v>
      </c>
      <c r="F1820">
        <v>0.60916999999999999</v>
      </c>
      <c r="G1820">
        <v>869785976</v>
      </c>
      <c r="H1820" t="s">
        <v>10</v>
      </c>
    </row>
    <row r="1821" spans="1:8" x14ac:dyDescent="0.3">
      <c r="A1821" t="s">
        <v>323</v>
      </c>
      <c r="B1821" t="s">
        <v>11</v>
      </c>
      <c r="C1821">
        <v>108304.41409999999</v>
      </c>
      <c r="D1821">
        <v>111031.82030000001</v>
      </c>
      <c r="E1821">
        <v>108288.27340000001</v>
      </c>
      <c r="F1821">
        <v>109556.16409999999</v>
      </c>
      <c r="G1821">
        <v>60090359560</v>
      </c>
      <c r="H1821" t="s">
        <v>12</v>
      </c>
    </row>
    <row r="1822" spans="1:8" x14ac:dyDescent="0.3">
      <c r="A1822" t="s">
        <v>323</v>
      </c>
      <c r="B1822" t="s">
        <v>13</v>
      </c>
      <c r="C1822">
        <v>184.62895</v>
      </c>
      <c r="D1822">
        <v>189.85353000000001</v>
      </c>
      <c r="E1822">
        <v>184.02078</v>
      </c>
      <c r="F1822">
        <v>187.20947000000001</v>
      </c>
      <c r="G1822">
        <v>5699604751</v>
      </c>
      <c r="H1822" t="s">
        <v>14</v>
      </c>
    </row>
    <row r="1823" spans="1:8" x14ac:dyDescent="0.3">
      <c r="A1823" t="s">
        <v>323</v>
      </c>
      <c r="B1823" t="s">
        <v>15</v>
      </c>
      <c r="C1823">
        <v>2.4397199999999999</v>
      </c>
      <c r="D1823">
        <v>2.5467200000000001</v>
      </c>
      <c r="E1823">
        <v>2.4373499999999999</v>
      </c>
      <c r="F1823">
        <v>2.5087299999999999</v>
      </c>
      <c r="G1823">
        <v>4637688037</v>
      </c>
      <c r="H1823" t="s">
        <v>16</v>
      </c>
    </row>
    <row r="1824" spans="1:8" x14ac:dyDescent="0.3">
      <c r="A1824" t="s">
        <v>323</v>
      </c>
      <c r="B1824" t="s">
        <v>17</v>
      </c>
      <c r="C1824">
        <v>3805.0827599999998</v>
      </c>
      <c r="D1824">
        <v>3900.58032</v>
      </c>
      <c r="E1824">
        <v>3797.6691900000001</v>
      </c>
      <c r="F1824">
        <v>3847.08032</v>
      </c>
      <c r="G1824">
        <v>37800100395</v>
      </c>
      <c r="H1824" t="s">
        <v>18</v>
      </c>
    </row>
    <row r="1825" spans="1:8" x14ac:dyDescent="0.3">
      <c r="A1825" t="s">
        <v>323</v>
      </c>
      <c r="B1825" t="s">
        <v>19</v>
      </c>
      <c r="C1825">
        <v>1078.6125500000001</v>
      </c>
      <c r="D1825">
        <v>1104.24756</v>
      </c>
      <c r="E1825">
        <v>1073.45398</v>
      </c>
      <c r="F1825">
        <v>1088.95544</v>
      </c>
      <c r="G1825">
        <v>4399392720</v>
      </c>
      <c r="H1825" t="s">
        <v>20</v>
      </c>
    </row>
    <row r="1826" spans="1:8" x14ac:dyDescent="0.3">
      <c r="A1826" t="s">
        <v>324</v>
      </c>
      <c r="B1826" t="s">
        <v>9</v>
      </c>
      <c r="C1826">
        <v>0.60916999999999999</v>
      </c>
      <c r="D1826">
        <v>0.61655000000000004</v>
      </c>
      <c r="E1826">
        <v>0.60482000000000002</v>
      </c>
      <c r="F1826">
        <v>0.61219999999999997</v>
      </c>
      <c r="G1826">
        <v>496102908</v>
      </c>
      <c r="H1826" t="s">
        <v>10</v>
      </c>
    </row>
    <row r="1827" spans="1:8" x14ac:dyDescent="0.3">
      <c r="A1827" t="s">
        <v>324</v>
      </c>
      <c r="B1827" t="s">
        <v>11</v>
      </c>
      <c r="C1827">
        <v>109558.625</v>
      </c>
      <c r="D1827">
        <v>110574.89840000001</v>
      </c>
      <c r="E1827">
        <v>109372.9531</v>
      </c>
      <c r="F1827">
        <v>110064.0156</v>
      </c>
      <c r="G1827">
        <v>25871668762</v>
      </c>
      <c r="H1827" t="s">
        <v>12</v>
      </c>
    </row>
    <row r="1828" spans="1:8" x14ac:dyDescent="0.3">
      <c r="A1828" t="s">
        <v>324</v>
      </c>
      <c r="B1828" t="s">
        <v>13</v>
      </c>
      <c r="C1828">
        <v>187.20926</v>
      </c>
      <c r="D1828">
        <v>187.34557000000001</v>
      </c>
      <c r="E1828">
        <v>184.06209000000001</v>
      </c>
      <c r="F1828">
        <v>186.38005000000001</v>
      </c>
      <c r="G1828">
        <v>2742470897</v>
      </c>
      <c r="H1828" t="s">
        <v>14</v>
      </c>
    </row>
    <row r="1829" spans="1:8" x14ac:dyDescent="0.3">
      <c r="A1829" t="s">
        <v>324</v>
      </c>
      <c r="B1829" t="s">
        <v>15</v>
      </c>
      <c r="C1829">
        <v>2.5087299999999999</v>
      </c>
      <c r="D1829">
        <v>2.5210300000000001</v>
      </c>
      <c r="E1829">
        <v>2.4799899999999999</v>
      </c>
      <c r="F1829">
        <v>2.5051700000000001</v>
      </c>
      <c r="G1829">
        <v>1999237389</v>
      </c>
      <c r="H1829" t="s">
        <v>16</v>
      </c>
    </row>
    <row r="1830" spans="1:8" x14ac:dyDescent="0.3">
      <c r="A1830" t="s">
        <v>324</v>
      </c>
      <c r="B1830" t="s">
        <v>17</v>
      </c>
      <c r="C1830">
        <v>3847.17139</v>
      </c>
      <c r="D1830">
        <v>3906.7802700000002</v>
      </c>
      <c r="E1830">
        <v>3832.6347700000001</v>
      </c>
      <c r="F1830">
        <v>3874.1879899999999</v>
      </c>
      <c r="G1830">
        <v>17490279524</v>
      </c>
      <c r="H1830" t="s">
        <v>18</v>
      </c>
    </row>
    <row r="1831" spans="1:8" x14ac:dyDescent="0.3">
      <c r="A1831" t="s">
        <v>324</v>
      </c>
      <c r="B1831" t="s">
        <v>19</v>
      </c>
      <c r="C1831">
        <v>1088.94434</v>
      </c>
      <c r="D1831">
        <v>1097.1381799999999</v>
      </c>
      <c r="E1831">
        <v>1082.4669200000001</v>
      </c>
      <c r="F1831">
        <v>1094.6423299999999</v>
      </c>
      <c r="G1831">
        <v>2138185589</v>
      </c>
      <c r="H1831" t="s">
        <v>20</v>
      </c>
    </row>
    <row r="1832" spans="1:8" x14ac:dyDescent="0.3">
      <c r="A1832" t="s">
        <v>325</v>
      </c>
      <c r="B1832" t="s">
        <v>9</v>
      </c>
      <c r="C1832">
        <v>0.61219999999999997</v>
      </c>
      <c r="D1832">
        <v>0.61812</v>
      </c>
      <c r="E1832">
        <v>0.59486000000000006</v>
      </c>
      <c r="F1832">
        <v>0.61080000000000001</v>
      </c>
      <c r="G1832">
        <v>566990964</v>
      </c>
      <c r="H1832" t="s">
        <v>10</v>
      </c>
    </row>
    <row r="1833" spans="1:8" x14ac:dyDescent="0.3">
      <c r="A1833" t="s">
        <v>325</v>
      </c>
      <c r="B1833" t="s">
        <v>11</v>
      </c>
      <c r="C1833">
        <v>110064.42969999999</v>
      </c>
      <c r="D1833">
        <v>111167.3125</v>
      </c>
      <c r="E1833">
        <v>109523.4531</v>
      </c>
      <c r="F1833">
        <v>110639.625</v>
      </c>
      <c r="G1833">
        <v>34284209459</v>
      </c>
      <c r="H1833" t="s">
        <v>12</v>
      </c>
    </row>
    <row r="1834" spans="1:8" x14ac:dyDescent="0.3">
      <c r="A1834" t="s">
        <v>325</v>
      </c>
      <c r="B1834" t="s">
        <v>13</v>
      </c>
      <c r="C1834">
        <v>186.37965</v>
      </c>
      <c r="D1834">
        <v>188.14152999999999</v>
      </c>
      <c r="E1834">
        <v>182.82925</v>
      </c>
      <c r="F1834">
        <v>187.82597000000001</v>
      </c>
      <c r="G1834">
        <v>3213989849</v>
      </c>
      <c r="H1834" t="s">
        <v>14</v>
      </c>
    </row>
    <row r="1835" spans="1:8" x14ac:dyDescent="0.3">
      <c r="A1835" t="s">
        <v>325</v>
      </c>
      <c r="B1835" t="s">
        <v>15</v>
      </c>
      <c r="C1835">
        <v>2.5052099999999999</v>
      </c>
      <c r="D1835">
        <v>2.5460199999999999</v>
      </c>
      <c r="E1835">
        <v>2.4795099999999999</v>
      </c>
      <c r="F1835">
        <v>2.5290900000000001</v>
      </c>
      <c r="G1835">
        <v>2469844986</v>
      </c>
      <c r="H1835" t="s">
        <v>16</v>
      </c>
    </row>
    <row r="1836" spans="1:8" x14ac:dyDescent="0.3">
      <c r="A1836" t="s">
        <v>325</v>
      </c>
      <c r="B1836" t="s">
        <v>17</v>
      </c>
      <c r="C1836">
        <v>3873.8942900000002</v>
      </c>
      <c r="D1836">
        <v>3914.8754899999999</v>
      </c>
      <c r="E1836">
        <v>3839.9973100000002</v>
      </c>
      <c r="F1836">
        <v>3911.0632300000002</v>
      </c>
      <c r="G1836">
        <v>20479611654</v>
      </c>
      <c r="H1836" t="s">
        <v>18</v>
      </c>
    </row>
    <row r="1837" spans="1:8" x14ac:dyDescent="0.3">
      <c r="A1837" t="s">
        <v>325</v>
      </c>
      <c r="B1837" t="s">
        <v>19</v>
      </c>
      <c r="C1837">
        <v>1094.64148</v>
      </c>
      <c r="D1837">
        <v>1094.64453</v>
      </c>
      <c r="E1837">
        <v>1073.65308</v>
      </c>
      <c r="F1837">
        <v>1084.35986</v>
      </c>
      <c r="G1837">
        <v>2049912244</v>
      </c>
      <c r="H1837" t="s">
        <v>20</v>
      </c>
    </row>
    <row r="1838" spans="1:8" x14ac:dyDescent="0.3">
      <c r="A1838" t="s">
        <v>326</v>
      </c>
      <c r="B1838" t="s">
        <v>9</v>
      </c>
      <c r="C1838">
        <v>0.61079000000000006</v>
      </c>
      <c r="D1838">
        <v>0.61094999999999999</v>
      </c>
      <c r="E1838">
        <v>0.54147000000000001</v>
      </c>
      <c r="F1838">
        <v>0.55230999999999997</v>
      </c>
      <c r="G1838">
        <v>1542270537</v>
      </c>
      <c r="H1838" t="s">
        <v>10</v>
      </c>
    </row>
    <row r="1839" spans="1:8" x14ac:dyDescent="0.3">
      <c r="A1839" t="s">
        <v>326</v>
      </c>
      <c r="B1839" t="s">
        <v>11</v>
      </c>
      <c r="C1839">
        <v>110646.9063</v>
      </c>
      <c r="D1839">
        <v>110764.91409999999</v>
      </c>
      <c r="E1839">
        <v>105336.3594</v>
      </c>
      <c r="F1839">
        <v>106547.52340000001</v>
      </c>
      <c r="G1839">
        <v>72852006359</v>
      </c>
      <c r="H1839" t="s">
        <v>12</v>
      </c>
    </row>
    <row r="1840" spans="1:8" x14ac:dyDescent="0.3">
      <c r="A1840" t="s">
        <v>326</v>
      </c>
      <c r="B1840" t="s">
        <v>13</v>
      </c>
      <c r="C1840">
        <v>187.82605000000001</v>
      </c>
      <c r="D1840">
        <v>188.74121</v>
      </c>
      <c r="E1840">
        <v>163.54528999999999</v>
      </c>
      <c r="F1840">
        <v>166.0907</v>
      </c>
      <c r="G1840">
        <v>10083921329</v>
      </c>
      <c r="H1840" t="s">
        <v>14</v>
      </c>
    </row>
    <row r="1841" spans="1:8" x14ac:dyDescent="0.3">
      <c r="A1841" t="s">
        <v>326</v>
      </c>
      <c r="B1841" t="s">
        <v>15</v>
      </c>
      <c r="C1841">
        <v>2.52895</v>
      </c>
      <c r="D1841">
        <v>2.52976</v>
      </c>
      <c r="E1841">
        <v>2.2659699999999998</v>
      </c>
      <c r="F1841">
        <v>2.30938</v>
      </c>
      <c r="G1841">
        <v>6581778268</v>
      </c>
      <c r="H1841" t="s">
        <v>16</v>
      </c>
    </row>
    <row r="1842" spans="1:8" x14ac:dyDescent="0.3">
      <c r="A1842" t="s">
        <v>326</v>
      </c>
      <c r="B1842" t="s">
        <v>17</v>
      </c>
      <c r="C1842">
        <v>3911.7478000000001</v>
      </c>
      <c r="D1842">
        <v>3912.6333</v>
      </c>
      <c r="E1842">
        <v>3560.2636699999998</v>
      </c>
      <c r="F1842">
        <v>3602.3081099999999</v>
      </c>
      <c r="G1842">
        <v>53091469560</v>
      </c>
      <c r="H1842" t="s">
        <v>18</v>
      </c>
    </row>
    <row r="1843" spans="1:8" x14ac:dyDescent="0.3">
      <c r="A1843" t="s">
        <v>326</v>
      </c>
      <c r="B1843" t="s">
        <v>19</v>
      </c>
      <c r="C1843">
        <v>1084.3364300000001</v>
      </c>
      <c r="D1843">
        <v>1086.59448</v>
      </c>
      <c r="E1843">
        <v>975.79614000000004</v>
      </c>
      <c r="F1843">
        <v>992.53539999999998</v>
      </c>
      <c r="G1843">
        <v>4849653054</v>
      </c>
      <c r="H1843" t="s">
        <v>20</v>
      </c>
    </row>
    <row r="1844" spans="1:8" x14ac:dyDescent="0.3">
      <c r="A1844" t="s">
        <v>327</v>
      </c>
      <c r="B1844" t="s">
        <v>9</v>
      </c>
      <c r="C1844">
        <v>0.55230999999999997</v>
      </c>
      <c r="D1844">
        <v>0.56244000000000005</v>
      </c>
      <c r="E1844">
        <v>0.49339</v>
      </c>
      <c r="F1844">
        <v>0.52149999999999996</v>
      </c>
      <c r="G1844">
        <v>1869312291</v>
      </c>
      <c r="H1844" t="s">
        <v>10</v>
      </c>
    </row>
    <row r="1845" spans="1:8" x14ac:dyDescent="0.3">
      <c r="A1845" t="s">
        <v>327</v>
      </c>
      <c r="B1845" t="s">
        <v>11</v>
      </c>
      <c r="C1845">
        <v>106541.4219</v>
      </c>
      <c r="D1845">
        <v>107264.88280000001</v>
      </c>
      <c r="E1845">
        <v>98962.0625</v>
      </c>
      <c r="F1845">
        <v>101590.52340000001</v>
      </c>
      <c r="G1845">
        <v>111000000000</v>
      </c>
      <c r="H1845" t="s">
        <v>12</v>
      </c>
    </row>
    <row r="1846" spans="1:8" x14ac:dyDescent="0.3">
      <c r="A1846" t="s">
        <v>327</v>
      </c>
      <c r="B1846" t="s">
        <v>13</v>
      </c>
      <c r="C1846">
        <v>166.09554</v>
      </c>
      <c r="D1846">
        <v>168.2003</v>
      </c>
      <c r="E1846">
        <v>146.74956</v>
      </c>
      <c r="F1846">
        <v>155.40317999999999</v>
      </c>
      <c r="G1846">
        <v>11720472283</v>
      </c>
      <c r="H1846" t="s">
        <v>14</v>
      </c>
    </row>
    <row r="1847" spans="1:8" x14ac:dyDescent="0.3">
      <c r="A1847" t="s">
        <v>327</v>
      </c>
      <c r="B1847" t="s">
        <v>15</v>
      </c>
      <c r="C1847">
        <v>2.3093499999999998</v>
      </c>
      <c r="D1847">
        <v>2.3605299999999998</v>
      </c>
      <c r="E1847">
        <v>2.0761500000000002</v>
      </c>
      <c r="F1847">
        <v>2.21062</v>
      </c>
      <c r="G1847">
        <v>9860892049</v>
      </c>
      <c r="H1847" t="s">
        <v>16</v>
      </c>
    </row>
    <row r="1848" spans="1:8" x14ac:dyDescent="0.3">
      <c r="A1848" t="s">
        <v>327</v>
      </c>
      <c r="B1848" t="s">
        <v>17</v>
      </c>
      <c r="C1848">
        <v>3602.0407700000001</v>
      </c>
      <c r="D1848">
        <v>3652.6872600000002</v>
      </c>
      <c r="E1848">
        <v>3063.08691</v>
      </c>
      <c r="F1848">
        <v>3292.5744599999998</v>
      </c>
      <c r="G1848">
        <v>76827517773</v>
      </c>
      <c r="H1848" t="s">
        <v>18</v>
      </c>
    </row>
    <row r="1849" spans="1:8" x14ac:dyDescent="0.3">
      <c r="A1849" t="s">
        <v>327</v>
      </c>
      <c r="B1849" t="s">
        <v>19</v>
      </c>
      <c r="C1849">
        <v>992.55187999999998</v>
      </c>
      <c r="D1849">
        <v>1000.19861</v>
      </c>
      <c r="E1849">
        <v>886.38544000000002</v>
      </c>
      <c r="F1849">
        <v>937.89324999999997</v>
      </c>
      <c r="G1849">
        <v>5824529918</v>
      </c>
      <c r="H1849" t="s">
        <v>20</v>
      </c>
    </row>
    <row r="1850" spans="1:8" x14ac:dyDescent="0.3">
      <c r="A1850" t="s">
        <v>328</v>
      </c>
      <c r="B1850" t="s">
        <v>9</v>
      </c>
      <c r="C1850">
        <v>0.52149000000000001</v>
      </c>
      <c r="D1850">
        <v>0.54891999999999996</v>
      </c>
      <c r="E1850">
        <v>0.49752999999999997</v>
      </c>
      <c r="F1850">
        <v>0.54615000000000002</v>
      </c>
      <c r="G1850">
        <v>1137029829</v>
      </c>
      <c r="H1850" t="s">
        <v>10</v>
      </c>
    </row>
    <row r="1851" spans="1:8" x14ac:dyDescent="0.3">
      <c r="A1851" t="s">
        <v>328</v>
      </c>
      <c r="B1851" t="s">
        <v>11</v>
      </c>
      <c r="C1851">
        <v>101579.2344</v>
      </c>
      <c r="D1851">
        <v>104534.7031</v>
      </c>
      <c r="E1851">
        <v>98989.914059999996</v>
      </c>
      <c r="F1851">
        <v>103891.83590000001</v>
      </c>
      <c r="G1851">
        <v>77584934804</v>
      </c>
      <c r="H1851" t="s">
        <v>12</v>
      </c>
    </row>
    <row r="1852" spans="1:8" x14ac:dyDescent="0.3">
      <c r="A1852" t="s">
        <v>328</v>
      </c>
      <c r="B1852" t="s">
        <v>13</v>
      </c>
      <c r="C1852">
        <v>155.39946</v>
      </c>
      <c r="D1852">
        <v>163.65787</v>
      </c>
      <c r="E1852">
        <v>147.89247</v>
      </c>
      <c r="F1852">
        <v>162.56607</v>
      </c>
      <c r="G1852">
        <v>7278004532</v>
      </c>
      <c r="H1852" t="s">
        <v>14</v>
      </c>
    </row>
    <row r="1853" spans="1:8" x14ac:dyDescent="0.3">
      <c r="A1853" t="s">
        <v>328</v>
      </c>
      <c r="B1853" t="s">
        <v>15</v>
      </c>
      <c r="C1853">
        <v>2.21062</v>
      </c>
      <c r="D1853">
        <v>2.3712900000000001</v>
      </c>
      <c r="E1853">
        <v>2.1093199999999999</v>
      </c>
      <c r="F1853">
        <v>2.3452299999999999</v>
      </c>
      <c r="G1853">
        <v>6893540144</v>
      </c>
      <c r="H1853" t="s">
        <v>16</v>
      </c>
    </row>
    <row r="1854" spans="1:8" x14ac:dyDescent="0.3">
      <c r="A1854" t="s">
        <v>328</v>
      </c>
      <c r="B1854" t="s">
        <v>17</v>
      </c>
      <c r="C1854">
        <v>3292.1481899999999</v>
      </c>
      <c r="D1854">
        <v>3479.8095699999999</v>
      </c>
      <c r="E1854">
        <v>3170.5139199999999</v>
      </c>
      <c r="F1854">
        <v>3425.1711399999999</v>
      </c>
      <c r="G1854">
        <v>46955882330</v>
      </c>
      <c r="H1854" t="s">
        <v>18</v>
      </c>
    </row>
    <row r="1855" spans="1:8" x14ac:dyDescent="0.3">
      <c r="A1855" t="s">
        <v>328</v>
      </c>
      <c r="B1855" t="s">
        <v>19</v>
      </c>
      <c r="C1855">
        <v>937.88232000000005</v>
      </c>
      <c r="D1855">
        <v>966.80395999999996</v>
      </c>
      <c r="E1855">
        <v>903.86926000000005</v>
      </c>
      <c r="F1855">
        <v>959.95105000000001</v>
      </c>
      <c r="G1855">
        <v>3816276917</v>
      </c>
      <c r="H1855" t="s">
        <v>20</v>
      </c>
    </row>
    <row r="1856" spans="1:8" x14ac:dyDescent="0.3">
      <c r="A1856" t="s">
        <v>329</v>
      </c>
      <c r="B1856" t="s">
        <v>9</v>
      </c>
      <c r="C1856">
        <v>0.54613999999999996</v>
      </c>
      <c r="D1856">
        <v>0.54613999999999996</v>
      </c>
      <c r="E1856">
        <v>0.51898</v>
      </c>
      <c r="F1856">
        <v>0.53098000000000001</v>
      </c>
      <c r="G1856">
        <v>872096877</v>
      </c>
      <c r="H1856" t="s">
        <v>10</v>
      </c>
    </row>
    <row r="1857" spans="1:8" x14ac:dyDescent="0.3">
      <c r="A1857" t="s">
        <v>329</v>
      </c>
      <c r="B1857" t="s">
        <v>11</v>
      </c>
      <c r="C1857">
        <v>103893.66409999999</v>
      </c>
      <c r="D1857">
        <v>104147.30469999999</v>
      </c>
      <c r="E1857">
        <v>100336.86719999999</v>
      </c>
      <c r="F1857">
        <v>101301.28909999999</v>
      </c>
      <c r="G1857">
        <v>63932752861</v>
      </c>
      <c r="H1857" t="s">
        <v>12</v>
      </c>
    </row>
    <row r="1858" spans="1:8" x14ac:dyDescent="0.3">
      <c r="A1858" t="s">
        <v>329</v>
      </c>
      <c r="B1858" t="s">
        <v>13</v>
      </c>
      <c r="C1858">
        <v>162.56339</v>
      </c>
      <c r="D1858">
        <v>162.77930000000001</v>
      </c>
      <c r="E1858">
        <v>153.79433</v>
      </c>
      <c r="F1858">
        <v>155.06592000000001</v>
      </c>
      <c r="G1858">
        <v>5543550041</v>
      </c>
      <c r="H1858" t="s">
        <v>14</v>
      </c>
    </row>
    <row r="1859" spans="1:8" x14ac:dyDescent="0.3">
      <c r="A1859" t="s">
        <v>329</v>
      </c>
      <c r="B1859" t="s">
        <v>15</v>
      </c>
      <c r="C1859">
        <v>2.3452099999999998</v>
      </c>
      <c r="D1859">
        <v>2.3857699999999999</v>
      </c>
      <c r="E1859">
        <v>2.1859899999999999</v>
      </c>
      <c r="F1859">
        <v>2.2108500000000002</v>
      </c>
      <c r="G1859">
        <v>5711117897</v>
      </c>
      <c r="H1859" t="s">
        <v>16</v>
      </c>
    </row>
    <row r="1860" spans="1:8" x14ac:dyDescent="0.3">
      <c r="A1860" t="s">
        <v>329</v>
      </c>
      <c r="B1860" t="s">
        <v>17</v>
      </c>
      <c r="C1860">
        <v>3425.3610800000001</v>
      </c>
      <c r="D1860">
        <v>3454.3359399999999</v>
      </c>
      <c r="E1860">
        <v>3245.2817399999999</v>
      </c>
      <c r="F1860">
        <v>3312.2578100000001</v>
      </c>
      <c r="G1860">
        <v>36731850433</v>
      </c>
      <c r="H1860" t="s">
        <v>18</v>
      </c>
    </row>
    <row r="1861" spans="1:8" x14ac:dyDescent="0.3">
      <c r="A1861" t="s">
        <v>329</v>
      </c>
      <c r="B1861" t="s">
        <v>19</v>
      </c>
      <c r="C1861">
        <v>959.95343000000003</v>
      </c>
      <c r="D1861">
        <v>964.33123999999998</v>
      </c>
      <c r="E1861">
        <v>927.44524999999999</v>
      </c>
      <c r="F1861">
        <v>949.18047999999999</v>
      </c>
      <c r="G1861">
        <v>2798073439</v>
      </c>
      <c r="H1861" t="s">
        <v>20</v>
      </c>
    </row>
    <row r="1862" spans="1:8" x14ac:dyDescent="0.3">
      <c r="A1862" t="s">
        <v>330</v>
      </c>
      <c r="B1862" t="s">
        <v>9</v>
      </c>
      <c r="C1862">
        <v>0.53098999999999996</v>
      </c>
      <c r="D1862">
        <v>0.58550999999999997</v>
      </c>
      <c r="E1862">
        <v>0.52081</v>
      </c>
      <c r="F1862">
        <v>0.57601000000000002</v>
      </c>
      <c r="G1862">
        <v>1278710472</v>
      </c>
      <c r="H1862" t="s">
        <v>10</v>
      </c>
    </row>
    <row r="1863" spans="1:8" x14ac:dyDescent="0.3">
      <c r="A1863" t="s">
        <v>330</v>
      </c>
      <c r="B1863" t="s">
        <v>11</v>
      </c>
      <c r="C1863">
        <v>101286.24219999999</v>
      </c>
      <c r="D1863">
        <v>104052.91409999999</v>
      </c>
      <c r="E1863">
        <v>99257.054690000004</v>
      </c>
      <c r="F1863">
        <v>103372.4063</v>
      </c>
      <c r="G1863">
        <v>92168030081</v>
      </c>
      <c r="H1863" t="s">
        <v>12</v>
      </c>
    </row>
    <row r="1864" spans="1:8" x14ac:dyDescent="0.3">
      <c r="A1864" t="s">
        <v>330</v>
      </c>
      <c r="B1864" t="s">
        <v>13</v>
      </c>
      <c r="C1864">
        <v>155.06640999999999</v>
      </c>
      <c r="D1864">
        <v>164.09254000000001</v>
      </c>
      <c r="E1864">
        <v>150.44388000000001</v>
      </c>
      <c r="F1864">
        <v>161.70818</v>
      </c>
      <c r="G1864">
        <v>6565811742</v>
      </c>
      <c r="H1864" t="s">
        <v>14</v>
      </c>
    </row>
    <row r="1865" spans="1:8" x14ac:dyDescent="0.3">
      <c r="A1865" t="s">
        <v>330</v>
      </c>
      <c r="B1865" t="s">
        <v>15</v>
      </c>
      <c r="C1865">
        <v>2.2108500000000002</v>
      </c>
      <c r="D1865">
        <v>2.3664299999999998</v>
      </c>
      <c r="E1865">
        <v>2.15802</v>
      </c>
      <c r="F1865">
        <v>2.3141600000000002</v>
      </c>
      <c r="G1865">
        <v>5982883574</v>
      </c>
      <c r="H1865" t="s">
        <v>16</v>
      </c>
    </row>
    <row r="1866" spans="1:8" x14ac:dyDescent="0.3">
      <c r="A1866" t="s">
        <v>330</v>
      </c>
      <c r="B1866" t="s">
        <v>17</v>
      </c>
      <c r="C1866">
        <v>3312.0293000000001</v>
      </c>
      <c r="D1866">
        <v>3471.8049299999998</v>
      </c>
      <c r="E1866">
        <v>3195.8967299999999</v>
      </c>
      <c r="F1866">
        <v>3435.3010300000001</v>
      </c>
      <c r="G1866">
        <v>42609994022</v>
      </c>
      <c r="H1866" t="s">
        <v>18</v>
      </c>
    </row>
    <row r="1867" spans="1:8" x14ac:dyDescent="0.3">
      <c r="A1867" t="s">
        <v>330</v>
      </c>
      <c r="B1867" t="s">
        <v>19</v>
      </c>
      <c r="C1867">
        <v>949.20721000000003</v>
      </c>
      <c r="D1867">
        <v>994.41283999999996</v>
      </c>
      <c r="E1867">
        <v>927.10986000000003</v>
      </c>
      <c r="F1867">
        <v>990.55237</v>
      </c>
      <c r="G1867">
        <v>3614944089</v>
      </c>
      <c r="H1867" t="s">
        <v>20</v>
      </c>
    </row>
    <row r="1868" spans="1:8" x14ac:dyDescent="0.3">
      <c r="A1868" t="s">
        <v>331</v>
      </c>
      <c r="B1868" t="s">
        <v>9</v>
      </c>
      <c r="C1868">
        <v>0.57596999999999998</v>
      </c>
      <c r="D1868">
        <v>0.59148999999999996</v>
      </c>
      <c r="E1868">
        <v>0.55501</v>
      </c>
      <c r="F1868">
        <v>0.56842000000000004</v>
      </c>
      <c r="G1868">
        <v>784247690</v>
      </c>
      <c r="H1868" t="s">
        <v>10</v>
      </c>
    </row>
    <row r="1869" spans="1:8" x14ac:dyDescent="0.3">
      <c r="A1869" t="s">
        <v>331</v>
      </c>
      <c r="B1869" t="s">
        <v>11</v>
      </c>
      <c r="C1869">
        <v>103371.7031</v>
      </c>
      <c r="D1869">
        <v>103373.5625</v>
      </c>
      <c r="E1869">
        <v>101458.03909999999</v>
      </c>
      <c r="F1869">
        <v>102282.11719999999</v>
      </c>
      <c r="G1869">
        <v>51446691095</v>
      </c>
      <c r="H1869" t="s">
        <v>12</v>
      </c>
    </row>
    <row r="1870" spans="1:8" x14ac:dyDescent="0.3">
      <c r="A1870" t="s">
        <v>331</v>
      </c>
      <c r="B1870" t="s">
        <v>13</v>
      </c>
      <c r="C1870">
        <v>161.70853</v>
      </c>
      <c r="D1870">
        <v>164.70510999999999</v>
      </c>
      <c r="E1870">
        <v>156.08547999999999</v>
      </c>
      <c r="F1870">
        <v>158.10251</v>
      </c>
      <c r="G1870">
        <v>3777278818</v>
      </c>
      <c r="H1870" t="s">
        <v>14</v>
      </c>
    </row>
    <row r="1871" spans="1:8" x14ac:dyDescent="0.3">
      <c r="A1871" t="s">
        <v>331</v>
      </c>
      <c r="B1871" t="s">
        <v>15</v>
      </c>
      <c r="C1871">
        <v>2.3142100000000001</v>
      </c>
      <c r="D1871">
        <v>2.3326899999999999</v>
      </c>
      <c r="E1871">
        <v>2.2471100000000002</v>
      </c>
      <c r="F1871">
        <v>2.2848899999999999</v>
      </c>
      <c r="G1871">
        <v>3186759680</v>
      </c>
      <c r="H1871" t="s">
        <v>16</v>
      </c>
    </row>
    <row r="1872" spans="1:8" x14ac:dyDescent="0.3">
      <c r="A1872" t="s">
        <v>331</v>
      </c>
      <c r="B1872" t="s">
        <v>17</v>
      </c>
      <c r="C1872">
        <v>3435.1474600000001</v>
      </c>
      <c r="D1872">
        <v>3482.2683099999999</v>
      </c>
      <c r="E1872">
        <v>3357.7131399999998</v>
      </c>
      <c r="F1872">
        <v>3400.3759799999998</v>
      </c>
      <c r="G1872">
        <v>23613870398</v>
      </c>
      <c r="H1872" t="s">
        <v>18</v>
      </c>
    </row>
    <row r="1873" spans="1:8" x14ac:dyDescent="0.3">
      <c r="A1873" t="s">
        <v>331</v>
      </c>
      <c r="B1873" t="s">
        <v>19</v>
      </c>
      <c r="C1873">
        <v>990.58190999999999</v>
      </c>
      <c r="D1873">
        <v>1005.86359</v>
      </c>
      <c r="E1873">
        <v>981.11176</v>
      </c>
      <c r="F1873">
        <v>990.22271999999998</v>
      </c>
      <c r="G1873">
        <v>2913804232</v>
      </c>
      <c r="H1873" t="s">
        <v>20</v>
      </c>
    </row>
    <row r="1874" spans="1:8" x14ac:dyDescent="0.3">
      <c r="A1874" t="s">
        <v>332</v>
      </c>
      <c r="B1874" t="s">
        <v>9</v>
      </c>
      <c r="C1874">
        <v>0.56845000000000001</v>
      </c>
      <c r="D1874">
        <v>0.58347000000000004</v>
      </c>
      <c r="E1874">
        <v>0.54947000000000001</v>
      </c>
      <c r="F1874">
        <v>0.57862999999999998</v>
      </c>
      <c r="G1874">
        <v>714096111</v>
      </c>
      <c r="H1874" t="s">
        <v>10</v>
      </c>
    </row>
    <row r="1875" spans="1:8" x14ac:dyDescent="0.3">
      <c r="A1875" t="s">
        <v>332</v>
      </c>
      <c r="B1875" t="s">
        <v>11</v>
      </c>
      <c r="C1875">
        <v>102278.9844</v>
      </c>
      <c r="D1875">
        <v>105418.36719999999</v>
      </c>
      <c r="E1875">
        <v>101468.875</v>
      </c>
      <c r="F1875">
        <v>104719.6406</v>
      </c>
      <c r="G1875">
        <v>59679243013</v>
      </c>
      <c r="H1875" t="s">
        <v>12</v>
      </c>
    </row>
    <row r="1876" spans="1:8" x14ac:dyDescent="0.3">
      <c r="A1876" t="s">
        <v>332</v>
      </c>
      <c r="B1876" t="s">
        <v>13</v>
      </c>
      <c r="C1876">
        <v>158.10298</v>
      </c>
      <c r="D1876">
        <v>166.23103</v>
      </c>
      <c r="E1876">
        <v>155.38453999999999</v>
      </c>
      <c r="F1876">
        <v>164.45384000000001</v>
      </c>
      <c r="G1876">
        <v>4538025398</v>
      </c>
      <c r="H1876" t="s">
        <v>14</v>
      </c>
    </row>
    <row r="1877" spans="1:8" x14ac:dyDescent="0.3">
      <c r="A1877" t="s">
        <v>332</v>
      </c>
      <c r="B1877" t="s">
        <v>15</v>
      </c>
      <c r="C1877">
        <v>2.2849200000000001</v>
      </c>
      <c r="D1877">
        <v>2.3777300000000001</v>
      </c>
      <c r="E1877">
        <v>2.24383</v>
      </c>
      <c r="F1877">
        <v>2.3676599999999999</v>
      </c>
      <c r="G1877">
        <v>3226988283</v>
      </c>
      <c r="H1877" t="s">
        <v>16</v>
      </c>
    </row>
    <row r="1878" spans="1:8" x14ac:dyDescent="0.3">
      <c r="A1878" t="s">
        <v>332</v>
      </c>
      <c r="B1878" t="s">
        <v>17</v>
      </c>
      <c r="C1878">
        <v>3400.09863</v>
      </c>
      <c r="D1878">
        <v>3616.4370100000001</v>
      </c>
      <c r="E1878">
        <v>3359.7175299999999</v>
      </c>
      <c r="F1878">
        <v>3582.6213400000001</v>
      </c>
      <c r="G1878">
        <v>28821543888</v>
      </c>
      <c r="H1878" t="s">
        <v>18</v>
      </c>
    </row>
    <row r="1879" spans="1:8" x14ac:dyDescent="0.3">
      <c r="A1879" t="s">
        <v>332</v>
      </c>
      <c r="B1879" t="s">
        <v>19</v>
      </c>
      <c r="C1879">
        <v>990.23108000000002</v>
      </c>
      <c r="D1879">
        <v>1005.93848</v>
      </c>
      <c r="E1879">
        <v>977.64404000000002</v>
      </c>
      <c r="F1879">
        <v>996.57983000000002</v>
      </c>
      <c r="G1879">
        <v>2642212274</v>
      </c>
      <c r="H1879" t="s">
        <v>20</v>
      </c>
    </row>
    <row r="1880" spans="1:8" x14ac:dyDescent="0.3">
      <c r="A1880" t="s">
        <v>333</v>
      </c>
      <c r="B1880" t="s">
        <v>9</v>
      </c>
      <c r="C1880">
        <v>0.57867000000000002</v>
      </c>
      <c r="D1880">
        <v>0.60128000000000004</v>
      </c>
      <c r="E1880">
        <v>0.57647999999999999</v>
      </c>
      <c r="F1880">
        <v>0.59297</v>
      </c>
      <c r="G1880">
        <v>831314134</v>
      </c>
      <c r="H1880" t="s">
        <v>10</v>
      </c>
    </row>
    <row r="1881" spans="1:8" x14ac:dyDescent="0.3">
      <c r="A1881" t="s">
        <v>333</v>
      </c>
      <c r="B1881" t="s">
        <v>11</v>
      </c>
      <c r="C1881">
        <v>104723.77340000001</v>
      </c>
      <c r="D1881">
        <v>106564.69530000001</v>
      </c>
      <c r="E1881">
        <v>104350.64840000001</v>
      </c>
      <c r="F1881">
        <v>105996.5938</v>
      </c>
      <c r="G1881">
        <v>69585887229</v>
      </c>
      <c r="H1881" t="s">
        <v>12</v>
      </c>
    </row>
    <row r="1882" spans="1:8" x14ac:dyDescent="0.3">
      <c r="A1882" t="s">
        <v>333</v>
      </c>
      <c r="B1882" t="s">
        <v>13</v>
      </c>
      <c r="C1882">
        <v>164.45125999999999</v>
      </c>
      <c r="D1882">
        <v>170.15529000000001</v>
      </c>
      <c r="E1882">
        <v>163.85640000000001</v>
      </c>
      <c r="F1882">
        <v>167.36699999999999</v>
      </c>
      <c r="G1882">
        <v>5424364139</v>
      </c>
      <c r="H1882" t="s">
        <v>14</v>
      </c>
    </row>
    <row r="1883" spans="1:8" x14ac:dyDescent="0.3">
      <c r="A1883" t="s">
        <v>333</v>
      </c>
      <c r="B1883" t="s">
        <v>15</v>
      </c>
      <c r="C1883">
        <v>2.3676499999999998</v>
      </c>
      <c r="D1883">
        <v>2.5771799999999998</v>
      </c>
      <c r="E1883">
        <v>2.3561800000000002</v>
      </c>
      <c r="F1883">
        <v>2.52637</v>
      </c>
      <c r="G1883">
        <v>6474566793</v>
      </c>
      <c r="H1883" t="s">
        <v>16</v>
      </c>
    </row>
    <row r="1884" spans="1:8" x14ac:dyDescent="0.3">
      <c r="A1884" t="s">
        <v>333</v>
      </c>
      <c r="B1884" t="s">
        <v>17</v>
      </c>
      <c r="C1884">
        <v>3583.4448200000002</v>
      </c>
      <c r="D1884">
        <v>3656.1489299999998</v>
      </c>
      <c r="E1884">
        <v>3508.9858399999998</v>
      </c>
      <c r="F1884">
        <v>3568.4599600000001</v>
      </c>
      <c r="G1884">
        <v>35638045619</v>
      </c>
      <c r="H1884" t="s">
        <v>18</v>
      </c>
    </row>
    <row r="1885" spans="1:8" x14ac:dyDescent="0.3">
      <c r="A1885" t="s">
        <v>333</v>
      </c>
      <c r="B1885" t="s">
        <v>19</v>
      </c>
      <c r="C1885">
        <v>996.58887000000004</v>
      </c>
      <c r="D1885">
        <v>1017.68286</v>
      </c>
      <c r="E1885">
        <v>977.10766999999998</v>
      </c>
      <c r="F1885">
        <v>991.91967999999997</v>
      </c>
      <c r="G1885">
        <v>2844075057</v>
      </c>
      <c r="H1885" t="s">
        <v>20</v>
      </c>
    </row>
    <row r="1886" spans="1:8" x14ac:dyDescent="0.3">
      <c r="A1886" t="s">
        <v>334</v>
      </c>
      <c r="B1886" t="s">
        <v>9</v>
      </c>
      <c r="C1886">
        <v>0.59297999999999995</v>
      </c>
      <c r="D1886">
        <v>0.60521999999999998</v>
      </c>
      <c r="E1886">
        <v>0.55479000000000001</v>
      </c>
      <c r="F1886">
        <v>0.55652999999999997</v>
      </c>
      <c r="G1886">
        <v>857150089</v>
      </c>
      <c r="H1886" t="s">
        <v>10</v>
      </c>
    </row>
    <row r="1887" spans="1:8" x14ac:dyDescent="0.3">
      <c r="A1887" t="s">
        <v>334</v>
      </c>
      <c r="B1887" t="s">
        <v>11</v>
      </c>
      <c r="C1887">
        <v>105996.8594</v>
      </c>
      <c r="D1887">
        <v>107428.25780000001</v>
      </c>
      <c r="E1887">
        <v>102457.3281</v>
      </c>
      <c r="F1887">
        <v>102997.4688</v>
      </c>
      <c r="G1887">
        <v>71130078574</v>
      </c>
      <c r="H1887" t="s">
        <v>12</v>
      </c>
    </row>
    <row r="1888" spans="1:8" x14ac:dyDescent="0.3">
      <c r="A1888" t="s">
        <v>334</v>
      </c>
      <c r="B1888" t="s">
        <v>13</v>
      </c>
      <c r="C1888">
        <v>167.36734000000001</v>
      </c>
      <c r="D1888">
        <v>171.60735</v>
      </c>
      <c r="E1888">
        <v>154.26486</v>
      </c>
      <c r="F1888">
        <v>154.56833</v>
      </c>
      <c r="G1888">
        <v>6202061657</v>
      </c>
      <c r="H1888" t="s">
        <v>14</v>
      </c>
    </row>
    <row r="1889" spans="1:8" x14ac:dyDescent="0.3">
      <c r="A1889" t="s">
        <v>334</v>
      </c>
      <c r="B1889" t="s">
        <v>15</v>
      </c>
      <c r="C1889">
        <v>2.5263499999999999</v>
      </c>
      <c r="D1889">
        <v>2.5658799999999999</v>
      </c>
      <c r="E1889">
        <v>2.3822399999999999</v>
      </c>
      <c r="F1889">
        <v>2.3917199999999998</v>
      </c>
      <c r="G1889">
        <v>4511908616</v>
      </c>
      <c r="H1889" t="s">
        <v>16</v>
      </c>
    </row>
    <row r="1890" spans="1:8" x14ac:dyDescent="0.3">
      <c r="A1890" t="s">
        <v>334</v>
      </c>
      <c r="B1890" t="s">
        <v>17</v>
      </c>
      <c r="C1890">
        <v>3568.4726599999999</v>
      </c>
      <c r="D1890">
        <v>3644.5283199999999</v>
      </c>
      <c r="E1890">
        <v>3404.8618200000001</v>
      </c>
      <c r="F1890">
        <v>3415.2822299999998</v>
      </c>
      <c r="G1890">
        <v>39734688531</v>
      </c>
      <c r="H1890" t="s">
        <v>18</v>
      </c>
    </row>
    <row r="1891" spans="1:8" x14ac:dyDescent="0.3">
      <c r="A1891" t="s">
        <v>334</v>
      </c>
      <c r="B1891" t="s">
        <v>19</v>
      </c>
      <c r="C1891">
        <v>991.92029000000002</v>
      </c>
      <c r="D1891">
        <v>1005.97253</v>
      </c>
      <c r="E1891">
        <v>956.83623999999998</v>
      </c>
      <c r="F1891">
        <v>958.26575000000003</v>
      </c>
      <c r="G1891">
        <v>2696896367</v>
      </c>
      <c r="H1891" t="s">
        <v>20</v>
      </c>
    </row>
    <row r="1892" spans="1:8" x14ac:dyDescent="0.3">
      <c r="A1892" t="s">
        <v>335</v>
      </c>
      <c r="B1892" t="s">
        <v>9</v>
      </c>
      <c r="C1892">
        <v>0.55652000000000001</v>
      </c>
      <c r="D1892">
        <v>0.58013999999999999</v>
      </c>
      <c r="E1892">
        <v>0.54059000000000001</v>
      </c>
      <c r="F1892">
        <v>0.54525999999999997</v>
      </c>
      <c r="G1892">
        <v>766808820</v>
      </c>
      <c r="H1892" t="s">
        <v>10</v>
      </c>
    </row>
    <row r="1893" spans="1:8" x14ac:dyDescent="0.3">
      <c r="A1893" t="s">
        <v>335</v>
      </c>
      <c r="B1893" t="s">
        <v>11</v>
      </c>
      <c r="C1893">
        <v>103011.4375</v>
      </c>
      <c r="D1893">
        <v>105297.2344</v>
      </c>
      <c r="E1893">
        <v>100836.61719999999</v>
      </c>
      <c r="F1893">
        <v>101663.1875</v>
      </c>
      <c r="G1893">
        <v>64347179408</v>
      </c>
      <c r="H1893" t="s">
        <v>12</v>
      </c>
    </row>
    <row r="1894" spans="1:8" x14ac:dyDescent="0.3">
      <c r="A1894" t="s">
        <v>335</v>
      </c>
      <c r="B1894" t="s">
        <v>13</v>
      </c>
      <c r="C1894">
        <v>154.56334000000001</v>
      </c>
      <c r="D1894">
        <v>161.01407</v>
      </c>
      <c r="E1894">
        <v>151.46877000000001</v>
      </c>
      <c r="F1894">
        <v>153.26204000000001</v>
      </c>
      <c r="G1894">
        <v>5979682267</v>
      </c>
      <c r="H1894" t="s">
        <v>14</v>
      </c>
    </row>
    <row r="1895" spans="1:8" x14ac:dyDescent="0.3">
      <c r="A1895" t="s">
        <v>335</v>
      </c>
      <c r="B1895" t="s">
        <v>15</v>
      </c>
      <c r="C1895">
        <v>2.3917199999999998</v>
      </c>
      <c r="D1895">
        <v>2.4472299999999998</v>
      </c>
      <c r="E1895">
        <v>2.3202799999999999</v>
      </c>
      <c r="F1895">
        <v>2.3868999999999998</v>
      </c>
      <c r="G1895">
        <v>4769353442</v>
      </c>
      <c r="H1895" t="s">
        <v>16</v>
      </c>
    </row>
    <row r="1896" spans="1:8" x14ac:dyDescent="0.3">
      <c r="A1896" t="s">
        <v>335</v>
      </c>
      <c r="B1896" t="s">
        <v>17</v>
      </c>
      <c r="C1896">
        <v>3415.7959000000001</v>
      </c>
      <c r="D1896">
        <v>3586.0139199999999</v>
      </c>
      <c r="E1896">
        <v>3373.7116700000001</v>
      </c>
      <c r="F1896">
        <v>3413.0942399999999</v>
      </c>
      <c r="G1896">
        <v>34898956623</v>
      </c>
      <c r="H1896" t="s">
        <v>18</v>
      </c>
    </row>
    <row r="1897" spans="1:8" x14ac:dyDescent="0.3">
      <c r="A1897" t="s">
        <v>335</v>
      </c>
      <c r="B1897" t="s">
        <v>19</v>
      </c>
      <c r="C1897">
        <v>958.23206000000005</v>
      </c>
      <c r="D1897">
        <v>976.95776000000001</v>
      </c>
      <c r="E1897">
        <v>940.86168999999995</v>
      </c>
      <c r="F1897">
        <v>953.01049999999998</v>
      </c>
      <c r="G1897">
        <v>2405972144</v>
      </c>
      <c r="H1897" t="s">
        <v>20</v>
      </c>
    </row>
    <row r="1898" spans="1:8" x14ac:dyDescent="0.3">
      <c r="A1898" t="s">
        <v>336</v>
      </c>
      <c r="B1898" t="s">
        <v>9</v>
      </c>
      <c r="C1898">
        <v>0.54525999999999997</v>
      </c>
      <c r="D1898">
        <v>0.57008999999999999</v>
      </c>
      <c r="E1898">
        <v>0.51720999999999995</v>
      </c>
      <c r="F1898">
        <v>0.53110999999999997</v>
      </c>
      <c r="G1898">
        <v>1056326483</v>
      </c>
      <c r="H1898" t="s">
        <v>10</v>
      </c>
    </row>
    <row r="1899" spans="1:8" x14ac:dyDescent="0.3">
      <c r="A1899" t="s">
        <v>336</v>
      </c>
      <c r="B1899" t="s">
        <v>11</v>
      </c>
      <c r="C1899">
        <v>101674.14840000001</v>
      </c>
      <c r="D1899">
        <v>104005.49219999999</v>
      </c>
      <c r="E1899">
        <v>97988.71875</v>
      </c>
      <c r="F1899">
        <v>99697.492190000004</v>
      </c>
      <c r="G1899">
        <v>102000000000</v>
      </c>
      <c r="H1899" t="s">
        <v>12</v>
      </c>
    </row>
    <row r="1900" spans="1:8" x14ac:dyDescent="0.3">
      <c r="A1900" t="s">
        <v>336</v>
      </c>
      <c r="B1900" t="s">
        <v>13</v>
      </c>
      <c r="C1900">
        <v>153.26006000000001</v>
      </c>
      <c r="D1900">
        <v>156.98609999999999</v>
      </c>
      <c r="E1900">
        <v>141.39766</v>
      </c>
      <c r="F1900">
        <v>145.10847000000001</v>
      </c>
      <c r="G1900">
        <v>7354986019</v>
      </c>
      <c r="H1900" t="s">
        <v>14</v>
      </c>
    </row>
    <row r="1901" spans="1:8" x14ac:dyDescent="0.3">
      <c r="A1901" t="s">
        <v>336</v>
      </c>
      <c r="B1901" t="s">
        <v>15</v>
      </c>
      <c r="C1901">
        <v>2.3869099999999999</v>
      </c>
      <c r="D1901">
        <v>2.5200499999999999</v>
      </c>
      <c r="E1901">
        <v>2.2845399999999998</v>
      </c>
      <c r="F1901">
        <v>2.33114</v>
      </c>
      <c r="G1901">
        <v>7594356106</v>
      </c>
      <c r="H1901" t="s">
        <v>16</v>
      </c>
    </row>
    <row r="1902" spans="1:8" x14ac:dyDescent="0.3">
      <c r="A1902" t="s">
        <v>336</v>
      </c>
      <c r="B1902" t="s">
        <v>17</v>
      </c>
      <c r="C1902">
        <v>3412.99487</v>
      </c>
      <c r="D1902">
        <v>3561.8608399999998</v>
      </c>
      <c r="E1902">
        <v>3156.0307600000001</v>
      </c>
      <c r="F1902">
        <v>3232.7570799999999</v>
      </c>
      <c r="G1902">
        <v>50283416669</v>
      </c>
      <c r="H1902" t="s">
        <v>18</v>
      </c>
    </row>
    <row r="1903" spans="1:8" x14ac:dyDescent="0.3">
      <c r="A1903" t="s">
        <v>336</v>
      </c>
      <c r="B1903" t="s">
        <v>19</v>
      </c>
      <c r="C1903">
        <v>953.01984000000004</v>
      </c>
      <c r="D1903">
        <v>969.84649999999999</v>
      </c>
      <c r="E1903">
        <v>907.61974999999995</v>
      </c>
      <c r="F1903">
        <v>928.04663000000005</v>
      </c>
      <c r="G1903">
        <v>3034452281</v>
      </c>
      <c r="H1903" t="s">
        <v>20</v>
      </c>
    </row>
    <row r="1904" spans="1:8" x14ac:dyDescent="0.3">
      <c r="A1904" t="s">
        <v>337</v>
      </c>
      <c r="B1904" t="s">
        <v>9</v>
      </c>
      <c r="C1904">
        <v>0.53110000000000002</v>
      </c>
      <c r="D1904">
        <v>0.53208999999999995</v>
      </c>
      <c r="E1904">
        <v>0.49436999999999998</v>
      </c>
      <c r="F1904">
        <v>0.49841999999999997</v>
      </c>
      <c r="G1904">
        <v>1192463993</v>
      </c>
      <c r="H1904" t="s">
        <v>10</v>
      </c>
    </row>
    <row r="1905" spans="1:8" x14ac:dyDescent="0.3">
      <c r="A1905" t="s">
        <v>337</v>
      </c>
      <c r="B1905" t="s">
        <v>11</v>
      </c>
      <c r="C1905">
        <v>99694.703129999994</v>
      </c>
      <c r="D1905">
        <v>99804.429690000004</v>
      </c>
      <c r="E1905">
        <v>94000.734379999994</v>
      </c>
      <c r="F1905">
        <v>94397.789059999996</v>
      </c>
      <c r="G1905">
        <v>114000000000</v>
      </c>
      <c r="H1905" t="s">
        <v>12</v>
      </c>
    </row>
    <row r="1906" spans="1:8" x14ac:dyDescent="0.3">
      <c r="A1906" t="s">
        <v>337</v>
      </c>
      <c r="B1906" t="s">
        <v>13</v>
      </c>
      <c r="C1906">
        <v>145.10847000000001</v>
      </c>
      <c r="D1906">
        <v>145.46722</v>
      </c>
      <c r="E1906">
        <v>136.04133999999999</v>
      </c>
      <c r="F1906">
        <v>138.67661000000001</v>
      </c>
      <c r="G1906">
        <v>8170562276</v>
      </c>
      <c r="H1906" t="s">
        <v>14</v>
      </c>
    </row>
    <row r="1907" spans="1:8" x14ac:dyDescent="0.3">
      <c r="A1907" t="s">
        <v>337</v>
      </c>
      <c r="B1907" t="s">
        <v>15</v>
      </c>
      <c r="C1907">
        <v>2.3311199999999999</v>
      </c>
      <c r="D1907">
        <v>2.3358500000000002</v>
      </c>
      <c r="E1907">
        <v>2.2313800000000001</v>
      </c>
      <c r="F1907">
        <v>2.2439800000000001</v>
      </c>
      <c r="G1907">
        <v>7080963107</v>
      </c>
      <c r="H1907" t="s">
        <v>16</v>
      </c>
    </row>
    <row r="1908" spans="1:8" x14ac:dyDescent="0.3">
      <c r="A1908" t="s">
        <v>337</v>
      </c>
      <c r="B1908" t="s">
        <v>17</v>
      </c>
      <c r="C1908">
        <v>3232.2951699999999</v>
      </c>
      <c r="D1908">
        <v>3252.6608900000001</v>
      </c>
      <c r="E1908">
        <v>3071.9706999999999</v>
      </c>
      <c r="F1908">
        <v>3103.7856499999998</v>
      </c>
      <c r="G1908">
        <v>47003809463</v>
      </c>
      <c r="H1908" t="s">
        <v>18</v>
      </c>
    </row>
    <row r="1909" spans="1:8" x14ac:dyDescent="0.3">
      <c r="A1909" t="s">
        <v>337</v>
      </c>
      <c r="B1909" t="s">
        <v>19</v>
      </c>
      <c r="C1909">
        <v>928.03972999999996</v>
      </c>
      <c r="D1909">
        <v>932.64502000000005</v>
      </c>
      <c r="E1909">
        <v>889.40319999999997</v>
      </c>
      <c r="F1909">
        <v>915.30926999999997</v>
      </c>
      <c r="G1909">
        <v>3778463496</v>
      </c>
      <c r="H1909" t="s">
        <v>20</v>
      </c>
    </row>
    <row r="1910" spans="1:8" x14ac:dyDescent="0.3">
      <c r="A1910" t="s">
        <v>338</v>
      </c>
      <c r="B1910" t="s">
        <v>9</v>
      </c>
      <c r="C1910">
        <v>0.49842999999999998</v>
      </c>
      <c r="D1910">
        <v>0.51427</v>
      </c>
      <c r="E1910">
        <v>0.49808000000000002</v>
      </c>
      <c r="F1910">
        <v>0.50339999999999996</v>
      </c>
      <c r="G1910">
        <v>711753171</v>
      </c>
      <c r="H1910" t="s">
        <v>10</v>
      </c>
    </row>
    <row r="1911" spans="1:8" x14ac:dyDescent="0.3">
      <c r="A1911" t="s">
        <v>338</v>
      </c>
      <c r="B1911" t="s">
        <v>11</v>
      </c>
      <c r="C1911">
        <v>94420.46875</v>
      </c>
      <c r="D1911">
        <v>96728.46875</v>
      </c>
      <c r="E1911">
        <v>94420.46875</v>
      </c>
      <c r="F1911">
        <v>95549.148440000004</v>
      </c>
      <c r="G1911">
        <v>38500716654</v>
      </c>
      <c r="H1911" t="s">
        <v>12</v>
      </c>
    </row>
    <row r="1912" spans="1:8" x14ac:dyDescent="0.3">
      <c r="A1912" t="s">
        <v>338</v>
      </c>
      <c r="B1912" t="s">
        <v>13</v>
      </c>
      <c r="C1912">
        <v>138.67661000000001</v>
      </c>
      <c r="D1912">
        <v>143.59058999999999</v>
      </c>
      <c r="E1912">
        <v>138.67661000000001</v>
      </c>
      <c r="F1912">
        <v>139.5352</v>
      </c>
      <c r="G1912">
        <v>3449336899</v>
      </c>
      <c r="H1912" t="s">
        <v>14</v>
      </c>
    </row>
    <row r="1913" spans="1:8" x14ac:dyDescent="0.3">
      <c r="A1913" t="s">
        <v>338</v>
      </c>
      <c r="B1913" t="s">
        <v>15</v>
      </c>
      <c r="C1913">
        <v>2.24397</v>
      </c>
      <c r="D1913">
        <v>2.2977099999999999</v>
      </c>
      <c r="E1913">
        <v>2.2192799999999999</v>
      </c>
      <c r="F1913">
        <v>2.2352500000000002</v>
      </c>
      <c r="G1913">
        <v>2923818163</v>
      </c>
      <c r="H1913" t="s">
        <v>16</v>
      </c>
    </row>
    <row r="1914" spans="1:8" x14ac:dyDescent="0.3">
      <c r="A1914" t="s">
        <v>338</v>
      </c>
      <c r="B1914" t="s">
        <v>17</v>
      </c>
      <c r="C1914">
        <v>3104.2302300000001</v>
      </c>
      <c r="D1914">
        <v>3227.6901899999998</v>
      </c>
      <c r="E1914">
        <v>3104.2302300000001</v>
      </c>
      <c r="F1914">
        <v>3166.6313500000001</v>
      </c>
      <c r="G1914">
        <v>19932940649</v>
      </c>
      <c r="H1914" t="s">
        <v>18</v>
      </c>
    </row>
    <row r="1915" spans="1:8" x14ac:dyDescent="0.3">
      <c r="A1915" t="s">
        <v>338</v>
      </c>
      <c r="B1915" t="s">
        <v>19</v>
      </c>
      <c r="C1915">
        <v>915.19385</v>
      </c>
      <c r="D1915">
        <v>944.08172999999999</v>
      </c>
      <c r="E1915">
        <v>915.19385</v>
      </c>
      <c r="F1915">
        <v>932.20190000000002</v>
      </c>
      <c r="G1915">
        <v>1963778260</v>
      </c>
      <c r="H1915" t="s">
        <v>20</v>
      </c>
    </row>
    <row r="1916" spans="1:8" x14ac:dyDescent="0.3">
      <c r="A1916" t="s">
        <v>339</v>
      </c>
      <c r="B1916" t="s">
        <v>9</v>
      </c>
      <c r="C1916">
        <v>0.50339999999999996</v>
      </c>
      <c r="D1916">
        <v>0.50836999999999999</v>
      </c>
      <c r="E1916">
        <v>0.47609000000000001</v>
      </c>
      <c r="F1916">
        <v>0.48485</v>
      </c>
      <c r="G1916">
        <v>1034979545</v>
      </c>
      <c r="H1916" t="s">
        <v>10</v>
      </c>
    </row>
    <row r="1917" spans="1:8" x14ac:dyDescent="0.3">
      <c r="A1917" t="s">
        <v>339</v>
      </c>
      <c r="B1917" t="s">
        <v>11</v>
      </c>
      <c r="C1917">
        <v>95556.867190000004</v>
      </c>
      <c r="D1917">
        <v>96564.1875</v>
      </c>
      <c r="E1917">
        <v>92971.164059999996</v>
      </c>
      <c r="F1917">
        <v>94177.078129999994</v>
      </c>
      <c r="G1917">
        <v>71086235862</v>
      </c>
      <c r="H1917" t="s">
        <v>12</v>
      </c>
    </row>
    <row r="1918" spans="1:8" x14ac:dyDescent="0.3">
      <c r="A1918" t="s">
        <v>339</v>
      </c>
      <c r="B1918" t="s">
        <v>13</v>
      </c>
      <c r="C1918">
        <v>139.53267</v>
      </c>
      <c r="D1918">
        <v>143.15944999999999</v>
      </c>
      <c r="E1918">
        <v>134.96566999999999</v>
      </c>
      <c r="F1918">
        <v>137.26572999999999</v>
      </c>
      <c r="G1918">
        <v>4722106857</v>
      </c>
      <c r="H1918" t="s">
        <v>14</v>
      </c>
    </row>
    <row r="1919" spans="1:8" x14ac:dyDescent="0.3">
      <c r="A1919" t="s">
        <v>339</v>
      </c>
      <c r="B1919" t="s">
        <v>15</v>
      </c>
      <c r="C1919">
        <v>2.2352500000000002</v>
      </c>
      <c r="D1919">
        <v>2.2763599999999999</v>
      </c>
      <c r="E1919">
        <v>2.1610399999999998</v>
      </c>
      <c r="F1919">
        <v>2.2166100000000002</v>
      </c>
      <c r="G1919">
        <v>4217661281</v>
      </c>
      <c r="H1919" t="s">
        <v>16</v>
      </c>
    </row>
    <row r="1920" spans="1:8" x14ac:dyDescent="0.3">
      <c r="A1920" t="s">
        <v>339</v>
      </c>
      <c r="B1920" t="s">
        <v>17</v>
      </c>
      <c r="C1920">
        <v>3166.7934599999999</v>
      </c>
      <c r="D1920">
        <v>3244.8376499999999</v>
      </c>
      <c r="E1920">
        <v>3007.0727499999998</v>
      </c>
      <c r="F1920">
        <v>3092.8474099999999</v>
      </c>
      <c r="G1920">
        <v>30987886524</v>
      </c>
      <c r="H1920" t="s">
        <v>18</v>
      </c>
    </row>
    <row r="1921" spans="1:8" x14ac:dyDescent="0.3">
      <c r="A1921" t="s">
        <v>339</v>
      </c>
      <c r="B1921" t="s">
        <v>19</v>
      </c>
      <c r="C1921">
        <v>932.18517999999995</v>
      </c>
      <c r="D1921">
        <v>948.51202000000001</v>
      </c>
      <c r="E1921">
        <v>910.90350000000001</v>
      </c>
      <c r="F1921">
        <v>927.25787000000003</v>
      </c>
      <c r="G1921">
        <v>2497118342</v>
      </c>
      <c r="H1921" t="s">
        <v>20</v>
      </c>
    </row>
    <row r="1922" spans="1:8" x14ac:dyDescent="0.3">
      <c r="A1922" t="s">
        <v>340</v>
      </c>
      <c r="B1922" t="s">
        <v>9</v>
      </c>
      <c r="C1922">
        <v>0.48482999999999998</v>
      </c>
      <c r="D1922">
        <v>0.49719999999999998</v>
      </c>
      <c r="E1922">
        <v>0.45813999999999999</v>
      </c>
      <c r="F1922">
        <v>0.46553</v>
      </c>
      <c r="G1922">
        <v>1209943614</v>
      </c>
      <c r="H1922" t="s">
        <v>10</v>
      </c>
    </row>
    <row r="1923" spans="1:8" x14ac:dyDescent="0.3">
      <c r="A1923" t="s">
        <v>340</v>
      </c>
      <c r="B1923" t="s">
        <v>11</v>
      </c>
      <c r="C1923">
        <v>94180.875</v>
      </c>
      <c r="D1923">
        <v>95928.367190000004</v>
      </c>
      <c r="E1923">
        <v>91214.757809999996</v>
      </c>
      <c r="F1923">
        <v>92093.875</v>
      </c>
      <c r="G1923">
        <v>94186165724</v>
      </c>
      <c r="H1923" t="s">
        <v>12</v>
      </c>
    </row>
    <row r="1924" spans="1:8" x14ac:dyDescent="0.3">
      <c r="A1924" t="s">
        <v>340</v>
      </c>
      <c r="B1924" t="s">
        <v>13</v>
      </c>
      <c r="C1924">
        <v>137.26535000000001</v>
      </c>
      <c r="D1924">
        <v>142.46754000000001</v>
      </c>
      <c r="E1924">
        <v>129.01918000000001</v>
      </c>
      <c r="F1924">
        <v>130.84827000000001</v>
      </c>
      <c r="G1924">
        <v>7330608944</v>
      </c>
      <c r="H1924" t="s">
        <v>14</v>
      </c>
    </row>
    <row r="1925" spans="1:8" x14ac:dyDescent="0.3">
      <c r="A1925" t="s">
        <v>340</v>
      </c>
      <c r="B1925" t="s">
        <v>15</v>
      </c>
      <c r="C1925">
        <v>2.2165900000000001</v>
      </c>
      <c r="D1925">
        <v>2.29135</v>
      </c>
      <c r="E1925">
        <v>2.1182300000000001</v>
      </c>
      <c r="F1925">
        <v>2.1621000000000001</v>
      </c>
      <c r="G1925">
        <v>6068395312</v>
      </c>
      <c r="H1925" t="s">
        <v>16</v>
      </c>
    </row>
    <row r="1926" spans="1:8" x14ac:dyDescent="0.3">
      <c r="A1926" t="s">
        <v>340</v>
      </c>
      <c r="B1926" t="s">
        <v>17</v>
      </c>
      <c r="C1926">
        <v>3092.9416500000002</v>
      </c>
      <c r="D1926">
        <v>3218.1303699999999</v>
      </c>
      <c r="E1926">
        <v>2957.3095699999999</v>
      </c>
      <c r="F1926">
        <v>3024.5388200000002</v>
      </c>
      <c r="G1926">
        <v>41026793235</v>
      </c>
      <c r="H1926" t="s">
        <v>18</v>
      </c>
    </row>
    <row r="1927" spans="1:8" x14ac:dyDescent="0.3">
      <c r="A1927" t="s">
        <v>340</v>
      </c>
      <c r="B1927" t="s">
        <v>19</v>
      </c>
      <c r="C1927">
        <v>927.25787000000003</v>
      </c>
      <c r="D1927">
        <v>936.99066000000005</v>
      </c>
      <c r="E1927">
        <v>893.00409000000002</v>
      </c>
      <c r="F1927">
        <v>906.48242000000005</v>
      </c>
      <c r="G1927">
        <v>3757441490</v>
      </c>
      <c r="H1927" t="s">
        <v>20</v>
      </c>
    </row>
    <row r="1928" spans="1:8" x14ac:dyDescent="0.3">
      <c r="A1928" t="s">
        <v>341</v>
      </c>
      <c r="B1928" t="s">
        <v>9</v>
      </c>
      <c r="C1928">
        <v>0.46553</v>
      </c>
      <c r="D1928">
        <v>0.48122999999999999</v>
      </c>
      <c r="E1928">
        <v>0.45867000000000002</v>
      </c>
      <c r="F1928">
        <v>0.47498000000000001</v>
      </c>
      <c r="G1928">
        <v>1101225671</v>
      </c>
      <c r="H1928" t="s">
        <v>10</v>
      </c>
    </row>
    <row r="1929" spans="1:8" x14ac:dyDescent="0.3">
      <c r="A1929" t="s">
        <v>341</v>
      </c>
      <c r="B1929" t="s">
        <v>11</v>
      </c>
      <c r="C1929">
        <v>92094.53125</v>
      </c>
      <c r="D1929">
        <v>93745.078129999994</v>
      </c>
      <c r="E1929">
        <v>89300.460940000004</v>
      </c>
      <c r="F1929">
        <v>92948.875</v>
      </c>
      <c r="G1929">
        <v>101000000000</v>
      </c>
      <c r="H1929" t="s">
        <v>12</v>
      </c>
    </row>
    <row r="1930" spans="1:8" x14ac:dyDescent="0.3">
      <c r="A1930" t="s">
        <v>341</v>
      </c>
      <c r="B1930" t="s">
        <v>13</v>
      </c>
      <c r="C1930">
        <v>130.84869</v>
      </c>
      <c r="D1930">
        <v>141.83172999999999</v>
      </c>
      <c r="E1930">
        <v>129.30940000000001</v>
      </c>
      <c r="F1930">
        <v>140.71439000000001</v>
      </c>
      <c r="G1930">
        <v>7400753648</v>
      </c>
      <c r="H1930" t="s">
        <v>14</v>
      </c>
    </row>
    <row r="1931" spans="1:8" x14ac:dyDescent="0.3">
      <c r="A1931" t="s">
        <v>341</v>
      </c>
      <c r="B1931" t="s">
        <v>15</v>
      </c>
      <c r="C1931">
        <v>2.16208</v>
      </c>
      <c r="D1931">
        <v>2.2369699999999999</v>
      </c>
      <c r="E1931">
        <v>2.1150500000000001</v>
      </c>
      <c r="F1931">
        <v>2.2164799999999998</v>
      </c>
      <c r="G1931">
        <v>5793233516</v>
      </c>
      <c r="H1931" t="s">
        <v>16</v>
      </c>
    </row>
    <row r="1932" spans="1:8" x14ac:dyDescent="0.3">
      <c r="A1932" t="s">
        <v>341</v>
      </c>
      <c r="B1932" t="s">
        <v>17</v>
      </c>
      <c r="C1932">
        <v>3024.4140600000001</v>
      </c>
      <c r="D1932">
        <v>3167.93262</v>
      </c>
      <c r="E1932">
        <v>2948.32935</v>
      </c>
      <c r="F1932">
        <v>3122.9789999999998</v>
      </c>
      <c r="G1932">
        <v>41581494270</v>
      </c>
      <c r="H1932" t="s">
        <v>18</v>
      </c>
    </row>
    <row r="1933" spans="1:8" x14ac:dyDescent="0.3">
      <c r="A1933" t="s">
        <v>341</v>
      </c>
      <c r="B1933" t="s">
        <v>19</v>
      </c>
      <c r="C1933">
        <v>906.47058000000004</v>
      </c>
      <c r="D1933">
        <v>937.38415999999995</v>
      </c>
      <c r="E1933">
        <v>888.51471000000004</v>
      </c>
      <c r="F1933">
        <v>932.48235999999997</v>
      </c>
      <c r="G1933">
        <v>3623344375</v>
      </c>
      <c r="H1933" t="s">
        <v>20</v>
      </c>
    </row>
    <row r="1934" spans="1:8" x14ac:dyDescent="0.3">
      <c r="A1934" t="s">
        <v>342</v>
      </c>
      <c r="B1934" t="s">
        <v>9</v>
      </c>
      <c r="C1934">
        <v>0.47497</v>
      </c>
      <c r="D1934">
        <v>0.47617999999999999</v>
      </c>
      <c r="E1934">
        <v>0.43897000000000003</v>
      </c>
      <c r="F1934">
        <v>0.46323999999999999</v>
      </c>
      <c r="G1934">
        <v>1037561742</v>
      </c>
      <c r="H1934" t="s">
        <v>10</v>
      </c>
    </row>
    <row r="1935" spans="1:8" x14ac:dyDescent="0.3">
      <c r="A1935" t="s">
        <v>342</v>
      </c>
      <c r="B1935" t="s">
        <v>11</v>
      </c>
      <c r="C1935">
        <v>92946.164059999996</v>
      </c>
      <c r="D1935">
        <v>92946.164059999996</v>
      </c>
      <c r="E1935">
        <v>88526.828129999994</v>
      </c>
      <c r="F1935">
        <v>91465.992190000004</v>
      </c>
      <c r="G1935">
        <v>80350354656</v>
      </c>
      <c r="H1935" t="s">
        <v>12</v>
      </c>
    </row>
    <row r="1936" spans="1:8" x14ac:dyDescent="0.3">
      <c r="A1936" t="s">
        <v>342</v>
      </c>
      <c r="B1936" t="s">
        <v>13</v>
      </c>
      <c r="C1936">
        <v>140.71439000000001</v>
      </c>
      <c r="D1936">
        <v>142.47826000000001</v>
      </c>
      <c r="E1936">
        <v>130.64391000000001</v>
      </c>
      <c r="F1936">
        <v>136.76695000000001</v>
      </c>
      <c r="G1936">
        <v>6005404886</v>
      </c>
      <c r="H1936" t="s">
        <v>14</v>
      </c>
    </row>
    <row r="1937" spans="1:8" x14ac:dyDescent="0.3">
      <c r="A1937" t="s">
        <v>342</v>
      </c>
      <c r="B1937" t="s">
        <v>15</v>
      </c>
      <c r="C1937">
        <v>2.2164799999999998</v>
      </c>
      <c r="D1937">
        <v>2.2164799999999998</v>
      </c>
      <c r="E1937">
        <v>2.0280300000000002</v>
      </c>
      <c r="F1937">
        <v>2.1076199999999998</v>
      </c>
      <c r="G1937">
        <v>6144007301</v>
      </c>
      <c r="H1937" t="s">
        <v>16</v>
      </c>
    </row>
    <row r="1938" spans="1:8" x14ac:dyDescent="0.3">
      <c r="A1938" t="s">
        <v>342</v>
      </c>
      <c r="B1938" t="s">
        <v>17</v>
      </c>
      <c r="C1938">
        <v>3122.6460000000002</v>
      </c>
      <c r="D1938">
        <v>3122.6460000000002</v>
      </c>
      <c r="E1938">
        <v>2871.2280300000002</v>
      </c>
      <c r="F1938">
        <v>3023.0708</v>
      </c>
      <c r="G1938">
        <v>40229739844</v>
      </c>
      <c r="H1938" t="s">
        <v>18</v>
      </c>
    </row>
    <row r="1939" spans="1:8" x14ac:dyDescent="0.3">
      <c r="A1939" t="s">
        <v>342</v>
      </c>
      <c r="B1939" t="s">
        <v>19</v>
      </c>
      <c r="C1939">
        <v>932.48468000000003</v>
      </c>
      <c r="D1939">
        <v>939.28612999999996</v>
      </c>
      <c r="E1939">
        <v>872.94317999999998</v>
      </c>
      <c r="F1939">
        <v>895.61968999999999</v>
      </c>
      <c r="G1939">
        <v>3254464199</v>
      </c>
      <c r="H1939" t="s">
        <v>20</v>
      </c>
    </row>
    <row r="1940" spans="1:8" x14ac:dyDescent="0.3">
      <c r="A1940" t="s">
        <v>343</v>
      </c>
      <c r="B1940" t="s">
        <v>9</v>
      </c>
      <c r="C1940">
        <v>0.46323999999999999</v>
      </c>
      <c r="D1940">
        <v>0.46997</v>
      </c>
      <c r="E1940">
        <v>0.42964000000000002</v>
      </c>
      <c r="F1940">
        <v>0.43240000000000001</v>
      </c>
      <c r="G1940">
        <v>988316139</v>
      </c>
      <c r="H1940" t="s">
        <v>10</v>
      </c>
    </row>
    <row r="1941" spans="1:8" x14ac:dyDescent="0.3">
      <c r="A1941" t="s">
        <v>343</v>
      </c>
      <c r="B1941" t="s">
        <v>11</v>
      </c>
      <c r="C1941">
        <v>91459.351559999996</v>
      </c>
      <c r="D1941">
        <v>93025.070309999996</v>
      </c>
      <c r="E1941">
        <v>86040.796879999994</v>
      </c>
      <c r="F1941">
        <v>86631.898440000004</v>
      </c>
      <c r="G1941">
        <v>97970645638</v>
      </c>
      <c r="H1941" t="s">
        <v>12</v>
      </c>
    </row>
    <row r="1942" spans="1:8" x14ac:dyDescent="0.3">
      <c r="A1942" t="s">
        <v>343</v>
      </c>
      <c r="B1942" t="s">
        <v>13</v>
      </c>
      <c r="C1942">
        <v>136.76776000000001</v>
      </c>
      <c r="D1942">
        <v>144.33061000000001</v>
      </c>
      <c r="E1942">
        <v>131.38912999999999</v>
      </c>
      <c r="F1942">
        <v>133.51714999999999</v>
      </c>
      <c r="G1942">
        <v>8497498957</v>
      </c>
      <c r="H1942" t="s">
        <v>14</v>
      </c>
    </row>
    <row r="1943" spans="1:8" x14ac:dyDescent="0.3">
      <c r="A1943" t="s">
        <v>343</v>
      </c>
      <c r="B1943" t="s">
        <v>15</v>
      </c>
      <c r="C1943">
        <v>2.1076100000000002</v>
      </c>
      <c r="D1943">
        <v>2.1467700000000001</v>
      </c>
      <c r="E1943">
        <v>1.9777400000000001</v>
      </c>
      <c r="F1943">
        <v>1.9987900000000001</v>
      </c>
      <c r="G1943">
        <v>6618490721</v>
      </c>
      <c r="H1943" t="s">
        <v>16</v>
      </c>
    </row>
    <row r="1944" spans="1:8" x14ac:dyDescent="0.3">
      <c r="A1944" t="s">
        <v>343</v>
      </c>
      <c r="B1944" t="s">
        <v>17</v>
      </c>
      <c r="C1944">
        <v>3022.8854999999999</v>
      </c>
      <c r="D1944">
        <v>3057.7885700000002</v>
      </c>
      <c r="E1944">
        <v>2790.5979000000002</v>
      </c>
      <c r="F1944">
        <v>2831.7775900000001</v>
      </c>
      <c r="G1944">
        <v>43917885207</v>
      </c>
      <c r="H1944" t="s">
        <v>18</v>
      </c>
    </row>
    <row r="1945" spans="1:8" x14ac:dyDescent="0.3">
      <c r="A1945" t="s">
        <v>343</v>
      </c>
      <c r="B1945" t="s">
        <v>19</v>
      </c>
      <c r="C1945">
        <v>895.66399999999999</v>
      </c>
      <c r="D1945">
        <v>912.65801999999996</v>
      </c>
      <c r="E1945">
        <v>866.34387000000004</v>
      </c>
      <c r="F1945">
        <v>866.34387000000004</v>
      </c>
      <c r="G1945">
        <v>3038816761</v>
      </c>
      <c r="H1945" t="s">
        <v>20</v>
      </c>
    </row>
    <row r="1946" spans="1:8" x14ac:dyDescent="0.3">
      <c r="A1946" t="s">
        <v>344</v>
      </c>
      <c r="B1946" t="s">
        <v>9</v>
      </c>
      <c r="C1946">
        <v>0.43232999999999999</v>
      </c>
      <c r="D1946">
        <v>0.43802000000000002</v>
      </c>
      <c r="E1946">
        <v>0.39112000000000002</v>
      </c>
      <c r="F1946">
        <v>0.40915000000000001</v>
      </c>
      <c r="G1946">
        <v>1770073071</v>
      </c>
      <c r="H1946" t="s">
        <v>10</v>
      </c>
    </row>
    <row r="1947" spans="1:8" x14ac:dyDescent="0.3">
      <c r="A1947" t="s">
        <v>344</v>
      </c>
      <c r="B1947" t="s">
        <v>11</v>
      </c>
      <c r="C1947">
        <v>86528.773440000004</v>
      </c>
      <c r="D1947">
        <v>87380.804690000004</v>
      </c>
      <c r="E1947">
        <v>80659.8125</v>
      </c>
      <c r="F1947">
        <v>85090.6875</v>
      </c>
      <c r="G1947">
        <v>129000000000</v>
      </c>
      <c r="H1947" t="s">
        <v>12</v>
      </c>
    </row>
    <row r="1948" spans="1:8" x14ac:dyDescent="0.3">
      <c r="A1948" t="s">
        <v>344</v>
      </c>
      <c r="B1948" t="s">
        <v>13</v>
      </c>
      <c r="C1948">
        <v>133.51396</v>
      </c>
      <c r="D1948">
        <v>134.78764000000001</v>
      </c>
      <c r="E1948">
        <v>122.27206</v>
      </c>
      <c r="F1948">
        <v>128.50049999999999</v>
      </c>
      <c r="G1948">
        <v>10081815694</v>
      </c>
      <c r="H1948" t="s">
        <v>14</v>
      </c>
    </row>
    <row r="1949" spans="1:8" x14ac:dyDescent="0.3">
      <c r="A1949" t="s">
        <v>344</v>
      </c>
      <c r="B1949" t="s">
        <v>15</v>
      </c>
      <c r="C1949">
        <v>1.99871</v>
      </c>
      <c r="D1949">
        <v>2.0236200000000002</v>
      </c>
      <c r="E1949">
        <v>1.83487</v>
      </c>
      <c r="F1949">
        <v>1.9503999999999999</v>
      </c>
      <c r="G1949">
        <v>9204368766</v>
      </c>
      <c r="H1949" t="s">
        <v>16</v>
      </c>
    </row>
    <row r="1950" spans="1:8" x14ac:dyDescent="0.3">
      <c r="A1950" t="s">
        <v>344</v>
      </c>
      <c r="B1950" t="s">
        <v>17</v>
      </c>
      <c r="C1950">
        <v>2829.2646500000001</v>
      </c>
      <c r="D1950">
        <v>2880.6030300000002</v>
      </c>
      <c r="E1950">
        <v>2626.87158</v>
      </c>
      <c r="F1950">
        <v>2765.69922</v>
      </c>
      <c r="G1950">
        <v>51476486049</v>
      </c>
      <c r="H1950" t="s">
        <v>18</v>
      </c>
    </row>
    <row r="1951" spans="1:8" x14ac:dyDescent="0.3">
      <c r="A1951" t="s">
        <v>344</v>
      </c>
      <c r="B1951" t="s">
        <v>19</v>
      </c>
      <c r="C1951">
        <v>866.33465999999999</v>
      </c>
      <c r="D1951">
        <v>874.26160000000004</v>
      </c>
      <c r="E1951">
        <v>793.82092</v>
      </c>
      <c r="F1951">
        <v>830.07874000000004</v>
      </c>
      <c r="G1951">
        <v>4772315493</v>
      </c>
      <c r="H1951" t="s">
        <v>20</v>
      </c>
    </row>
    <row r="1952" spans="1:8" x14ac:dyDescent="0.3">
      <c r="A1952" t="s">
        <v>345</v>
      </c>
      <c r="B1952" t="s">
        <v>9</v>
      </c>
      <c r="C1952">
        <v>0.40916999999999998</v>
      </c>
      <c r="D1952">
        <v>0.41176000000000001</v>
      </c>
      <c r="E1952">
        <v>0.39167000000000002</v>
      </c>
      <c r="F1952">
        <v>0.40461000000000003</v>
      </c>
      <c r="G1952">
        <v>553773916</v>
      </c>
      <c r="H1952" t="s">
        <v>10</v>
      </c>
    </row>
    <row r="1953" spans="1:8" x14ac:dyDescent="0.3">
      <c r="A1953" t="s">
        <v>345</v>
      </c>
      <c r="B1953" t="s">
        <v>11</v>
      </c>
      <c r="C1953">
        <v>85098.5625</v>
      </c>
      <c r="D1953">
        <v>85503.007809999996</v>
      </c>
      <c r="E1953">
        <v>83490.898440000004</v>
      </c>
      <c r="F1953">
        <v>84648.359379999994</v>
      </c>
      <c r="G1953">
        <v>40793099246</v>
      </c>
      <c r="H1953" t="s">
        <v>12</v>
      </c>
    </row>
    <row r="1954" spans="1:8" x14ac:dyDescent="0.3">
      <c r="A1954" t="s">
        <v>345</v>
      </c>
      <c r="B1954" t="s">
        <v>13</v>
      </c>
      <c r="C1954">
        <v>128.49857</v>
      </c>
      <c r="D1954">
        <v>129.64389</v>
      </c>
      <c r="E1954">
        <v>125.40488000000001</v>
      </c>
      <c r="F1954">
        <v>127.55119999999999</v>
      </c>
      <c r="G1954">
        <v>3490973210</v>
      </c>
      <c r="H1954" t="s">
        <v>14</v>
      </c>
    </row>
    <row r="1955" spans="1:8" x14ac:dyDescent="0.3">
      <c r="A1955" t="s">
        <v>345</v>
      </c>
      <c r="B1955" t="s">
        <v>15</v>
      </c>
      <c r="C1955">
        <v>1.9503900000000001</v>
      </c>
      <c r="D1955">
        <v>1.9626699999999999</v>
      </c>
      <c r="E1955">
        <v>1.89324</v>
      </c>
      <c r="F1955">
        <v>1.9497500000000001</v>
      </c>
      <c r="G1955">
        <v>3115116100</v>
      </c>
      <c r="H1955" t="s">
        <v>16</v>
      </c>
    </row>
    <row r="1956" spans="1:8" x14ac:dyDescent="0.3">
      <c r="A1956" t="s">
        <v>345</v>
      </c>
      <c r="B1956" t="s">
        <v>17</v>
      </c>
      <c r="C1956">
        <v>2766.09058</v>
      </c>
      <c r="D1956">
        <v>2795.4267599999998</v>
      </c>
      <c r="E1956">
        <v>2704.5021999999999</v>
      </c>
      <c r="F1956">
        <v>2767.6074199999998</v>
      </c>
      <c r="G1956">
        <v>15408928941</v>
      </c>
      <c r="H1956" t="s">
        <v>18</v>
      </c>
    </row>
    <row r="1957" spans="1:8" x14ac:dyDescent="0.3">
      <c r="A1957" t="s">
        <v>345</v>
      </c>
      <c r="B1957" t="s">
        <v>19</v>
      </c>
      <c r="C1957">
        <v>830.07952999999998</v>
      </c>
      <c r="D1957">
        <v>841.49248999999998</v>
      </c>
      <c r="E1957">
        <v>815.20929000000001</v>
      </c>
      <c r="F1957">
        <v>833.35107000000005</v>
      </c>
      <c r="G1957">
        <v>2015396840</v>
      </c>
      <c r="H1957" t="s">
        <v>20</v>
      </c>
    </row>
    <row r="1958" spans="1:8" x14ac:dyDescent="0.3">
      <c r="A1958" t="s">
        <v>346</v>
      </c>
      <c r="B1958" t="s">
        <v>9</v>
      </c>
      <c r="C1958">
        <v>0.40461000000000003</v>
      </c>
      <c r="D1958">
        <v>0.41769000000000001</v>
      </c>
      <c r="E1958">
        <v>0.40209</v>
      </c>
      <c r="F1958">
        <v>0.40855000000000002</v>
      </c>
      <c r="G1958">
        <v>646391172</v>
      </c>
      <c r="H1958" t="s">
        <v>10</v>
      </c>
    </row>
    <row r="1959" spans="1:8" x14ac:dyDescent="0.3">
      <c r="A1959" t="s">
        <v>346</v>
      </c>
      <c r="B1959" t="s">
        <v>11</v>
      </c>
      <c r="C1959">
        <v>84648.609379999994</v>
      </c>
      <c r="D1959">
        <v>88038.46875</v>
      </c>
      <c r="E1959">
        <v>84641.773440000004</v>
      </c>
      <c r="F1959">
        <v>86805.007809999996</v>
      </c>
      <c r="G1959">
        <v>58083435576</v>
      </c>
      <c r="H1959" t="s">
        <v>12</v>
      </c>
    </row>
    <row r="1960" spans="1:8" x14ac:dyDescent="0.3">
      <c r="A1960" t="s">
        <v>346</v>
      </c>
      <c r="B1960" t="s">
        <v>13</v>
      </c>
      <c r="C1960">
        <v>127.55113</v>
      </c>
      <c r="D1960">
        <v>133.32692</v>
      </c>
      <c r="E1960">
        <v>127.55113</v>
      </c>
      <c r="F1960">
        <v>130.70506</v>
      </c>
      <c r="G1960">
        <v>3820042054</v>
      </c>
      <c r="H1960" t="s">
        <v>14</v>
      </c>
    </row>
    <row r="1961" spans="1:8" x14ac:dyDescent="0.3">
      <c r="A1961" t="s">
        <v>346</v>
      </c>
      <c r="B1961" t="s">
        <v>15</v>
      </c>
      <c r="C1961">
        <v>1.9497500000000001</v>
      </c>
      <c r="D1961">
        <v>2.0800999999999998</v>
      </c>
      <c r="E1961">
        <v>1.9497199999999999</v>
      </c>
      <c r="F1961">
        <v>2.0462600000000002</v>
      </c>
      <c r="G1961">
        <v>4120199235</v>
      </c>
      <c r="H1961" t="s">
        <v>16</v>
      </c>
    </row>
    <row r="1962" spans="1:8" x14ac:dyDescent="0.3">
      <c r="A1962" t="s">
        <v>346</v>
      </c>
      <c r="B1962" t="s">
        <v>17</v>
      </c>
      <c r="C1962">
        <v>2767.5949700000001</v>
      </c>
      <c r="D1962">
        <v>2856.4465300000002</v>
      </c>
      <c r="E1962">
        <v>2767.4729000000002</v>
      </c>
      <c r="F1962">
        <v>2801.6760300000001</v>
      </c>
      <c r="G1962">
        <v>20358404499</v>
      </c>
      <c r="H1962" t="s">
        <v>18</v>
      </c>
    </row>
    <row r="1963" spans="1:8" x14ac:dyDescent="0.3">
      <c r="A1963" t="s">
        <v>346</v>
      </c>
      <c r="B1963" t="s">
        <v>19</v>
      </c>
      <c r="C1963">
        <v>833.34760000000006</v>
      </c>
      <c r="D1963">
        <v>854.40368999999998</v>
      </c>
      <c r="E1963">
        <v>833.28747999999996</v>
      </c>
      <c r="F1963">
        <v>843.22478999999998</v>
      </c>
      <c r="G1963">
        <v>1754920246</v>
      </c>
      <c r="H1963" t="s">
        <v>20</v>
      </c>
    </row>
    <row r="1964" spans="1:8" x14ac:dyDescent="0.3">
      <c r="A1964" t="s">
        <v>347</v>
      </c>
      <c r="B1964" t="s">
        <v>9</v>
      </c>
      <c r="C1964">
        <v>0.40855999999999998</v>
      </c>
      <c r="D1964">
        <v>0.43358999999999998</v>
      </c>
      <c r="E1964">
        <v>0.40429999999999999</v>
      </c>
      <c r="F1964">
        <v>0.42784</v>
      </c>
      <c r="G1964">
        <v>814509902</v>
      </c>
      <c r="H1964" t="s">
        <v>10</v>
      </c>
    </row>
    <row r="1965" spans="1:8" x14ac:dyDescent="0.3">
      <c r="A1965" t="s">
        <v>347</v>
      </c>
      <c r="B1965" t="s">
        <v>11</v>
      </c>
      <c r="C1965">
        <v>86798.773440000004</v>
      </c>
      <c r="D1965">
        <v>89206.335940000004</v>
      </c>
      <c r="E1965">
        <v>85272.195309999996</v>
      </c>
      <c r="F1965">
        <v>88270.5625</v>
      </c>
      <c r="G1965">
        <v>74433896110</v>
      </c>
      <c r="H1965" t="s">
        <v>12</v>
      </c>
    </row>
    <row r="1966" spans="1:8" x14ac:dyDescent="0.3">
      <c r="A1966" t="s">
        <v>347</v>
      </c>
      <c r="B1966" t="s">
        <v>13</v>
      </c>
      <c r="C1966">
        <v>130.70604</v>
      </c>
      <c r="D1966">
        <v>139.48390000000001</v>
      </c>
      <c r="E1966">
        <v>128.54151999999999</v>
      </c>
      <c r="F1966">
        <v>138.37135000000001</v>
      </c>
      <c r="G1966">
        <v>6046925667</v>
      </c>
      <c r="H1966" t="s">
        <v>14</v>
      </c>
    </row>
    <row r="1967" spans="1:8" x14ac:dyDescent="0.3">
      <c r="A1967" t="s">
        <v>347</v>
      </c>
      <c r="B1967" t="s">
        <v>15</v>
      </c>
      <c r="C1967">
        <v>2.0464000000000002</v>
      </c>
      <c r="D1967">
        <v>2.2784</v>
      </c>
      <c r="E1967">
        <v>2.0267200000000001</v>
      </c>
      <c r="F1967">
        <v>2.2258800000000001</v>
      </c>
      <c r="G1967">
        <v>6505730022</v>
      </c>
      <c r="H1967" t="s">
        <v>16</v>
      </c>
    </row>
    <row r="1968" spans="1:8" x14ac:dyDescent="0.3">
      <c r="A1968" t="s">
        <v>347</v>
      </c>
      <c r="B1968" t="s">
        <v>17</v>
      </c>
      <c r="C1968">
        <v>2801.20435</v>
      </c>
      <c r="D1968">
        <v>2982.8220200000001</v>
      </c>
      <c r="E1968">
        <v>2763.3779300000001</v>
      </c>
      <c r="F1968">
        <v>2952.7133800000001</v>
      </c>
      <c r="G1968">
        <v>32491657389</v>
      </c>
      <c r="H1968" t="s">
        <v>18</v>
      </c>
    </row>
    <row r="1969" spans="1:8" x14ac:dyDescent="0.3">
      <c r="A1969" t="s">
        <v>347</v>
      </c>
      <c r="B1969" t="s">
        <v>19</v>
      </c>
      <c r="C1969">
        <v>843.22362999999996</v>
      </c>
      <c r="D1969">
        <v>875.26129000000003</v>
      </c>
      <c r="E1969">
        <v>832.04803000000004</v>
      </c>
      <c r="F1969">
        <v>864.42114000000004</v>
      </c>
      <c r="G1969">
        <v>2485800089</v>
      </c>
      <c r="H1969" t="s">
        <v>20</v>
      </c>
    </row>
    <row r="1970" spans="1:8" x14ac:dyDescent="0.3">
      <c r="A1970" t="s">
        <v>348</v>
      </c>
      <c r="B1970" t="s">
        <v>9</v>
      </c>
      <c r="C1970">
        <v>0.42784</v>
      </c>
      <c r="D1970">
        <v>0.42862</v>
      </c>
      <c r="E1970">
        <v>0.40588000000000002</v>
      </c>
      <c r="F1970">
        <v>0.42161999999999999</v>
      </c>
      <c r="G1970">
        <v>652730619</v>
      </c>
      <c r="H1970" t="s">
        <v>10</v>
      </c>
    </row>
    <row r="1971" spans="1:8" x14ac:dyDescent="0.3">
      <c r="A1971" t="s">
        <v>348</v>
      </c>
      <c r="B1971" t="s">
        <v>11</v>
      </c>
      <c r="C1971">
        <v>88269.960940000004</v>
      </c>
      <c r="D1971">
        <v>88457.335940000004</v>
      </c>
      <c r="E1971">
        <v>86131.429690000004</v>
      </c>
      <c r="F1971">
        <v>87341.890629999994</v>
      </c>
      <c r="G1971">
        <v>64837343545</v>
      </c>
      <c r="H1971" t="s">
        <v>12</v>
      </c>
    </row>
    <row r="1972" spans="1:8" x14ac:dyDescent="0.3">
      <c r="A1972" t="s">
        <v>348</v>
      </c>
      <c r="B1972" t="s">
        <v>13</v>
      </c>
      <c r="C1972">
        <v>138.37889000000001</v>
      </c>
      <c r="D1972">
        <v>140.34663</v>
      </c>
      <c r="E1972">
        <v>133.50812999999999</v>
      </c>
      <c r="F1972">
        <v>138.89114000000001</v>
      </c>
      <c r="G1972">
        <v>4512057787</v>
      </c>
      <c r="H1972" t="s">
        <v>14</v>
      </c>
    </row>
    <row r="1973" spans="1:8" x14ac:dyDescent="0.3">
      <c r="A1973" t="s">
        <v>348</v>
      </c>
      <c r="B1973" t="s">
        <v>15</v>
      </c>
      <c r="C1973">
        <v>2.22601</v>
      </c>
      <c r="D1973">
        <v>2.2593999999999999</v>
      </c>
      <c r="E1973">
        <v>2.1517400000000002</v>
      </c>
      <c r="F1973">
        <v>2.1985399999999999</v>
      </c>
      <c r="G1973">
        <v>4910340958</v>
      </c>
      <c r="H1973" t="s">
        <v>16</v>
      </c>
    </row>
    <row r="1974" spans="1:8" x14ac:dyDescent="0.3">
      <c r="A1974" t="s">
        <v>348</v>
      </c>
      <c r="B1974" t="s">
        <v>17</v>
      </c>
      <c r="C1974">
        <v>2952.5844699999998</v>
      </c>
      <c r="D1974">
        <v>2978.70435</v>
      </c>
      <c r="E1974">
        <v>2857.8359399999999</v>
      </c>
      <c r="F1974">
        <v>2957.9362799999999</v>
      </c>
      <c r="G1974">
        <v>23336017779</v>
      </c>
      <c r="H1974" t="s">
        <v>18</v>
      </c>
    </row>
    <row r="1975" spans="1:8" x14ac:dyDescent="0.3">
      <c r="A1975" t="s">
        <v>348</v>
      </c>
      <c r="B1975" t="s">
        <v>19</v>
      </c>
      <c r="C1975">
        <v>864.46100000000001</v>
      </c>
      <c r="D1975">
        <v>866.90954999999997</v>
      </c>
      <c r="E1975">
        <v>838.97864000000004</v>
      </c>
      <c r="F1975">
        <v>862.10802999999999</v>
      </c>
      <c r="G1975">
        <v>2007620452</v>
      </c>
      <c r="H1975" t="s">
        <v>20</v>
      </c>
    </row>
    <row r="1976" spans="1:8" x14ac:dyDescent="0.3">
      <c r="A1976" t="s">
        <v>349</v>
      </c>
      <c r="B1976" t="s">
        <v>9</v>
      </c>
      <c r="C1976">
        <v>0.42161999999999999</v>
      </c>
      <c r="D1976">
        <v>0.43658000000000002</v>
      </c>
      <c r="E1976">
        <v>0.41166000000000003</v>
      </c>
      <c r="F1976">
        <v>0.43562000000000001</v>
      </c>
      <c r="G1976">
        <v>582375709</v>
      </c>
      <c r="H1976" t="s">
        <v>10</v>
      </c>
    </row>
    <row r="1977" spans="1:8" x14ac:dyDescent="0.3">
      <c r="A1977" t="s">
        <v>349</v>
      </c>
      <c r="B1977" t="s">
        <v>11</v>
      </c>
      <c r="C1977">
        <v>87345.585940000004</v>
      </c>
      <c r="D1977">
        <v>90581.15625</v>
      </c>
      <c r="E1977">
        <v>86316.898440000004</v>
      </c>
      <c r="F1977">
        <v>90518.367190000004</v>
      </c>
      <c r="G1977">
        <v>66496301869</v>
      </c>
      <c r="H1977" t="s">
        <v>12</v>
      </c>
    </row>
    <row r="1978" spans="1:8" x14ac:dyDescent="0.3">
      <c r="A1978" t="s">
        <v>349</v>
      </c>
      <c r="B1978" t="s">
        <v>13</v>
      </c>
      <c r="C1978">
        <v>138.88988000000001</v>
      </c>
      <c r="D1978">
        <v>144.47103999999999</v>
      </c>
      <c r="E1978">
        <v>135.63246000000001</v>
      </c>
      <c r="F1978">
        <v>143.01219</v>
      </c>
      <c r="G1978">
        <v>5361639551</v>
      </c>
      <c r="H1978" t="s">
        <v>14</v>
      </c>
    </row>
    <row r="1979" spans="1:8" x14ac:dyDescent="0.3">
      <c r="A1979" t="s">
        <v>349</v>
      </c>
      <c r="B1979" t="s">
        <v>15</v>
      </c>
      <c r="C1979">
        <v>2.1985399999999999</v>
      </c>
      <c r="D1979">
        <v>2.2501600000000002</v>
      </c>
      <c r="E1979">
        <v>2.1482199999999998</v>
      </c>
      <c r="F1979">
        <v>2.2242799999999998</v>
      </c>
      <c r="G1979">
        <v>3853143882</v>
      </c>
      <c r="H1979" t="s">
        <v>16</v>
      </c>
    </row>
    <row r="1980" spans="1:8" x14ac:dyDescent="0.3">
      <c r="A1980" t="s">
        <v>349</v>
      </c>
      <c r="B1980" t="s">
        <v>17</v>
      </c>
      <c r="C1980">
        <v>2958.3295899999998</v>
      </c>
      <c r="D1980">
        <v>3043.9270000000001</v>
      </c>
      <c r="E1980">
        <v>2889.8906299999999</v>
      </c>
      <c r="F1980">
        <v>3027.8120100000001</v>
      </c>
      <c r="G1980">
        <v>21433162961</v>
      </c>
      <c r="H1980" t="s">
        <v>18</v>
      </c>
    </row>
    <row r="1981" spans="1:8" x14ac:dyDescent="0.3">
      <c r="A1981" t="s">
        <v>349</v>
      </c>
      <c r="B1981" t="s">
        <v>19</v>
      </c>
      <c r="C1981">
        <v>862.10338999999999</v>
      </c>
      <c r="D1981">
        <v>896.62878000000001</v>
      </c>
      <c r="E1981">
        <v>852.49059999999997</v>
      </c>
      <c r="F1981">
        <v>891.75336000000004</v>
      </c>
      <c r="G1981">
        <v>2040255309</v>
      </c>
      <c r="H1981" t="s">
        <v>20</v>
      </c>
    </row>
    <row r="1982" spans="1:8" x14ac:dyDescent="0.3">
      <c r="A1982" t="s">
        <v>350</v>
      </c>
      <c r="B1982" t="s">
        <v>9</v>
      </c>
      <c r="C1982">
        <v>0.43562000000000001</v>
      </c>
      <c r="D1982">
        <v>0.43846000000000002</v>
      </c>
      <c r="E1982">
        <v>0.42720999999999998</v>
      </c>
      <c r="F1982">
        <v>0.43369000000000002</v>
      </c>
      <c r="G1982">
        <v>482157613</v>
      </c>
      <c r="H1982" t="s">
        <v>10</v>
      </c>
    </row>
    <row r="1983" spans="1:8" x14ac:dyDescent="0.3">
      <c r="A1983" t="s">
        <v>350</v>
      </c>
      <c r="B1983" t="s">
        <v>11</v>
      </c>
      <c r="C1983">
        <v>90517.765629999994</v>
      </c>
      <c r="D1983">
        <v>91897.578129999994</v>
      </c>
      <c r="E1983">
        <v>90089.515629999994</v>
      </c>
      <c r="F1983">
        <v>91285.375</v>
      </c>
      <c r="G1983">
        <v>57040622845</v>
      </c>
      <c r="H1983" t="s">
        <v>12</v>
      </c>
    </row>
    <row r="1984" spans="1:8" x14ac:dyDescent="0.3">
      <c r="A1984" t="s">
        <v>350</v>
      </c>
      <c r="B1984" t="s">
        <v>13</v>
      </c>
      <c r="C1984">
        <v>143.01253</v>
      </c>
      <c r="D1984">
        <v>144.17321999999999</v>
      </c>
      <c r="E1984">
        <v>140.69576000000001</v>
      </c>
      <c r="F1984">
        <v>140.84640999999999</v>
      </c>
      <c r="G1984">
        <v>3419017564</v>
      </c>
      <c r="H1984" t="s">
        <v>14</v>
      </c>
    </row>
    <row r="1985" spans="1:8" x14ac:dyDescent="0.3">
      <c r="A1985" t="s">
        <v>350</v>
      </c>
      <c r="B1985" t="s">
        <v>15</v>
      </c>
      <c r="C1985">
        <v>2.2242799999999998</v>
      </c>
      <c r="D1985">
        <v>2.23272</v>
      </c>
      <c r="E1985">
        <v>2.1752699999999998</v>
      </c>
      <c r="F1985">
        <v>2.2008200000000002</v>
      </c>
      <c r="G1985">
        <v>2820875208</v>
      </c>
      <c r="H1985" t="s">
        <v>16</v>
      </c>
    </row>
    <row r="1986" spans="1:8" x14ac:dyDescent="0.3">
      <c r="A1986" t="s">
        <v>350</v>
      </c>
      <c r="B1986" t="s">
        <v>17</v>
      </c>
      <c r="C1986">
        <v>3027.79907</v>
      </c>
      <c r="D1986">
        <v>3070.7319299999999</v>
      </c>
      <c r="E1986">
        <v>2987.1977499999998</v>
      </c>
      <c r="F1986">
        <v>3014.5422400000002</v>
      </c>
      <c r="G1986">
        <v>16972780500</v>
      </c>
      <c r="H1986" t="s">
        <v>18</v>
      </c>
    </row>
    <row r="1987" spans="1:8" x14ac:dyDescent="0.3">
      <c r="A1987" t="s">
        <v>350</v>
      </c>
      <c r="B1987" t="s">
        <v>19</v>
      </c>
      <c r="C1987">
        <v>891.77459999999996</v>
      </c>
      <c r="D1987">
        <v>902.58690999999999</v>
      </c>
      <c r="E1987">
        <v>885.22882000000004</v>
      </c>
      <c r="F1987">
        <v>895.55980999999997</v>
      </c>
      <c r="G1987">
        <v>1780660164</v>
      </c>
      <c r="H1987" t="s">
        <v>20</v>
      </c>
    </row>
    <row r="1988" spans="1:8" x14ac:dyDescent="0.3">
      <c r="A1988" t="s">
        <v>351</v>
      </c>
      <c r="B1988" t="s">
        <v>9</v>
      </c>
      <c r="C1988">
        <v>0.43368000000000001</v>
      </c>
      <c r="D1988">
        <v>0.43524000000000002</v>
      </c>
      <c r="E1988">
        <v>0.41615999999999997</v>
      </c>
      <c r="F1988">
        <v>0.42022999999999999</v>
      </c>
      <c r="G1988">
        <v>624407301</v>
      </c>
      <c r="H1988" t="s">
        <v>10</v>
      </c>
    </row>
    <row r="1989" spans="1:8" x14ac:dyDescent="0.3">
      <c r="A1989" t="s">
        <v>351</v>
      </c>
      <c r="B1989" t="s">
        <v>11</v>
      </c>
      <c r="C1989">
        <v>91285.382809999996</v>
      </c>
      <c r="D1989">
        <v>92969.085940000004</v>
      </c>
      <c r="E1989">
        <v>90257.117190000004</v>
      </c>
      <c r="F1989">
        <v>90919.265629999994</v>
      </c>
      <c r="G1989">
        <v>60895830289</v>
      </c>
      <c r="H1989" t="s">
        <v>12</v>
      </c>
    </row>
    <row r="1990" spans="1:8" x14ac:dyDescent="0.3">
      <c r="A1990" t="s">
        <v>351</v>
      </c>
      <c r="B1990" t="s">
        <v>13</v>
      </c>
      <c r="C1990">
        <v>140.84648000000001</v>
      </c>
      <c r="D1990">
        <v>143.30421000000001</v>
      </c>
      <c r="E1990">
        <v>136.28542999999999</v>
      </c>
      <c r="F1990">
        <v>137.39019999999999</v>
      </c>
      <c r="G1990">
        <v>4865188881</v>
      </c>
      <c r="H1990" t="s">
        <v>14</v>
      </c>
    </row>
    <row r="1991" spans="1:8" x14ac:dyDescent="0.3">
      <c r="A1991" t="s">
        <v>351</v>
      </c>
      <c r="B1991" t="s">
        <v>15</v>
      </c>
      <c r="C1991">
        <v>2.2008299999999998</v>
      </c>
      <c r="D1991">
        <v>2.2629000000000001</v>
      </c>
      <c r="E1991">
        <v>2.1615099999999998</v>
      </c>
      <c r="F1991">
        <v>2.18065</v>
      </c>
      <c r="G1991">
        <v>4332649955</v>
      </c>
      <c r="H1991" t="s">
        <v>16</v>
      </c>
    </row>
    <row r="1992" spans="1:8" x14ac:dyDescent="0.3">
      <c r="A1992" t="s">
        <v>351</v>
      </c>
      <c r="B1992" t="s">
        <v>17</v>
      </c>
      <c r="C1992">
        <v>3014.5437000000002</v>
      </c>
      <c r="D1992">
        <v>3095.0331999999999</v>
      </c>
      <c r="E1992">
        <v>2995.76514</v>
      </c>
      <c r="F1992">
        <v>3032.3044399999999</v>
      </c>
      <c r="G1992">
        <v>20659958964</v>
      </c>
      <c r="H1992" t="s">
        <v>18</v>
      </c>
    </row>
    <row r="1993" spans="1:8" x14ac:dyDescent="0.3">
      <c r="A1993" t="s">
        <v>351</v>
      </c>
      <c r="B1993" t="s">
        <v>19</v>
      </c>
      <c r="C1993">
        <v>895.56439</v>
      </c>
      <c r="D1993">
        <v>904.37909000000002</v>
      </c>
      <c r="E1993">
        <v>877.31353999999999</v>
      </c>
      <c r="F1993">
        <v>887.64679000000001</v>
      </c>
      <c r="G1993">
        <v>2009647841</v>
      </c>
      <c r="H1993" t="s">
        <v>20</v>
      </c>
    </row>
    <row r="1994" spans="1:8" x14ac:dyDescent="0.3">
      <c r="A1994" t="s">
        <v>352</v>
      </c>
      <c r="B1994" t="s">
        <v>9</v>
      </c>
      <c r="C1994">
        <v>0.42022999999999999</v>
      </c>
      <c r="D1994">
        <v>0.42157</v>
      </c>
      <c r="E1994">
        <v>0.41303000000000001</v>
      </c>
      <c r="F1994">
        <v>0.41538000000000003</v>
      </c>
      <c r="G1994">
        <v>379239805</v>
      </c>
      <c r="H1994" t="s">
        <v>10</v>
      </c>
    </row>
    <row r="1995" spans="1:8" x14ac:dyDescent="0.3">
      <c r="A1995" t="s">
        <v>352</v>
      </c>
      <c r="B1995" t="s">
        <v>11</v>
      </c>
      <c r="C1995">
        <v>90918.742190000004</v>
      </c>
      <c r="D1995">
        <v>91187.617190000004</v>
      </c>
      <c r="E1995">
        <v>90260.1875</v>
      </c>
      <c r="F1995">
        <v>90851.757809999996</v>
      </c>
      <c r="G1995">
        <v>37921773455</v>
      </c>
      <c r="H1995" t="s">
        <v>12</v>
      </c>
    </row>
    <row r="1996" spans="1:8" x14ac:dyDescent="0.3">
      <c r="A1996" t="s">
        <v>352</v>
      </c>
      <c r="B1996" t="s">
        <v>13</v>
      </c>
      <c r="C1996">
        <v>137.39063999999999</v>
      </c>
      <c r="D1996">
        <v>137.88578999999999</v>
      </c>
      <c r="E1996">
        <v>135.12067999999999</v>
      </c>
      <c r="F1996">
        <v>136.08170999999999</v>
      </c>
      <c r="G1996">
        <v>2428334173</v>
      </c>
      <c r="H1996" t="s">
        <v>14</v>
      </c>
    </row>
    <row r="1997" spans="1:8" x14ac:dyDescent="0.3">
      <c r="A1997" t="s">
        <v>352</v>
      </c>
      <c r="B1997" t="s">
        <v>15</v>
      </c>
      <c r="C1997">
        <v>2.18065</v>
      </c>
      <c r="D1997">
        <v>2.2206000000000001</v>
      </c>
      <c r="E1997">
        <v>2.1725099999999999</v>
      </c>
      <c r="F1997">
        <v>2.2033800000000001</v>
      </c>
      <c r="G1997">
        <v>2108094066</v>
      </c>
      <c r="H1997" t="s">
        <v>16</v>
      </c>
    </row>
    <row r="1998" spans="1:8" x14ac:dyDescent="0.3">
      <c r="A1998" t="s">
        <v>352</v>
      </c>
      <c r="B1998" t="s">
        <v>17</v>
      </c>
      <c r="C1998">
        <v>3032.2954100000002</v>
      </c>
      <c r="D1998">
        <v>3051.9628899999998</v>
      </c>
      <c r="E1998">
        <v>2966.8508299999999</v>
      </c>
      <c r="F1998">
        <v>2991.6853000000001</v>
      </c>
      <c r="G1998">
        <v>12775481230</v>
      </c>
      <c r="H1998" t="s">
        <v>18</v>
      </c>
    </row>
    <row r="1999" spans="1:8" x14ac:dyDescent="0.3">
      <c r="A1999" t="s">
        <v>352</v>
      </c>
      <c r="B1999" t="s">
        <v>19</v>
      </c>
      <c r="C1999">
        <v>887.64655000000005</v>
      </c>
      <c r="D1999">
        <v>888.85302999999999</v>
      </c>
      <c r="E1999">
        <v>869.83574999999996</v>
      </c>
      <c r="F1999">
        <v>873.68988000000002</v>
      </c>
      <c r="G1999">
        <v>1357539865</v>
      </c>
      <c r="H1999" t="s">
        <v>20</v>
      </c>
    </row>
    <row r="2000" spans="1:8" x14ac:dyDescent="0.3">
      <c r="A2000" t="s">
        <v>353</v>
      </c>
      <c r="B2000" t="s">
        <v>9</v>
      </c>
      <c r="C2000">
        <v>0.41538000000000003</v>
      </c>
      <c r="D2000">
        <v>0.42709000000000003</v>
      </c>
      <c r="E2000">
        <v>0.41446</v>
      </c>
      <c r="F2000">
        <v>0.41588999999999998</v>
      </c>
      <c r="G2000">
        <v>397706532</v>
      </c>
      <c r="H2000" t="s">
        <v>10</v>
      </c>
    </row>
    <row r="2001" spans="1:8" x14ac:dyDescent="0.3">
      <c r="A2001" t="s">
        <v>353</v>
      </c>
      <c r="B2001" t="s">
        <v>11</v>
      </c>
      <c r="C2001">
        <v>90838.210940000004</v>
      </c>
      <c r="D2001">
        <v>91965.046879999994</v>
      </c>
      <c r="E2001">
        <v>90394.3125</v>
      </c>
      <c r="F2001">
        <v>90394.3125</v>
      </c>
      <c r="G2001">
        <v>38497902869</v>
      </c>
      <c r="H2001" t="s">
        <v>12</v>
      </c>
    </row>
    <row r="2002" spans="1:8" x14ac:dyDescent="0.3">
      <c r="A2002" t="s">
        <v>353</v>
      </c>
      <c r="B2002" t="s">
        <v>13</v>
      </c>
      <c r="C2002">
        <v>136.08211</v>
      </c>
      <c r="D2002">
        <v>139.93711999999999</v>
      </c>
      <c r="E2002">
        <v>133.56482</v>
      </c>
      <c r="F2002">
        <v>133.56482</v>
      </c>
      <c r="G2002">
        <v>3123775023</v>
      </c>
      <c r="H2002" t="s">
        <v>14</v>
      </c>
    </row>
    <row r="2003" spans="1:8" x14ac:dyDescent="0.3">
      <c r="A2003" t="s">
        <v>353</v>
      </c>
      <c r="B2003" t="s">
        <v>15</v>
      </c>
      <c r="C2003">
        <v>2.2033700000000001</v>
      </c>
      <c r="D2003">
        <v>2.2123300000000001</v>
      </c>
      <c r="E2003">
        <v>2.1609699999999998</v>
      </c>
      <c r="F2003">
        <v>2.1609699999999998</v>
      </c>
      <c r="G2003">
        <v>1888526431</v>
      </c>
      <c r="H2003" t="s">
        <v>16</v>
      </c>
    </row>
    <row r="2004" spans="1:8" x14ac:dyDescent="0.3">
      <c r="A2004" t="s">
        <v>353</v>
      </c>
      <c r="B2004" t="s">
        <v>17</v>
      </c>
      <c r="C2004">
        <v>2991.3752399999998</v>
      </c>
      <c r="D2004">
        <v>3051.5979000000002</v>
      </c>
      <c r="E2004">
        <v>2978.8261699999998</v>
      </c>
      <c r="F2004">
        <v>2992.1125499999998</v>
      </c>
      <c r="G2004">
        <v>11530446514</v>
      </c>
      <c r="H2004" t="s">
        <v>18</v>
      </c>
    </row>
    <row r="2005" spans="1:8" x14ac:dyDescent="0.3">
      <c r="A2005" t="s">
        <v>353</v>
      </c>
      <c r="B2005" t="s">
        <v>19</v>
      </c>
      <c r="C2005">
        <v>873.68848000000003</v>
      </c>
      <c r="D2005">
        <v>899.57476999999994</v>
      </c>
      <c r="E2005">
        <v>871.07372999999995</v>
      </c>
      <c r="F2005">
        <v>877.57677999999999</v>
      </c>
      <c r="G2005">
        <v>1452982911</v>
      </c>
      <c r="H2005" t="s">
        <v>20</v>
      </c>
    </row>
    <row r="2006" spans="1:8" x14ac:dyDescent="0.3">
      <c r="A2006" t="s">
        <v>354</v>
      </c>
      <c r="B2006" t="s">
        <v>9</v>
      </c>
      <c r="C2006">
        <v>0.41588999999999998</v>
      </c>
      <c r="D2006">
        <v>0.41588999999999998</v>
      </c>
      <c r="E2006">
        <v>0.37192999999999998</v>
      </c>
      <c r="F2006">
        <v>0.38571</v>
      </c>
      <c r="G2006">
        <v>965561899</v>
      </c>
      <c r="H2006" t="s">
        <v>10</v>
      </c>
    </row>
    <row r="2007" spans="1:8" x14ac:dyDescent="0.3">
      <c r="A2007" t="s">
        <v>354</v>
      </c>
      <c r="B2007" t="s">
        <v>11</v>
      </c>
      <c r="C2007">
        <v>90389.109379999994</v>
      </c>
      <c r="D2007">
        <v>90398.15625</v>
      </c>
      <c r="E2007">
        <v>83862.25</v>
      </c>
      <c r="F2007">
        <v>86321.570309999996</v>
      </c>
      <c r="G2007">
        <v>87962894424</v>
      </c>
      <c r="H2007" t="s">
        <v>12</v>
      </c>
    </row>
    <row r="2008" spans="1:8" x14ac:dyDescent="0.3">
      <c r="A2008" t="s">
        <v>354</v>
      </c>
      <c r="B2008" t="s">
        <v>13</v>
      </c>
      <c r="C2008">
        <v>133.56482</v>
      </c>
      <c r="D2008">
        <v>133.60721000000001</v>
      </c>
      <c r="E2008">
        <v>123.31386999999999</v>
      </c>
      <c r="F2008">
        <v>126.70902</v>
      </c>
      <c r="G2008">
        <v>6212210725</v>
      </c>
      <c r="H2008" t="s">
        <v>14</v>
      </c>
    </row>
    <row r="2009" spans="1:8" x14ac:dyDescent="0.3">
      <c r="A2009" t="s">
        <v>354</v>
      </c>
      <c r="B2009" t="s">
        <v>15</v>
      </c>
      <c r="C2009">
        <v>2.1606399999999999</v>
      </c>
      <c r="D2009">
        <v>2.16079</v>
      </c>
      <c r="E2009">
        <v>1.9879800000000001</v>
      </c>
      <c r="F2009">
        <v>2.0309200000000001</v>
      </c>
      <c r="G2009">
        <v>5482181614</v>
      </c>
      <c r="H2009" t="s">
        <v>16</v>
      </c>
    </row>
    <row r="2010" spans="1:8" x14ac:dyDescent="0.3">
      <c r="A2010" t="s">
        <v>354</v>
      </c>
      <c r="B2010" t="s">
        <v>17</v>
      </c>
      <c r="C2010">
        <v>2991.9231</v>
      </c>
      <c r="D2010">
        <v>2996.88184</v>
      </c>
      <c r="E2010">
        <v>2720.4365200000002</v>
      </c>
      <c r="F2010">
        <v>2800.1889700000002</v>
      </c>
      <c r="G2010">
        <v>36679598313</v>
      </c>
      <c r="H2010" t="s">
        <v>18</v>
      </c>
    </row>
    <row r="2011" spans="1:8" x14ac:dyDescent="0.3">
      <c r="A2011" t="s">
        <v>354</v>
      </c>
      <c r="B2011" t="s">
        <v>19</v>
      </c>
      <c r="C2011">
        <v>877.56158000000005</v>
      </c>
      <c r="D2011">
        <v>877.70483000000002</v>
      </c>
      <c r="E2011">
        <v>803.45825000000002</v>
      </c>
      <c r="F2011">
        <v>827.40539999999999</v>
      </c>
      <c r="G2011">
        <v>2778473663</v>
      </c>
      <c r="H2011" t="s">
        <v>20</v>
      </c>
    </row>
    <row r="2012" spans="1:8" x14ac:dyDescent="0.3">
      <c r="A2012" t="s">
        <v>355</v>
      </c>
      <c r="B2012" t="s">
        <v>9</v>
      </c>
      <c r="C2012">
        <v>0.38571</v>
      </c>
      <c r="D2012">
        <v>0.43836999999999998</v>
      </c>
      <c r="E2012">
        <v>0.38568999999999998</v>
      </c>
      <c r="F2012">
        <v>0.43396000000000001</v>
      </c>
      <c r="G2012">
        <v>837346960</v>
      </c>
      <c r="H2012" t="s">
        <v>10</v>
      </c>
    </row>
    <row r="2013" spans="1:8" x14ac:dyDescent="0.3">
      <c r="A2013" t="s">
        <v>355</v>
      </c>
      <c r="B2013" t="s">
        <v>11</v>
      </c>
      <c r="C2013">
        <v>86322.539059999996</v>
      </c>
      <c r="D2013">
        <v>92316.632809999996</v>
      </c>
      <c r="E2013">
        <v>86202.195309999996</v>
      </c>
      <c r="F2013">
        <v>91350.203129999994</v>
      </c>
      <c r="G2013">
        <v>78546798211</v>
      </c>
      <c r="H2013" t="s">
        <v>12</v>
      </c>
    </row>
    <row r="2014" spans="1:8" x14ac:dyDescent="0.3">
      <c r="A2014" t="s">
        <v>355</v>
      </c>
      <c r="B2014" t="s">
        <v>13</v>
      </c>
      <c r="C2014">
        <v>126.70862</v>
      </c>
      <c r="D2014">
        <v>140.66482999999999</v>
      </c>
      <c r="E2014">
        <v>126.14126</v>
      </c>
      <c r="F2014">
        <v>138.67420999999999</v>
      </c>
      <c r="G2014">
        <v>6173683503</v>
      </c>
      <c r="H2014" t="s">
        <v>14</v>
      </c>
    </row>
    <row r="2015" spans="1:8" x14ac:dyDescent="0.3">
      <c r="A2015" t="s">
        <v>355</v>
      </c>
      <c r="B2015" t="s">
        <v>15</v>
      </c>
      <c r="C2015">
        <v>2.0309200000000001</v>
      </c>
      <c r="D2015">
        <v>2.1788500000000002</v>
      </c>
      <c r="E2015">
        <v>1.9983299999999999</v>
      </c>
      <c r="F2015">
        <v>2.1555200000000001</v>
      </c>
      <c r="G2015">
        <v>4387656803</v>
      </c>
      <c r="H2015" t="s">
        <v>16</v>
      </c>
    </row>
    <row r="2016" spans="1:8" x14ac:dyDescent="0.3">
      <c r="A2016" t="s">
        <v>355</v>
      </c>
      <c r="B2016" t="s">
        <v>17</v>
      </c>
      <c r="C2016">
        <v>2800.2231499999998</v>
      </c>
      <c r="D2016">
        <v>3032.7612300000001</v>
      </c>
      <c r="E2016">
        <v>2784.3906299999999</v>
      </c>
      <c r="F2016">
        <v>2997.9396999999999</v>
      </c>
      <c r="G2016">
        <v>26593645111</v>
      </c>
      <c r="H2016" t="s">
        <v>18</v>
      </c>
    </row>
    <row r="2017" spans="1:8" x14ac:dyDescent="0.3">
      <c r="A2017" t="s">
        <v>355</v>
      </c>
      <c r="B2017" t="s">
        <v>19</v>
      </c>
      <c r="C2017">
        <v>827.40923999999995</v>
      </c>
      <c r="D2017">
        <v>884.05988000000002</v>
      </c>
      <c r="E2017">
        <v>821.30096000000003</v>
      </c>
      <c r="F2017">
        <v>877.03467000000001</v>
      </c>
      <c r="G2017">
        <v>2264885312</v>
      </c>
      <c r="H2017" t="s">
        <v>20</v>
      </c>
    </row>
    <row r="2018" spans="1:8" x14ac:dyDescent="0.3">
      <c r="A2018" t="s">
        <v>356</v>
      </c>
      <c r="B2018" t="s">
        <v>9</v>
      </c>
      <c r="C2018">
        <v>0.43395</v>
      </c>
      <c r="D2018">
        <v>0.45315</v>
      </c>
      <c r="E2018">
        <v>0.42810999999999999</v>
      </c>
      <c r="F2018">
        <v>0.45080999999999999</v>
      </c>
      <c r="G2018">
        <v>817986188</v>
      </c>
      <c r="H2018" t="s">
        <v>10</v>
      </c>
    </row>
    <row r="2019" spans="1:8" x14ac:dyDescent="0.3">
      <c r="A2019" t="s">
        <v>356</v>
      </c>
      <c r="B2019" t="s">
        <v>11</v>
      </c>
      <c r="C2019">
        <v>91345.09375</v>
      </c>
      <c r="D2019">
        <v>94060.773440000004</v>
      </c>
      <c r="E2019">
        <v>91056.390629999994</v>
      </c>
      <c r="F2019">
        <v>93527.804690000004</v>
      </c>
      <c r="G2019">
        <v>77650204986</v>
      </c>
      <c r="H2019" t="s">
        <v>12</v>
      </c>
    </row>
    <row r="2020" spans="1:8" x14ac:dyDescent="0.3">
      <c r="A2020" t="s">
        <v>356</v>
      </c>
      <c r="B2020" t="s">
        <v>13</v>
      </c>
      <c r="C2020">
        <v>138.67310000000001</v>
      </c>
      <c r="D2020">
        <v>145.73007000000001</v>
      </c>
      <c r="E2020">
        <v>137.94105999999999</v>
      </c>
      <c r="F2020">
        <v>144.89850000000001</v>
      </c>
      <c r="G2020">
        <v>5809364566</v>
      </c>
      <c r="H2020" t="s">
        <v>14</v>
      </c>
    </row>
    <row r="2021" spans="1:8" x14ac:dyDescent="0.3">
      <c r="A2021" t="s">
        <v>356</v>
      </c>
      <c r="B2021" t="s">
        <v>15</v>
      </c>
      <c r="C2021">
        <v>2.1554700000000002</v>
      </c>
      <c r="D2021">
        <v>2.2173500000000002</v>
      </c>
      <c r="E2021">
        <v>2.1436600000000001</v>
      </c>
      <c r="F2021">
        <v>2.2019099999999998</v>
      </c>
      <c r="G2021">
        <v>3860198446</v>
      </c>
      <c r="H2021" t="s">
        <v>16</v>
      </c>
    </row>
    <row r="2022" spans="1:8" x14ac:dyDescent="0.3">
      <c r="A2022" t="s">
        <v>356</v>
      </c>
      <c r="B2022" t="s">
        <v>17</v>
      </c>
      <c r="C2022">
        <v>2997.8015099999998</v>
      </c>
      <c r="D2022">
        <v>3212.5598100000002</v>
      </c>
      <c r="E2022">
        <v>2988.1420899999998</v>
      </c>
      <c r="F2022">
        <v>3191.5717800000002</v>
      </c>
      <c r="G2022">
        <v>29949301036</v>
      </c>
      <c r="H2022" t="s">
        <v>18</v>
      </c>
    </row>
    <row r="2023" spans="1:8" x14ac:dyDescent="0.3">
      <c r="A2023" t="s">
        <v>356</v>
      </c>
      <c r="B2023" t="s">
        <v>19</v>
      </c>
      <c r="C2023">
        <v>877.02850000000001</v>
      </c>
      <c r="D2023">
        <v>922.12994000000003</v>
      </c>
      <c r="E2023">
        <v>874.41223000000002</v>
      </c>
      <c r="F2023">
        <v>921.75372000000004</v>
      </c>
      <c r="G2023">
        <v>2754777581</v>
      </c>
      <c r="H2023" t="s">
        <v>20</v>
      </c>
    </row>
    <row r="2024" spans="1:8" x14ac:dyDescent="0.3">
      <c r="A2024" t="s">
        <v>357</v>
      </c>
      <c r="B2024" t="s">
        <v>9</v>
      </c>
      <c r="C2024">
        <v>0.45074999999999998</v>
      </c>
      <c r="D2024">
        <v>0.45467000000000002</v>
      </c>
      <c r="E2024">
        <v>0.43558000000000002</v>
      </c>
      <c r="F2024">
        <v>0.43945000000000001</v>
      </c>
      <c r="G2024">
        <v>642155044</v>
      </c>
      <c r="H2024" t="s">
        <v>10</v>
      </c>
    </row>
    <row r="2025" spans="1:8" x14ac:dyDescent="0.3">
      <c r="A2025" t="s">
        <v>357</v>
      </c>
      <c r="B2025" t="s">
        <v>11</v>
      </c>
      <c r="C2025">
        <v>93454.257809999996</v>
      </c>
      <c r="D2025">
        <v>94038.242190000004</v>
      </c>
      <c r="E2025">
        <v>90976.101559999996</v>
      </c>
      <c r="F2025">
        <v>92141.625</v>
      </c>
      <c r="G2025">
        <v>64538402681</v>
      </c>
      <c r="H2025" t="s">
        <v>12</v>
      </c>
    </row>
    <row r="2026" spans="1:8" x14ac:dyDescent="0.3">
      <c r="A2026" t="s">
        <v>357</v>
      </c>
      <c r="B2026" t="s">
        <v>13</v>
      </c>
      <c r="C2026">
        <v>144.89153999999999</v>
      </c>
      <c r="D2026">
        <v>146.72038000000001</v>
      </c>
      <c r="E2026">
        <v>138.06799000000001</v>
      </c>
      <c r="F2026">
        <v>139.01453000000001</v>
      </c>
      <c r="G2026">
        <v>4304817495</v>
      </c>
      <c r="H2026" t="s">
        <v>14</v>
      </c>
    </row>
    <row r="2027" spans="1:8" x14ac:dyDescent="0.3">
      <c r="A2027" t="s">
        <v>357</v>
      </c>
      <c r="B2027" t="s">
        <v>15</v>
      </c>
      <c r="C2027">
        <v>2.2015899999999999</v>
      </c>
      <c r="D2027">
        <v>2.2096900000000002</v>
      </c>
      <c r="E2027">
        <v>2.0735899999999998</v>
      </c>
      <c r="F2027">
        <v>2.0971700000000002</v>
      </c>
      <c r="G2027">
        <v>3357933972</v>
      </c>
      <c r="H2027" t="s">
        <v>16</v>
      </c>
    </row>
    <row r="2028" spans="1:8" x14ac:dyDescent="0.3">
      <c r="A2028" t="s">
        <v>357</v>
      </c>
      <c r="B2028" t="s">
        <v>17</v>
      </c>
      <c r="C2028">
        <v>3188.3435100000002</v>
      </c>
      <c r="D2028">
        <v>3238.5554200000001</v>
      </c>
      <c r="E2028">
        <v>3071.3100599999998</v>
      </c>
      <c r="F2028">
        <v>3134.3164099999999</v>
      </c>
      <c r="G2028">
        <v>27434991113</v>
      </c>
      <c r="H2028" t="s">
        <v>18</v>
      </c>
    </row>
    <row r="2029" spans="1:8" x14ac:dyDescent="0.3">
      <c r="A2029" t="s">
        <v>357</v>
      </c>
      <c r="B2029" t="s">
        <v>19</v>
      </c>
      <c r="C2029">
        <v>921.73212000000001</v>
      </c>
      <c r="D2029">
        <v>927.45496000000003</v>
      </c>
      <c r="E2029">
        <v>889.61743000000001</v>
      </c>
      <c r="F2029">
        <v>900.06610000000001</v>
      </c>
      <c r="G2029">
        <v>2052379059</v>
      </c>
      <c r="H2029" t="s">
        <v>20</v>
      </c>
    </row>
    <row r="2030" spans="1:8" x14ac:dyDescent="0.3">
      <c r="A2030" t="s">
        <v>358</v>
      </c>
      <c r="B2030" t="s">
        <v>9</v>
      </c>
      <c r="C2030">
        <v>0.43945000000000001</v>
      </c>
      <c r="D2030">
        <v>0.44235000000000002</v>
      </c>
      <c r="E2030">
        <v>0.41066000000000003</v>
      </c>
      <c r="F2030">
        <v>0.41626999999999997</v>
      </c>
      <c r="G2030">
        <v>590647098</v>
      </c>
      <c r="H2030" t="s">
        <v>10</v>
      </c>
    </row>
    <row r="2031" spans="1:8" x14ac:dyDescent="0.3">
      <c r="A2031" t="s">
        <v>358</v>
      </c>
      <c r="B2031" t="s">
        <v>11</v>
      </c>
      <c r="C2031">
        <v>92133.648440000004</v>
      </c>
      <c r="D2031">
        <v>92702.640629999994</v>
      </c>
      <c r="E2031">
        <v>88152.140629999994</v>
      </c>
      <c r="F2031">
        <v>89387.757809999996</v>
      </c>
      <c r="G2031">
        <v>63256398633</v>
      </c>
      <c r="H2031" t="s">
        <v>12</v>
      </c>
    </row>
    <row r="2032" spans="1:8" x14ac:dyDescent="0.3">
      <c r="A2032" t="s">
        <v>358</v>
      </c>
      <c r="B2032" t="s">
        <v>13</v>
      </c>
      <c r="C2032">
        <v>139.01398</v>
      </c>
      <c r="D2032">
        <v>140.37988000000001</v>
      </c>
      <c r="E2032">
        <v>131.1353</v>
      </c>
      <c r="F2032">
        <v>133.32300000000001</v>
      </c>
      <c r="G2032">
        <v>4557254539</v>
      </c>
      <c r="H2032" t="s">
        <v>14</v>
      </c>
    </row>
    <row r="2033" spans="1:8" x14ac:dyDescent="0.3">
      <c r="A2033" t="s">
        <v>358</v>
      </c>
      <c r="B2033" t="s">
        <v>15</v>
      </c>
      <c r="C2033">
        <v>2.0971600000000001</v>
      </c>
      <c r="D2033">
        <v>2.1116799999999998</v>
      </c>
      <c r="E2033">
        <v>2.0179499999999999</v>
      </c>
      <c r="F2033">
        <v>2.0376099999999999</v>
      </c>
      <c r="G2033">
        <v>3315458822</v>
      </c>
      <c r="H2033" t="s">
        <v>16</v>
      </c>
    </row>
    <row r="2034" spans="1:8" x14ac:dyDescent="0.3">
      <c r="A2034" t="s">
        <v>358</v>
      </c>
      <c r="B2034" t="s">
        <v>17</v>
      </c>
      <c r="C2034">
        <v>3134.3574199999998</v>
      </c>
      <c r="D2034">
        <v>3192.45703</v>
      </c>
      <c r="E2034">
        <v>2989.8315400000001</v>
      </c>
      <c r="F2034">
        <v>3024.4328599999999</v>
      </c>
      <c r="G2034">
        <v>28000268228</v>
      </c>
      <c r="H2034" t="s">
        <v>18</v>
      </c>
    </row>
    <row r="2035" spans="1:8" x14ac:dyDescent="0.3">
      <c r="A2035" t="s">
        <v>358</v>
      </c>
      <c r="B2035" t="s">
        <v>19</v>
      </c>
      <c r="C2035">
        <v>900.06371999999999</v>
      </c>
      <c r="D2035">
        <v>906.85235999999998</v>
      </c>
      <c r="E2035">
        <v>873.40637000000004</v>
      </c>
      <c r="F2035">
        <v>884.21807999999999</v>
      </c>
      <c r="G2035">
        <v>1968850986</v>
      </c>
      <c r="H2035" t="s">
        <v>20</v>
      </c>
    </row>
    <row r="2036" spans="1:8" x14ac:dyDescent="0.3">
      <c r="A2036" t="s">
        <v>359</v>
      </c>
      <c r="B2036" t="s">
        <v>9</v>
      </c>
      <c r="C2036">
        <v>0.41626999999999997</v>
      </c>
      <c r="D2036">
        <v>0.42085</v>
      </c>
      <c r="E2036">
        <v>0.41042000000000001</v>
      </c>
      <c r="F2036">
        <v>0.41393000000000002</v>
      </c>
      <c r="G2036">
        <v>326306941</v>
      </c>
      <c r="H2036" t="s">
        <v>10</v>
      </c>
    </row>
    <row r="2037" spans="1:8" x14ac:dyDescent="0.3">
      <c r="A2037" t="s">
        <v>359</v>
      </c>
      <c r="B2037" t="s">
        <v>11</v>
      </c>
      <c r="C2037">
        <v>89389.359379999994</v>
      </c>
      <c r="D2037">
        <v>90267.460940000004</v>
      </c>
      <c r="E2037">
        <v>88951.664059999996</v>
      </c>
      <c r="F2037">
        <v>89272.375</v>
      </c>
      <c r="G2037">
        <v>37994042405</v>
      </c>
      <c r="H2037" t="s">
        <v>12</v>
      </c>
    </row>
    <row r="2038" spans="1:8" x14ac:dyDescent="0.3">
      <c r="A2038" t="s">
        <v>359</v>
      </c>
      <c r="B2038" t="s">
        <v>13</v>
      </c>
      <c r="C2038">
        <v>133.32436999999999</v>
      </c>
      <c r="D2038">
        <v>134.06984</v>
      </c>
      <c r="E2038">
        <v>131.50658000000001</v>
      </c>
      <c r="F2038">
        <v>132.34845000000001</v>
      </c>
      <c r="G2038">
        <v>2061286212</v>
      </c>
      <c r="H2038" t="s">
        <v>14</v>
      </c>
    </row>
    <row r="2039" spans="1:8" x14ac:dyDescent="0.3">
      <c r="A2039" t="s">
        <v>359</v>
      </c>
      <c r="B2039" t="s">
        <v>15</v>
      </c>
      <c r="C2039">
        <v>2.0376099999999999</v>
      </c>
      <c r="D2039">
        <v>2.04922</v>
      </c>
      <c r="E2039">
        <v>2.0187599999999999</v>
      </c>
      <c r="F2039">
        <v>2.0326200000000001</v>
      </c>
      <c r="G2039">
        <v>1682146760</v>
      </c>
      <c r="H2039" t="s">
        <v>16</v>
      </c>
    </row>
    <row r="2040" spans="1:8" x14ac:dyDescent="0.3">
      <c r="A2040" t="s">
        <v>359</v>
      </c>
      <c r="B2040" t="s">
        <v>17</v>
      </c>
      <c r="C2040">
        <v>3024.4875499999998</v>
      </c>
      <c r="D2040">
        <v>3067.66138</v>
      </c>
      <c r="E2040">
        <v>3013.9819299999999</v>
      </c>
      <c r="F2040">
        <v>3040.2077599999998</v>
      </c>
      <c r="G2040">
        <v>10962819760</v>
      </c>
      <c r="H2040" t="s">
        <v>18</v>
      </c>
    </row>
    <row r="2041" spans="1:8" x14ac:dyDescent="0.3">
      <c r="A2041" t="s">
        <v>359</v>
      </c>
      <c r="B2041" t="s">
        <v>19</v>
      </c>
      <c r="C2041">
        <v>884.21276999999998</v>
      </c>
      <c r="D2041">
        <v>896.65581999999995</v>
      </c>
      <c r="E2041">
        <v>878.98383000000001</v>
      </c>
      <c r="F2041">
        <v>890.54503999999997</v>
      </c>
      <c r="G2041">
        <v>1418385761</v>
      </c>
      <c r="H2041" t="s">
        <v>20</v>
      </c>
    </row>
    <row r="2042" spans="1:8" x14ac:dyDescent="0.3">
      <c r="A2042" t="s">
        <v>360</v>
      </c>
      <c r="B2042" t="s">
        <v>9</v>
      </c>
      <c r="C2042">
        <v>0.41393000000000002</v>
      </c>
      <c r="D2042">
        <v>0.43430999999999997</v>
      </c>
      <c r="E2042">
        <v>0.40758</v>
      </c>
      <c r="F2042">
        <v>0.41681000000000001</v>
      </c>
      <c r="G2042">
        <v>609158162</v>
      </c>
      <c r="H2042" t="s">
        <v>10</v>
      </c>
    </row>
    <row r="2043" spans="1:8" x14ac:dyDescent="0.3">
      <c r="A2043" t="s">
        <v>360</v>
      </c>
      <c r="B2043" t="s">
        <v>11</v>
      </c>
      <c r="C2043">
        <v>89277.8125</v>
      </c>
      <c r="D2043">
        <v>91740.84375</v>
      </c>
      <c r="E2043">
        <v>87799.5625</v>
      </c>
      <c r="F2043">
        <v>90405.640629999994</v>
      </c>
      <c r="G2043">
        <v>47394898960</v>
      </c>
      <c r="H2043" t="s">
        <v>12</v>
      </c>
    </row>
    <row r="2044" spans="1:8" x14ac:dyDescent="0.3">
      <c r="A2044" t="s">
        <v>360</v>
      </c>
      <c r="B2044" t="s">
        <v>13</v>
      </c>
      <c r="C2044">
        <v>132.34987000000001</v>
      </c>
      <c r="D2044">
        <v>136.23267999999999</v>
      </c>
      <c r="E2044">
        <v>128.28511</v>
      </c>
      <c r="F2044">
        <v>132.09357</v>
      </c>
      <c r="G2044">
        <v>3824892147</v>
      </c>
      <c r="H2044" t="s">
        <v>14</v>
      </c>
    </row>
    <row r="2045" spans="1:8" x14ac:dyDescent="0.3">
      <c r="A2045" t="s">
        <v>360</v>
      </c>
      <c r="B2045" t="s">
        <v>15</v>
      </c>
      <c r="C2045">
        <v>2.0326300000000002</v>
      </c>
      <c r="D2045">
        <v>2.1088100000000001</v>
      </c>
      <c r="E2045">
        <v>2.0001799999999998</v>
      </c>
      <c r="F2045">
        <v>2.0434199999999998</v>
      </c>
      <c r="G2045">
        <v>2832015064</v>
      </c>
      <c r="H2045" t="s">
        <v>16</v>
      </c>
    </row>
    <row r="2046" spans="1:8" x14ac:dyDescent="0.3">
      <c r="A2046" t="s">
        <v>360</v>
      </c>
      <c r="B2046" t="s">
        <v>17</v>
      </c>
      <c r="C2046">
        <v>3040.1792</v>
      </c>
      <c r="D2046">
        <v>3148.7734399999999</v>
      </c>
      <c r="E2046">
        <v>2930.6452599999998</v>
      </c>
      <c r="F2046">
        <v>3061.3017599999998</v>
      </c>
      <c r="G2046">
        <v>20383496376</v>
      </c>
      <c r="H2046" t="s">
        <v>18</v>
      </c>
    </row>
    <row r="2047" spans="1:8" x14ac:dyDescent="0.3">
      <c r="A2047" t="s">
        <v>360</v>
      </c>
      <c r="B2047" t="s">
        <v>19</v>
      </c>
      <c r="C2047">
        <v>890.52666999999997</v>
      </c>
      <c r="D2047">
        <v>905.11450000000002</v>
      </c>
      <c r="E2047">
        <v>872.89458999999999</v>
      </c>
      <c r="F2047">
        <v>894.02228000000002</v>
      </c>
      <c r="G2047">
        <v>1779976227</v>
      </c>
      <c r="H2047" t="s">
        <v>20</v>
      </c>
    </row>
    <row r="2048" spans="1:8" x14ac:dyDescent="0.3">
      <c r="A2048" t="s">
        <v>361</v>
      </c>
      <c r="B2048" t="s">
        <v>9</v>
      </c>
      <c r="C2048">
        <v>0.41682999999999998</v>
      </c>
      <c r="D2048">
        <v>0.43997999999999998</v>
      </c>
      <c r="E2048">
        <v>0.41544999999999999</v>
      </c>
      <c r="F2048">
        <v>0.43219000000000002</v>
      </c>
      <c r="G2048">
        <v>627341088</v>
      </c>
      <c r="H2048" t="s">
        <v>10</v>
      </c>
    </row>
    <row r="2049" spans="1:8" x14ac:dyDescent="0.3">
      <c r="A2049" t="s">
        <v>361</v>
      </c>
      <c r="B2049" t="s">
        <v>11</v>
      </c>
      <c r="C2049">
        <v>90424.585940000004</v>
      </c>
      <c r="D2049">
        <v>92267.117190000004</v>
      </c>
      <c r="E2049">
        <v>89644.890629999994</v>
      </c>
      <c r="F2049">
        <v>90640.203129999994</v>
      </c>
      <c r="G2049">
        <v>57394099056</v>
      </c>
      <c r="H2049" t="s">
        <v>12</v>
      </c>
    </row>
    <row r="2050" spans="1:8" x14ac:dyDescent="0.3">
      <c r="A2050" t="s">
        <v>361</v>
      </c>
      <c r="B2050" t="s">
        <v>13</v>
      </c>
      <c r="C2050">
        <v>132.09599</v>
      </c>
      <c r="D2050">
        <v>139.20734999999999</v>
      </c>
      <c r="E2050">
        <v>131.67465000000001</v>
      </c>
      <c r="F2050">
        <v>133.27823000000001</v>
      </c>
      <c r="G2050">
        <v>4710407082</v>
      </c>
      <c r="H2050" t="s">
        <v>14</v>
      </c>
    </row>
    <row r="2051" spans="1:8" x14ac:dyDescent="0.3">
      <c r="A2051" t="s">
        <v>361</v>
      </c>
      <c r="B2051" t="s">
        <v>15</v>
      </c>
      <c r="C2051">
        <v>2.0434700000000001</v>
      </c>
      <c r="D2051">
        <v>2.1162700000000001</v>
      </c>
      <c r="E2051">
        <v>2.0369299999999999</v>
      </c>
      <c r="F2051">
        <v>2.0731099999999998</v>
      </c>
      <c r="G2051">
        <v>2909008695</v>
      </c>
      <c r="H2051" t="s">
        <v>16</v>
      </c>
    </row>
    <row r="2052" spans="1:8" x14ac:dyDescent="0.3">
      <c r="A2052" t="s">
        <v>361</v>
      </c>
      <c r="B2052" t="s">
        <v>17</v>
      </c>
      <c r="C2052">
        <v>3061.0136699999998</v>
      </c>
      <c r="D2052">
        <v>3177.8676799999998</v>
      </c>
      <c r="E2052">
        <v>3043.7038600000001</v>
      </c>
      <c r="F2052">
        <v>3125.1979999999999</v>
      </c>
      <c r="G2052">
        <v>25262165670</v>
      </c>
      <c r="H2052" t="s">
        <v>18</v>
      </c>
    </row>
    <row r="2053" spans="1:8" x14ac:dyDescent="0.3">
      <c r="A2053" t="s">
        <v>361</v>
      </c>
      <c r="B2053" t="s">
        <v>19</v>
      </c>
      <c r="C2053">
        <v>894.02733999999998</v>
      </c>
      <c r="D2053">
        <v>911.53863999999999</v>
      </c>
      <c r="E2053">
        <v>891.77899000000002</v>
      </c>
      <c r="F2053">
        <v>897.60406</v>
      </c>
      <c r="G2053">
        <v>1906067258</v>
      </c>
      <c r="H2053" t="s">
        <v>20</v>
      </c>
    </row>
    <row r="2054" spans="1:8" x14ac:dyDescent="0.3">
      <c r="A2054" t="s">
        <v>362</v>
      </c>
      <c r="B2054" t="s">
        <v>9</v>
      </c>
      <c r="C2054">
        <v>0.43219000000000002</v>
      </c>
      <c r="D2054">
        <v>0.48287000000000002</v>
      </c>
      <c r="E2054">
        <v>0.42464000000000002</v>
      </c>
      <c r="F2054">
        <v>0.47000999999999998</v>
      </c>
      <c r="G2054">
        <v>1369159342</v>
      </c>
      <c r="H2054" t="s">
        <v>10</v>
      </c>
    </row>
    <row r="2055" spans="1:8" x14ac:dyDescent="0.3">
      <c r="A2055" t="s">
        <v>362</v>
      </c>
      <c r="B2055" t="s">
        <v>11</v>
      </c>
      <c r="C2055">
        <v>90639.703129999994</v>
      </c>
      <c r="D2055">
        <v>94601.570309999996</v>
      </c>
      <c r="E2055">
        <v>89586.976559999996</v>
      </c>
      <c r="F2055">
        <v>92691.710940000004</v>
      </c>
      <c r="G2055">
        <v>66861721440</v>
      </c>
      <c r="H2055" t="s">
        <v>12</v>
      </c>
    </row>
    <row r="2056" spans="1:8" x14ac:dyDescent="0.3">
      <c r="A2056" t="s">
        <v>362</v>
      </c>
      <c r="B2056" t="s">
        <v>13</v>
      </c>
      <c r="C2056">
        <v>133.27833999999999</v>
      </c>
      <c r="D2056">
        <v>144.74278000000001</v>
      </c>
      <c r="E2056">
        <v>131.87073000000001</v>
      </c>
      <c r="F2056">
        <v>137.90161000000001</v>
      </c>
      <c r="G2056">
        <v>5869893316</v>
      </c>
      <c r="H2056" t="s">
        <v>14</v>
      </c>
    </row>
    <row r="2057" spans="1:8" x14ac:dyDescent="0.3">
      <c r="A2057" t="s">
        <v>362</v>
      </c>
      <c r="B2057" t="s">
        <v>15</v>
      </c>
      <c r="C2057">
        <v>2.0731099999999998</v>
      </c>
      <c r="D2057">
        <v>2.17442</v>
      </c>
      <c r="E2057">
        <v>2.0454500000000002</v>
      </c>
      <c r="F2057">
        <v>2.1084200000000002</v>
      </c>
      <c r="G2057">
        <v>3614920392</v>
      </c>
      <c r="H2057" t="s">
        <v>16</v>
      </c>
    </row>
    <row r="2058" spans="1:8" x14ac:dyDescent="0.3">
      <c r="A2058" t="s">
        <v>362</v>
      </c>
      <c r="B2058" t="s">
        <v>17</v>
      </c>
      <c r="C2058">
        <v>3124.94263</v>
      </c>
      <c r="D2058">
        <v>3395.83862</v>
      </c>
      <c r="E2058">
        <v>3092.8764700000002</v>
      </c>
      <c r="F2058">
        <v>3321.11499</v>
      </c>
      <c r="G2058">
        <v>32012553374</v>
      </c>
      <c r="H2058" t="s">
        <v>18</v>
      </c>
    </row>
    <row r="2059" spans="1:8" x14ac:dyDescent="0.3">
      <c r="A2059" t="s">
        <v>362</v>
      </c>
      <c r="B2059" t="s">
        <v>19</v>
      </c>
      <c r="C2059">
        <v>897.59064000000001</v>
      </c>
      <c r="D2059">
        <v>926.51709000000005</v>
      </c>
      <c r="E2059">
        <v>882.40723000000003</v>
      </c>
      <c r="F2059">
        <v>898.81042000000002</v>
      </c>
      <c r="G2059">
        <v>2357057936</v>
      </c>
      <c r="H2059" t="s">
        <v>20</v>
      </c>
    </row>
    <row r="2060" spans="1:8" x14ac:dyDescent="0.3">
      <c r="A2060" t="s">
        <v>363</v>
      </c>
      <c r="B2060" t="s">
        <v>9</v>
      </c>
      <c r="C2060">
        <v>0.47</v>
      </c>
      <c r="D2060">
        <v>0.47410000000000002</v>
      </c>
      <c r="E2060">
        <v>0.45349</v>
      </c>
      <c r="F2060">
        <v>0.45390000000000003</v>
      </c>
      <c r="G2060">
        <v>1065976755</v>
      </c>
      <c r="H2060" t="s">
        <v>10</v>
      </c>
    </row>
    <row r="2061" spans="1:8" x14ac:dyDescent="0.3">
      <c r="A2061" t="s">
        <v>363</v>
      </c>
      <c r="B2061" t="s">
        <v>11</v>
      </c>
      <c r="C2061">
        <v>92695.234379999994</v>
      </c>
      <c r="D2061">
        <v>94477.15625</v>
      </c>
      <c r="E2061">
        <v>91640.132809999996</v>
      </c>
      <c r="F2061">
        <v>92020.945309999996</v>
      </c>
      <c r="G2061">
        <v>65420694513</v>
      </c>
      <c r="H2061" t="s">
        <v>12</v>
      </c>
    </row>
    <row r="2062" spans="1:8" x14ac:dyDescent="0.3">
      <c r="A2062" t="s">
        <v>363</v>
      </c>
      <c r="B2062" t="s">
        <v>13</v>
      </c>
      <c r="C2062">
        <v>137.90610000000001</v>
      </c>
      <c r="D2062">
        <v>142.44235</v>
      </c>
      <c r="E2062">
        <v>135.86286999999999</v>
      </c>
      <c r="F2062">
        <v>136.46902</v>
      </c>
      <c r="G2062">
        <v>5949930252</v>
      </c>
      <c r="H2062" t="s">
        <v>14</v>
      </c>
    </row>
    <row r="2063" spans="1:8" x14ac:dyDescent="0.3">
      <c r="A2063" t="s">
        <v>363</v>
      </c>
      <c r="B2063" t="s">
        <v>15</v>
      </c>
      <c r="C2063">
        <v>2.1084200000000002</v>
      </c>
      <c r="D2063">
        <v>2.1088800000000001</v>
      </c>
      <c r="E2063">
        <v>2.0413299999999999</v>
      </c>
      <c r="F2063">
        <v>2.0433400000000002</v>
      </c>
      <c r="G2063">
        <v>3768702959</v>
      </c>
      <c r="H2063" t="s">
        <v>16</v>
      </c>
    </row>
    <row r="2064" spans="1:8" x14ac:dyDescent="0.3">
      <c r="A2064" t="s">
        <v>363</v>
      </c>
      <c r="B2064" t="s">
        <v>17</v>
      </c>
      <c r="C2064">
        <v>3321.2040999999999</v>
      </c>
      <c r="D2064">
        <v>3446.6228000000001</v>
      </c>
      <c r="E2064">
        <v>3290.1469699999998</v>
      </c>
      <c r="F2064">
        <v>3325.39014</v>
      </c>
      <c r="G2064">
        <v>30694387989</v>
      </c>
      <c r="H2064" t="s">
        <v>18</v>
      </c>
    </row>
    <row r="2065" spans="1:8" x14ac:dyDescent="0.3">
      <c r="A2065" t="s">
        <v>363</v>
      </c>
      <c r="B2065" t="s">
        <v>19</v>
      </c>
      <c r="C2065">
        <v>898.78057999999999</v>
      </c>
      <c r="D2065">
        <v>914.18640000000005</v>
      </c>
      <c r="E2065">
        <v>884.94750999999997</v>
      </c>
      <c r="F2065">
        <v>894.65062999999998</v>
      </c>
      <c r="G2065">
        <v>2429639422</v>
      </c>
      <c r="H2065" t="s">
        <v>20</v>
      </c>
    </row>
    <row r="2066" spans="1:8" x14ac:dyDescent="0.3">
      <c r="A2066" t="s">
        <v>364</v>
      </c>
      <c r="B2066" t="s">
        <v>9</v>
      </c>
      <c r="C2066">
        <v>0.45390000000000003</v>
      </c>
      <c r="D2066">
        <v>0.45451999999999998</v>
      </c>
      <c r="E2066">
        <v>0.41103000000000001</v>
      </c>
      <c r="F2066">
        <v>0.42534</v>
      </c>
      <c r="G2066">
        <v>1224577869</v>
      </c>
      <c r="H2066" t="s">
        <v>10</v>
      </c>
    </row>
    <row r="2067" spans="1:8" x14ac:dyDescent="0.3">
      <c r="A2067" t="s">
        <v>364</v>
      </c>
      <c r="B2067" t="s">
        <v>11</v>
      </c>
      <c r="C2067">
        <v>92011.304690000004</v>
      </c>
      <c r="D2067">
        <v>93554.265629999994</v>
      </c>
      <c r="E2067">
        <v>89335.296879999994</v>
      </c>
      <c r="F2067">
        <v>92511.335940000004</v>
      </c>
      <c r="G2067">
        <v>64532834621</v>
      </c>
      <c r="H2067" t="s">
        <v>12</v>
      </c>
    </row>
    <row r="2068" spans="1:8" x14ac:dyDescent="0.3">
      <c r="A2068" t="s">
        <v>364</v>
      </c>
      <c r="B2068" t="s">
        <v>13</v>
      </c>
      <c r="C2068">
        <v>136.46376000000001</v>
      </c>
      <c r="D2068">
        <v>137.67806999999999</v>
      </c>
      <c r="E2068">
        <v>129.38401999999999</v>
      </c>
      <c r="F2068">
        <v>136.37156999999999</v>
      </c>
      <c r="G2068">
        <v>5833676784</v>
      </c>
      <c r="H2068" t="s">
        <v>14</v>
      </c>
    </row>
    <row r="2069" spans="1:8" x14ac:dyDescent="0.3">
      <c r="A2069" t="s">
        <v>364</v>
      </c>
      <c r="B2069" t="s">
        <v>15</v>
      </c>
      <c r="C2069">
        <v>2.04332</v>
      </c>
      <c r="D2069">
        <v>2.0529799999999998</v>
      </c>
      <c r="E2069">
        <v>1.9865999999999999</v>
      </c>
      <c r="F2069">
        <v>2.0355099999999999</v>
      </c>
      <c r="G2069">
        <v>3560399350</v>
      </c>
      <c r="H2069" t="s">
        <v>16</v>
      </c>
    </row>
    <row r="2070" spans="1:8" x14ac:dyDescent="0.3">
      <c r="A2070" t="s">
        <v>364</v>
      </c>
      <c r="B2070" t="s">
        <v>17</v>
      </c>
      <c r="C2070">
        <v>3324.38672</v>
      </c>
      <c r="D2070">
        <v>3327.3444800000002</v>
      </c>
      <c r="E2070">
        <v>3149.03442</v>
      </c>
      <c r="F2070">
        <v>3237.0568899999998</v>
      </c>
      <c r="G2070">
        <v>29066243707</v>
      </c>
      <c r="H2070" t="s">
        <v>18</v>
      </c>
    </row>
    <row r="2071" spans="1:8" x14ac:dyDescent="0.3">
      <c r="A2071" t="s">
        <v>364</v>
      </c>
      <c r="B2071" t="s">
        <v>19</v>
      </c>
      <c r="C2071">
        <v>894.65899999999999</v>
      </c>
      <c r="D2071">
        <v>894.65899999999999</v>
      </c>
      <c r="E2071">
        <v>861.25365999999997</v>
      </c>
      <c r="F2071">
        <v>886.16663000000005</v>
      </c>
      <c r="G2071">
        <v>2524483059</v>
      </c>
      <c r="H2071" t="s">
        <v>20</v>
      </c>
    </row>
    <row r="2072" spans="1:8" x14ac:dyDescent="0.3">
      <c r="A2072" t="s">
        <v>365</v>
      </c>
      <c r="B2072" t="s">
        <v>9</v>
      </c>
      <c r="C2072">
        <v>0.42537000000000003</v>
      </c>
      <c r="D2072">
        <v>0.42863000000000001</v>
      </c>
      <c r="E2072">
        <v>0.40445999999999999</v>
      </c>
      <c r="F2072">
        <v>0.40914</v>
      </c>
      <c r="G2072">
        <v>753251550</v>
      </c>
      <c r="H2072" t="s">
        <v>10</v>
      </c>
    </row>
    <row r="2073" spans="1:8" x14ac:dyDescent="0.3">
      <c r="A2073" t="s">
        <v>365</v>
      </c>
      <c r="B2073" t="s">
        <v>11</v>
      </c>
      <c r="C2073">
        <v>92513.664059999996</v>
      </c>
      <c r="D2073">
        <v>92747.929690000004</v>
      </c>
      <c r="E2073">
        <v>89532.601559999996</v>
      </c>
      <c r="F2073">
        <v>90270.414059999996</v>
      </c>
      <c r="G2073">
        <v>80275884583</v>
      </c>
      <c r="H2073" t="s">
        <v>12</v>
      </c>
    </row>
    <row r="2074" spans="1:8" x14ac:dyDescent="0.3">
      <c r="A2074" t="s">
        <v>365</v>
      </c>
      <c r="B2074" t="s">
        <v>13</v>
      </c>
      <c r="C2074">
        <v>136.36993000000001</v>
      </c>
      <c r="D2074">
        <v>139.98732000000001</v>
      </c>
      <c r="E2074">
        <v>130.67986999999999</v>
      </c>
      <c r="F2074">
        <v>132.32429999999999</v>
      </c>
      <c r="G2074">
        <v>5282060650</v>
      </c>
      <c r="H2074" t="s">
        <v>14</v>
      </c>
    </row>
    <row r="2075" spans="1:8" x14ac:dyDescent="0.3">
      <c r="A2075" t="s">
        <v>365</v>
      </c>
      <c r="B2075" t="s">
        <v>15</v>
      </c>
      <c r="C2075">
        <v>2.0354999999999999</v>
      </c>
      <c r="D2075">
        <v>2.0456400000000001</v>
      </c>
      <c r="E2075">
        <v>1.9795700000000001</v>
      </c>
      <c r="F2075">
        <v>2.00915</v>
      </c>
      <c r="G2075">
        <v>2650764203</v>
      </c>
      <c r="H2075" t="s">
        <v>16</v>
      </c>
    </row>
    <row r="2076" spans="1:8" x14ac:dyDescent="0.3">
      <c r="A2076" t="s">
        <v>365</v>
      </c>
      <c r="B2076" t="s">
        <v>17</v>
      </c>
      <c r="C2076">
        <v>3237.0256399999998</v>
      </c>
      <c r="D2076">
        <v>3265.3725599999998</v>
      </c>
      <c r="E2076">
        <v>3050.2673300000001</v>
      </c>
      <c r="F2076">
        <v>3084.1726100000001</v>
      </c>
      <c r="G2076">
        <v>24391003174</v>
      </c>
      <c r="H2076" t="s">
        <v>18</v>
      </c>
    </row>
    <row r="2077" spans="1:8" x14ac:dyDescent="0.3">
      <c r="A2077" t="s">
        <v>365</v>
      </c>
      <c r="B2077" t="s">
        <v>19</v>
      </c>
      <c r="C2077">
        <v>886.16607999999997</v>
      </c>
      <c r="D2077">
        <v>895.46887000000004</v>
      </c>
      <c r="E2077">
        <v>873.60815000000002</v>
      </c>
      <c r="F2077">
        <v>881.86761000000001</v>
      </c>
      <c r="G2077">
        <v>1807202490</v>
      </c>
      <c r="H2077" t="s">
        <v>20</v>
      </c>
    </row>
    <row r="2078" spans="1:8" x14ac:dyDescent="0.3">
      <c r="A2078" t="s">
        <v>366</v>
      </c>
      <c r="B2078" t="s">
        <v>9</v>
      </c>
      <c r="C2078">
        <v>0.40912999999999999</v>
      </c>
      <c r="D2078">
        <v>0.41543999999999998</v>
      </c>
      <c r="E2078">
        <v>0.40756999999999999</v>
      </c>
      <c r="F2078">
        <v>0.41105999999999998</v>
      </c>
      <c r="G2078">
        <v>336899500</v>
      </c>
      <c r="H2078" t="s">
        <v>10</v>
      </c>
    </row>
    <row r="2079" spans="1:8" x14ac:dyDescent="0.3">
      <c r="A2079" t="s">
        <v>366</v>
      </c>
      <c r="B2079" t="s">
        <v>11</v>
      </c>
      <c r="C2079">
        <v>90257.796879999994</v>
      </c>
      <c r="D2079">
        <v>90647.570309999996</v>
      </c>
      <c r="E2079">
        <v>89800.992190000004</v>
      </c>
      <c r="F2079">
        <v>90298.710940000004</v>
      </c>
      <c r="G2079">
        <v>64237748110</v>
      </c>
      <c r="H2079" t="s">
        <v>12</v>
      </c>
    </row>
    <row r="2080" spans="1:8" x14ac:dyDescent="0.3">
      <c r="A2080" t="s">
        <v>366</v>
      </c>
      <c r="B2080" t="s">
        <v>13</v>
      </c>
      <c r="C2080">
        <v>132.32404</v>
      </c>
      <c r="D2080">
        <v>134.24512999999999</v>
      </c>
      <c r="E2080">
        <v>131.98580999999999</v>
      </c>
      <c r="F2080">
        <v>133.24746999999999</v>
      </c>
      <c r="G2080">
        <v>2024059188</v>
      </c>
      <c r="H2080" t="s">
        <v>14</v>
      </c>
    </row>
    <row r="2081" spans="1:8" x14ac:dyDescent="0.3">
      <c r="A2081" t="s">
        <v>366</v>
      </c>
      <c r="B2081" t="s">
        <v>15</v>
      </c>
      <c r="C2081">
        <v>2.00915</v>
      </c>
      <c r="D2081">
        <v>2.0472399999999999</v>
      </c>
      <c r="E2081">
        <v>2.0082300000000002</v>
      </c>
      <c r="F2081">
        <v>2.02399</v>
      </c>
      <c r="G2081">
        <v>1622802388</v>
      </c>
      <c r="H2081" t="s">
        <v>16</v>
      </c>
    </row>
    <row r="2082" spans="1:8" x14ac:dyDescent="0.3">
      <c r="A2082" t="s">
        <v>366</v>
      </c>
      <c r="B2082" t="s">
        <v>17</v>
      </c>
      <c r="C2082">
        <v>3084.1296400000001</v>
      </c>
      <c r="D2082">
        <v>3134.8493699999999</v>
      </c>
      <c r="E2082">
        <v>3080.07861</v>
      </c>
      <c r="F2082">
        <v>3116.6953100000001</v>
      </c>
      <c r="G2082">
        <v>9916869400</v>
      </c>
      <c r="H2082" t="s">
        <v>18</v>
      </c>
    </row>
    <row r="2083" spans="1:8" x14ac:dyDescent="0.3">
      <c r="A2083" t="s">
        <v>366</v>
      </c>
      <c r="B2083" t="s">
        <v>19</v>
      </c>
      <c r="C2083">
        <v>881.86243000000002</v>
      </c>
      <c r="D2083">
        <v>903.75824</v>
      </c>
      <c r="E2083">
        <v>880.78070000000002</v>
      </c>
      <c r="F2083">
        <v>897.42957000000001</v>
      </c>
      <c r="G2083">
        <v>1472368344</v>
      </c>
      <c r="H2083" t="s">
        <v>20</v>
      </c>
    </row>
    <row r="2084" spans="1:8" x14ac:dyDescent="0.3">
      <c r="A2084" t="s">
        <v>367</v>
      </c>
      <c r="B2084" t="s">
        <v>9</v>
      </c>
      <c r="C2084">
        <v>0.41105999999999998</v>
      </c>
      <c r="D2084">
        <v>0.41121999999999997</v>
      </c>
      <c r="E2084">
        <v>0.39479999999999998</v>
      </c>
      <c r="F2084">
        <v>0.39657999999999999</v>
      </c>
      <c r="G2084">
        <v>534338410</v>
      </c>
      <c r="H2084" t="s">
        <v>10</v>
      </c>
    </row>
    <row r="2085" spans="1:8" x14ac:dyDescent="0.3">
      <c r="A2085" t="s">
        <v>367</v>
      </c>
      <c r="B2085" t="s">
        <v>11</v>
      </c>
      <c r="C2085">
        <v>90296.4375</v>
      </c>
      <c r="D2085">
        <v>90498.109379999994</v>
      </c>
      <c r="E2085">
        <v>87634.9375</v>
      </c>
      <c r="F2085">
        <v>88175.179690000004</v>
      </c>
      <c r="G2085">
        <v>50465972205</v>
      </c>
      <c r="H2085" t="s">
        <v>12</v>
      </c>
    </row>
    <row r="2086" spans="1:8" x14ac:dyDescent="0.3">
      <c r="A2086" t="s">
        <v>367</v>
      </c>
      <c r="B2086" t="s">
        <v>13</v>
      </c>
      <c r="C2086">
        <v>133.24762000000001</v>
      </c>
      <c r="D2086">
        <v>133.59099000000001</v>
      </c>
      <c r="E2086">
        <v>128.90165999999999</v>
      </c>
      <c r="F2086">
        <v>129.48108999999999</v>
      </c>
      <c r="G2086">
        <v>2489001258</v>
      </c>
      <c r="H2086" t="s">
        <v>14</v>
      </c>
    </row>
    <row r="2087" spans="1:8" x14ac:dyDescent="0.3">
      <c r="A2087" t="s">
        <v>367</v>
      </c>
      <c r="B2087" t="s">
        <v>15</v>
      </c>
      <c r="C2087">
        <v>2.024</v>
      </c>
      <c r="D2087">
        <v>2.0300199999999999</v>
      </c>
      <c r="E2087">
        <v>1.97211</v>
      </c>
      <c r="F2087">
        <v>1.97929</v>
      </c>
      <c r="G2087">
        <v>1639521426</v>
      </c>
      <c r="H2087" t="s">
        <v>16</v>
      </c>
    </row>
    <row r="2088" spans="1:8" x14ac:dyDescent="0.3">
      <c r="A2088" t="s">
        <v>367</v>
      </c>
      <c r="B2088" t="s">
        <v>17</v>
      </c>
      <c r="C2088">
        <v>3116.7438999999999</v>
      </c>
      <c r="D2088">
        <v>3128.6228000000001</v>
      </c>
      <c r="E2088">
        <v>3034.69263</v>
      </c>
      <c r="F2088">
        <v>3060.5947299999998</v>
      </c>
      <c r="G2088">
        <v>15619543350</v>
      </c>
      <c r="H2088" t="s">
        <v>18</v>
      </c>
    </row>
    <row r="2089" spans="1:8" x14ac:dyDescent="0.3">
      <c r="A2089" t="s">
        <v>367</v>
      </c>
      <c r="B2089" t="s">
        <v>19</v>
      </c>
      <c r="C2089">
        <v>897.43579</v>
      </c>
      <c r="D2089">
        <v>899.21765000000005</v>
      </c>
      <c r="E2089">
        <v>874.12963999999999</v>
      </c>
      <c r="F2089">
        <v>877.80687999999998</v>
      </c>
      <c r="G2089">
        <v>1640570319</v>
      </c>
      <c r="H2089" t="s">
        <v>20</v>
      </c>
    </row>
    <row r="2090" spans="1:8" x14ac:dyDescent="0.3">
      <c r="A2090" t="s">
        <v>368</v>
      </c>
      <c r="B2090" t="s">
        <v>9</v>
      </c>
      <c r="C2090">
        <v>0.39656999999999998</v>
      </c>
      <c r="D2090">
        <v>0.40616999999999998</v>
      </c>
      <c r="E2090">
        <v>0.37913999999999998</v>
      </c>
      <c r="F2090">
        <v>0.38808999999999999</v>
      </c>
      <c r="G2090">
        <v>668504094</v>
      </c>
      <c r="H2090" t="s">
        <v>10</v>
      </c>
    </row>
    <row r="2091" spans="1:8" x14ac:dyDescent="0.3">
      <c r="A2091" t="s">
        <v>368</v>
      </c>
      <c r="B2091" t="s">
        <v>11</v>
      </c>
      <c r="C2091">
        <v>88171.078129999994</v>
      </c>
      <c r="D2091">
        <v>89983.921879999994</v>
      </c>
      <c r="E2091">
        <v>85304.078129999994</v>
      </c>
      <c r="F2091">
        <v>86419.78125</v>
      </c>
      <c r="G2091">
        <v>45559514323</v>
      </c>
      <c r="H2091" t="s">
        <v>12</v>
      </c>
    </row>
    <row r="2092" spans="1:8" x14ac:dyDescent="0.3">
      <c r="A2092" t="s">
        <v>368</v>
      </c>
      <c r="B2092" t="s">
        <v>13</v>
      </c>
      <c r="C2092">
        <v>129.48334</v>
      </c>
      <c r="D2092">
        <v>134.71762000000001</v>
      </c>
      <c r="E2092">
        <v>123.99805000000001</v>
      </c>
      <c r="F2092">
        <v>127.75712</v>
      </c>
      <c r="G2092">
        <v>5120043768</v>
      </c>
      <c r="H2092" t="s">
        <v>14</v>
      </c>
    </row>
    <row r="2093" spans="1:8" x14ac:dyDescent="0.3">
      <c r="A2093" t="s">
        <v>368</v>
      </c>
      <c r="B2093" t="s">
        <v>15</v>
      </c>
      <c r="C2093">
        <v>1.97929</v>
      </c>
      <c r="D2093">
        <v>2.0092699999999999</v>
      </c>
      <c r="E2093">
        <v>1.87636</v>
      </c>
      <c r="F2093">
        <v>1.8986700000000001</v>
      </c>
      <c r="G2093">
        <v>3479993806</v>
      </c>
      <c r="H2093" t="s">
        <v>16</v>
      </c>
    </row>
    <row r="2094" spans="1:8" x14ac:dyDescent="0.3">
      <c r="A2094" t="s">
        <v>368</v>
      </c>
      <c r="B2094" t="s">
        <v>17</v>
      </c>
      <c r="C2094">
        <v>3060.4814500000002</v>
      </c>
      <c r="D2094">
        <v>3175.11816</v>
      </c>
      <c r="E2094">
        <v>2899.68579</v>
      </c>
      <c r="F2094">
        <v>2964.1831099999999</v>
      </c>
      <c r="G2094">
        <v>28765976892</v>
      </c>
      <c r="H2094" t="s">
        <v>18</v>
      </c>
    </row>
    <row r="2095" spans="1:8" x14ac:dyDescent="0.3">
      <c r="A2095" t="s">
        <v>368</v>
      </c>
      <c r="B2095" t="s">
        <v>19</v>
      </c>
      <c r="C2095">
        <v>877.78925000000004</v>
      </c>
      <c r="D2095">
        <v>894.20525999999995</v>
      </c>
      <c r="E2095">
        <v>843.76787999999999</v>
      </c>
      <c r="F2095">
        <v>858.54511000000002</v>
      </c>
      <c r="G2095">
        <v>2222157806</v>
      </c>
      <c r="H2095" t="s">
        <v>20</v>
      </c>
    </row>
    <row r="2096" spans="1:8" x14ac:dyDescent="0.3">
      <c r="A2096" t="s">
        <v>369</v>
      </c>
      <c r="B2096" t="s">
        <v>9</v>
      </c>
      <c r="C2096">
        <v>0.38808999999999999</v>
      </c>
      <c r="D2096">
        <v>0.39095000000000002</v>
      </c>
      <c r="E2096">
        <v>0.38012000000000001</v>
      </c>
      <c r="F2096">
        <v>0.38573000000000002</v>
      </c>
      <c r="G2096">
        <v>555939135</v>
      </c>
      <c r="H2096" t="s">
        <v>10</v>
      </c>
    </row>
    <row r="2097" spans="1:8" x14ac:dyDescent="0.3">
      <c r="A2097" t="s">
        <v>369</v>
      </c>
      <c r="B2097" t="s">
        <v>11</v>
      </c>
      <c r="C2097">
        <v>86424.40625</v>
      </c>
      <c r="D2097">
        <v>88170.09375</v>
      </c>
      <c r="E2097">
        <v>85381.6875</v>
      </c>
      <c r="F2097">
        <v>87843.984379999994</v>
      </c>
      <c r="G2097">
        <v>41262178223</v>
      </c>
      <c r="H2097" t="s">
        <v>12</v>
      </c>
    </row>
    <row r="2098" spans="1:8" x14ac:dyDescent="0.3">
      <c r="A2098" t="s">
        <v>369</v>
      </c>
      <c r="B2098" t="s">
        <v>13</v>
      </c>
      <c r="C2098">
        <v>127.75731</v>
      </c>
      <c r="D2098">
        <v>129.94526999999999</v>
      </c>
      <c r="E2098">
        <v>125.45385</v>
      </c>
      <c r="F2098">
        <v>129.25120999999999</v>
      </c>
      <c r="G2098">
        <v>3918682307</v>
      </c>
      <c r="H2098" t="s">
        <v>14</v>
      </c>
    </row>
    <row r="2099" spans="1:8" x14ac:dyDescent="0.3">
      <c r="A2099" t="s">
        <v>369</v>
      </c>
      <c r="B2099" t="s">
        <v>15</v>
      </c>
      <c r="C2099">
        <v>1.8986700000000001</v>
      </c>
      <c r="D2099">
        <v>1.9440200000000001</v>
      </c>
      <c r="E2099">
        <v>1.8610599999999999</v>
      </c>
      <c r="F2099">
        <v>1.93007</v>
      </c>
      <c r="G2099">
        <v>3093566806</v>
      </c>
      <c r="H2099" t="s">
        <v>16</v>
      </c>
    </row>
    <row r="2100" spans="1:8" x14ac:dyDescent="0.3">
      <c r="A2100" t="s">
        <v>369</v>
      </c>
      <c r="B2100" t="s">
        <v>17</v>
      </c>
      <c r="C2100">
        <v>2964.3796400000001</v>
      </c>
      <c r="D2100">
        <v>2978.92139</v>
      </c>
      <c r="E2100">
        <v>2890.01172</v>
      </c>
      <c r="F2100">
        <v>2964.18091</v>
      </c>
      <c r="G2100">
        <v>22709189818</v>
      </c>
      <c r="H2100" t="s">
        <v>18</v>
      </c>
    </row>
    <row r="2101" spans="1:8" x14ac:dyDescent="0.3">
      <c r="A2101" t="s">
        <v>369</v>
      </c>
      <c r="B2101" t="s">
        <v>19</v>
      </c>
      <c r="C2101">
        <v>858.54589999999996</v>
      </c>
      <c r="D2101">
        <v>877.61310000000003</v>
      </c>
      <c r="E2101">
        <v>851.36761000000001</v>
      </c>
      <c r="F2101">
        <v>874.89904999999999</v>
      </c>
      <c r="G2101">
        <v>2379705373</v>
      </c>
      <c r="H2101" t="s">
        <v>20</v>
      </c>
    </row>
    <row r="2102" spans="1:8" x14ac:dyDescent="0.3">
      <c r="A2102" t="s">
        <v>370</v>
      </c>
      <c r="B2102" t="s">
        <v>9</v>
      </c>
      <c r="C2102">
        <v>0.38572000000000001</v>
      </c>
      <c r="D2102">
        <v>0.39877000000000001</v>
      </c>
      <c r="E2102">
        <v>0.36536999999999997</v>
      </c>
      <c r="F2102">
        <v>0.36649999999999999</v>
      </c>
      <c r="G2102">
        <v>687147387</v>
      </c>
      <c r="H2102" t="s">
        <v>10</v>
      </c>
    </row>
    <row r="2103" spans="1:8" x14ac:dyDescent="0.3">
      <c r="A2103" t="s">
        <v>370</v>
      </c>
      <c r="B2103" t="s">
        <v>11</v>
      </c>
      <c r="C2103">
        <v>87847.617190000004</v>
      </c>
      <c r="D2103">
        <v>90264.570309999996</v>
      </c>
      <c r="E2103">
        <v>85316.265629999994</v>
      </c>
      <c r="F2103">
        <v>86143.757809999996</v>
      </c>
      <c r="G2103">
        <v>44243392914</v>
      </c>
      <c r="H2103" t="s">
        <v>12</v>
      </c>
    </row>
    <row r="2104" spans="1:8" x14ac:dyDescent="0.3">
      <c r="A2104" t="s">
        <v>370</v>
      </c>
      <c r="B2104" t="s">
        <v>13</v>
      </c>
      <c r="C2104">
        <v>129.25282000000001</v>
      </c>
      <c r="D2104">
        <v>133.44176999999999</v>
      </c>
      <c r="E2104">
        <v>121.55804999999999</v>
      </c>
      <c r="F2104">
        <v>123.1198</v>
      </c>
      <c r="G2104">
        <v>5452646038</v>
      </c>
      <c r="H2104" t="s">
        <v>14</v>
      </c>
    </row>
    <row r="2105" spans="1:8" x14ac:dyDescent="0.3">
      <c r="A2105" t="s">
        <v>370</v>
      </c>
      <c r="B2105" t="s">
        <v>15</v>
      </c>
      <c r="C2105">
        <v>1.93008</v>
      </c>
      <c r="D2105">
        <v>1.9837</v>
      </c>
      <c r="E2105">
        <v>1.85025</v>
      </c>
      <c r="F2105">
        <v>1.8618399999999999</v>
      </c>
      <c r="G2105">
        <v>3450002332</v>
      </c>
      <c r="H2105" t="s">
        <v>16</v>
      </c>
    </row>
    <row r="2106" spans="1:8" x14ac:dyDescent="0.3">
      <c r="A2106" t="s">
        <v>370</v>
      </c>
      <c r="B2106" t="s">
        <v>17</v>
      </c>
      <c r="C2106">
        <v>2964.01953</v>
      </c>
      <c r="D2106">
        <v>3025.8154300000001</v>
      </c>
      <c r="E2106">
        <v>2791.3339799999999</v>
      </c>
      <c r="F2106">
        <v>2831.4035600000002</v>
      </c>
      <c r="G2106">
        <v>26159825528</v>
      </c>
      <c r="H2106" t="s">
        <v>18</v>
      </c>
    </row>
    <row r="2107" spans="1:8" x14ac:dyDescent="0.3">
      <c r="A2107" t="s">
        <v>370</v>
      </c>
      <c r="B2107" t="s">
        <v>19</v>
      </c>
      <c r="C2107">
        <v>874.90552000000002</v>
      </c>
      <c r="D2107">
        <v>875.11084000000005</v>
      </c>
      <c r="E2107">
        <v>834.85167999999999</v>
      </c>
      <c r="F2107">
        <v>842.93017999999995</v>
      </c>
      <c r="G2107">
        <v>2968394043</v>
      </c>
      <c r="H2107" t="s">
        <v>20</v>
      </c>
    </row>
    <row r="2108" spans="1:8" x14ac:dyDescent="0.3">
      <c r="A2108" t="s">
        <v>371</v>
      </c>
      <c r="B2108" t="s">
        <v>9</v>
      </c>
      <c r="C2108">
        <v>0.36651</v>
      </c>
      <c r="D2108">
        <v>0.37787999999999999</v>
      </c>
      <c r="E2108">
        <v>0.34771000000000002</v>
      </c>
      <c r="F2108">
        <v>0.35142000000000001</v>
      </c>
      <c r="G2108">
        <v>753416756</v>
      </c>
      <c r="H2108" t="s">
        <v>10</v>
      </c>
    </row>
    <row r="2109" spans="1:8" x14ac:dyDescent="0.3">
      <c r="A2109" t="s">
        <v>371</v>
      </c>
      <c r="B2109" t="s">
        <v>11</v>
      </c>
      <c r="C2109">
        <v>86144.367190000004</v>
      </c>
      <c r="D2109">
        <v>89412.664059999996</v>
      </c>
      <c r="E2109">
        <v>84436.3125</v>
      </c>
      <c r="F2109">
        <v>85462.507809999996</v>
      </c>
      <c r="G2109">
        <v>52667115348</v>
      </c>
      <c r="H2109" t="s">
        <v>12</v>
      </c>
    </row>
    <row r="2110" spans="1:8" x14ac:dyDescent="0.3">
      <c r="A2110" t="s">
        <v>371</v>
      </c>
      <c r="B2110" t="s">
        <v>13</v>
      </c>
      <c r="C2110">
        <v>123.12611</v>
      </c>
      <c r="D2110">
        <v>128.76418000000001</v>
      </c>
      <c r="E2110">
        <v>117.31623</v>
      </c>
      <c r="F2110">
        <v>119.57015</v>
      </c>
      <c r="G2110">
        <v>5835673225</v>
      </c>
      <c r="H2110" t="s">
        <v>14</v>
      </c>
    </row>
    <row r="2111" spans="1:8" x14ac:dyDescent="0.3">
      <c r="A2111" t="s">
        <v>371</v>
      </c>
      <c r="B2111" t="s">
        <v>15</v>
      </c>
      <c r="C2111">
        <v>1.86185</v>
      </c>
      <c r="D2111">
        <v>1.9305600000000001</v>
      </c>
      <c r="E2111">
        <v>1.8042</v>
      </c>
      <c r="F2111">
        <v>1.8077799999999999</v>
      </c>
      <c r="G2111">
        <v>3853056261</v>
      </c>
      <c r="H2111" t="s">
        <v>16</v>
      </c>
    </row>
    <row r="2112" spans="1:8" x14ac:dyDescent="0.3">
      <c r="A2112" t="s">
        <v>371</v>
      </c>
      <c r="B2112" t="s">
        <v>17</v>
      </c>
      <c r="C2112">
        <v>2831.48828</v>
      </c>
      <c r="D2112">
        <v>2994.5527299999999</v>
      </c>
      <c r="E2112">
        <v>2777.1196300000001</v>
      </c>
      <c r="F2112">
        <v>2827.06909</v>
      </c>
      <c r="G2112">
        <v>29194181349</v>
      </c>
      <c r="H2112" t="s">
        <v>18</v>
      </c>
    </row>
    <row r="2113" spans="1:8" x14ac:dyDescent="0.3">
      <c r="A2113" t="s">
        <v>371</v>
      </c>
      <c r="B2113" t="s">
        <v>19</v>
      </c>
      <c r="C2113">
        <v>842.93127000000004</v>
      </c>
      <c r="D2113">
        <v>850.89837999999997</v>
      </c>
      <c r="E2113">
        <v>819.98383000000001</v>
      </c>
      <c r="F2113">
        <v>829.30115000000001</v>
      </c>
      <c r="G2113">
        <v>3195634004</v>
      </c>
      <c r="H2113" t="s">
        <v>20</v>
      </c>
    </row>
    <row r="2114" spans="1:8" x14ac:dyDescent="0.3">
      <c r="A2114" t="s">
        <v>372</v>
      </c>
      <c r="B2114" t="s">
        <v>9</v>
      </c>
      <c r="C2114">
        <v>0.35143000000000002</v>
      </c>
      <c r="D2114">
        <v>0.37944</v>
      </c>
      <c r="E2114">
        <v>0.34727999999999998</v>
      </c>
      <c r="F2114">
        <v>0.37663000000000002</v>
      </c>
      <c r="G2114">
        <v>611822292</v>
      </c>
      <c r="H2114" t="s">
        <v>10</v>
      </c>
    </row>
    <row r="2115" spans="1:8" x14ac:dyDescent="0.3">
      <c r="A2115" t="s">
        <v>372</v>
      </c>
      <c r="B2115" t="s">
        <v>11</v>
      </c>
      <c r="C2115">
        <v>85476.132809999996</v>
      </c>
      <c r="D2115">
        <v>89339.117190000004</v>
      </c>
      <c r="E2115">
        <v>85107.664059999996</v>
      </c>
      <c r="F2115">
        <v>88103.382809999996</v>
      </c>
      <c r="G2115">
        <v>46733310561</v>
      </c>
      <c r="H2115" t="s">
        <v>12</v>
      </c>
    </row>
    <row r="2116" spans="1:8" x14ac:dyDescent="0.3">
      <c r="A2116" t="s">
        <v>372</v>
      </c>
      <c r="B2116" t="s">
        <v>13</v>
      </c>
      <c r="C2116">
        <v>119.57015</v>
      </c>
      <c r="D2116">
        <v>127.50523</v>
      </c>
      <c r="E2116">
        <v>117.79813</v>
      </c>
      <c r="F2116">
        <v>126.19275</v>
      </c>
      <c r="G2116">
        <v>5045203467</v>
      </c>
      <c r="H2116" t="s">
        <v>14</v>
      </c>
    </row>
    <row r="2117" spans="1:8" x14ac:dyDescent="0.3">
      <c r="A2117" t="s">
        <v>372</v>
      </c>
      <c r="B2117" t="s">
        <v>15</v>
      </c>
      <c r="C2117">
        <v>1.8077799999999999</v>
      </c>
      <c r="D2117">
        <v>1.91588</v>
      </c>
      <c r="E2117">
        <v>1.7726999999999999</v>
      </c>
      <c r="F2117">
        <v>1.9073899999999999</v>
      </c>
      <c r="G2117">
        <v>3923807997</v>
      </c>
      <c r="H2117" t="s">
        <v>16</v>
      </c>
    </row>
    <row r="2118" spans="1:8" x14ac:dyDescent="0.3">
      <c r="A2118" t="s">
        <v>372</v>
      </c>
      <c r="B2118" t="s">
        <v>17</v>
      </c>
      <c r="C2118">
        <v>2827.4104000000002</v>
      </c>
      <c r="D2118">
        <v>3014.61231</v>
      </c>
      <c r="E2118">
        <v>2811.3915999999999</v>
      </c>
      <c r="F2118">
        <v>2977.9706999999999</v>
      </c>
      <c r="G2118">
        <v>27870687989</v>
      </c>
      <c r="H2118" t="s">
        <v>18</v>
      </c>
    </row>
    <row r="2119" spans="1:8" x14ac:dyDescent="0.3">
      <c r="A2119" t="s">
        <v>372</v>
      </c>
      <c r="B2119" t="s">
        <v>19</v>
      </c>
      <c r="C2119">
        <v>829.30389000000002</v>
      </c>
      <c r="D2119">
        <v>861.08771000000002</v>
      </c>
      <c r="E2119">
        <v>823.17181000000005</v>
      </c>
      <c r="F2119">
        <v>855.94330000000002</v>
      </c>
      <c r="G2119">
        <v>5429911683</v>
      </c>
      <c r="H2119" t="s">
        <v>20</v>
      </c>
    </row>
    <row r="2120" spans="1:8" x14ac:dyDescent="0.3">
      <c r="A2120" t="s">
        <v>373</v>
      </c>
      <c r="B2120" t="s">
        <v>9</v>
      </c>
      <c r="C2120">
        <v>0.37663000000000002</v>
      </c>
      <c r="D2120">
        <v>0.37992999999999999</v>
      </c>
      <c r="E2120">
        <v>0.37226999999999999</v>
      </c>
      <c r="F2120">
        <v>0.37309999999999999</v>
      </c>
      <c r="G2120">
        <v>301429029</v>
      </c>
      <c r="H2120" t="s">
        <v>10</v>
      </c>
    </row>
    <row r="2121" spans="1:8" x14ac:dyDescent="0.3">
      <c r="A2121" t="s">
        <v>373</v>
      </c>
      <c r="B2121" t="s">
        <v>11</v>
      </c>
      <c r="C2121">
        <v>88101.671879999994</v>
      </c>
      <c r="D2121">
        <v>88497.203129999994</v>
      </c>
      <c r="E2121">
        <v>87924.875</v>
      </c>
      <c r="F2121">
        <v>88344</v>
      </c>
      <c r="G2121">
        <v>14688196659</v>
      </c>
      <c r="H2121" t="s">
        <v>12</v>
      </c>
    </row>
    <row r="2122" spans="1:8" x14ac:dyDescent="0.3">
      <c r="A2122" t="s">
        <v>373</v>
      </c>
      <c r="B2122" t="s">
        <v>13</v>
      </c>
      <c r="C2122">
        <v>126.19405</v>
      </c>
      <c r="D2122">
        <v>126.76324</v>
      </c>
      <c r="E2122">
        <v>125.39104</v>
      </c>
      <c r="F2122">
        <v>125.80904</v>
      </c>
      <c r="G2122">
        <v>1703857955</v>
      </c>
      <c r="H2122" t="s">
        <v>14</v>
      </c>
    </row>
    <row r="2123" spans="1:8" x14ac:dyDescent="0.3">
      <c r="A2123" t="s">
        <v>373</v>
      </c>
      <c r="B2123" t="s">
        <v>15</v>
      </c>
      <c r="C2123">
        <v>1.9073899999999999</v>
      </c>
      <c r="D2123">
        <v>1.95394</v>
      </c>
      <c r="E2123">
        <v>1.89514</v>
      </c>
      <c r="F2123">
        <v>1.9323999999999999</v>
      </c>
      <c r="G2123">
        <v>1995691806</v>
      </c>
      <c r="H2123" t="s">
        <v>16</v>
      </c>
    </row>
    <row r="2124" spans="1:8" x14ac:dyDescent="0.3">
      <c r="A2124" t="s">
        <v>373</v>
      </c>
      <c r="B2124" t="s">
        <v>17</v>
      </c>
      <c r="C2124">
        <v>2977.8691399999998</v>
      </c>
      <c r="D2124">
        <v>2992.3100599999998</v>
      </c>
      <c r="E2124">
        <v>2967.83862</v>
      </c>
      <c r="F2124">
        <v>2977.5825199999999</v>
      </c>
      <c r="G2124">
        <v>7612418215</v>
      </c>
      <c r="H2124" t="s">
        <v>18</v>
      </c>
    </row>
    <row r="2125" spans="1:8" x14ac:dyDescent="0.3">
      <c r="A2125" t="s">
        <v>373</v>
      </c>
      <c r="B2125" t="s">
        <v>19</v>
      </c>
      <c r="C2125">
        <v>855.94299000000001</v>
      </c>
      <c r="D2125">
        <v>858.74121000000002</v>
      </c>
      <c r="E2125">
        <v>850.89086999999995</v>
      </c>
      <c r="F2125">
        <v>853.58618000000001</v>
      </c>
      <c r="G2125">
        <v>1374684930</v>
      </c>
      <c r="H2125" t="s">
        <v>20</v>
      </c>
    </row>
    <row r="2126" spans="1:8" x14ac:dyDescent="0.3">
      <c r="A2126" t="s">
        <v>374</v>
      </c>
      <c r="B2126" t="s">
        <v>9</v>
      </c>
      <c r="C2126">
        <v>0.37309999999999999</v>
      </c>
      <c r="D2126">
        <v>0.37403999999999998</v>
      </c>
      <c r="E2126">
        <v>0.35832000000000003</v>
      </c>
      <c r="F2126">
        <v>0.36588999999999999</v>
      </c>
      <c r="G2126">
        <v>453364122</v>
      </c>
      <c r="H2126" t="s">
        <v>10</v>
      </c>
    </row>
    <row r="2127" spans="1:8" x14ac:dyDescent="0.3">
      <c r="A2127" t="s">
        <v>374</v>
      </c>
      <c r="B2127" t="s">
        <v>11</v>
      </c>
      <c r="C2127">
        <v>88344.703129999994</v>
      </c>
      <c r="D2127">
        <v>89027.953129999994</v>
      </c>
      <c r="E2127">
        <v>87613.203129999994</v>
      </c>
      <c r="F2127">
        <v>88621.75</v>
      </c>
      <c r="G2127">
        <v>19845522660</v>
      </c>
      <c r="H2127" t="s">
        <v>12</v>
      </c>
    </row>
    <row r="2128" spans="1:8" x14ac:dyDescent="0.3">
      <c r="A2128" t="s">
        <v>374</v>
      </c>
      <c r="B2128" t="s">
        <v>13</v>
      </c>
      <c r="C2128">
        <v>125.81023999999999</v>
      </c>
      <c r="D2128">
        <v>126.45637000000001</v>
      </c>
      <c r="E2128">
        <v>123.60158</v>
      </c>
      <c r="F2128">
        <v>125.9915</v>
      </c>
      <c r="G2128">
        <v>2335972346</v>
      </c>
      <c r="H2128" t="s">
        <v>14</v>
      </c>
    </row>
    <row r="2129" spans="1:8" x14ac:dyDescent="0.3">
      <c r="A2129" t="s">
        <v>374</v>
      </c>
      <c r="B2129" t="s">
        <v>15</v>
      </c>
      <c r="C2129">
        <v>1.9323999999999999</v>
      </c>
      <c r="D2129">
        <v>1.9473</v>
      </c>
      <c r="E2129">
        <v>1.8967799999999999</v>
      </c>
      <c r="F2129">
        <v>1.92201</v>
      </c>
      <c r="G2129">
        <v>2392341920</v>
      </c>
      <c r="H2129" t="s">
        <v>16</v>
      </c>
    </row>
    <row r="2130" spans="1:8" x14ac:dyDescent="0.3">
      <c r="A2130" t="s">
        <v>374</v>
      </c>
      <c r="B2130" t="s">
        <v>17</v>
      </c>
      <c r="C2130">
        <v>2977.50855</v>
      </c>
      <c r="D2130">
        <v>3009.8071300000001</v>
      </c>
      <c r="E2130">
        <v>2945.3947800000001</v>
      </c>
      <c r="F2130">
        <v>3001.6137699999999</v>
      </c>
      <c r="G2130">
        <v>11178096676</v>
      </c>
      <c r="H2130" t="s">
        <v>18</v>
      </c>
    </row>
    <row r="2131" spans="1:8" x14ac:dyDescent="0.3">
      <c r="A2131" t="s">
        <v>374</v>
      </c>
      <c r="B2131" t="s">
        <v>19</v>
      </c>
      <c r="C2131">
        <v>853.59698000000003</v>
      </c>
      <c r="D2131">
        <v>858.92913999999996</v>
      </c>
      <c r="E2131">
        <v>846.09929999999997</v>
      </c>
      <c r="F2131">
        <v>857.88922000000002</v>
      </c>
      <c r="G2131">
        <v>1501917010</v>
      </c>
      <c r="H2131" t="s">
        <v>20</v>
      </c>
    </row>
    <row r="2132" spans="1:8" x14ac:dyDescent="0.3">
      <c r="A2132" t="s">
        <v>375</v>
      </c>
      <c r="B2132" t="s">
        <v>9</v>
      </c>
      <c r="C2132">
        <v>0.3659</v>
      </c>
      <c r="D2132">
        <v>0.38030999999999998</v>
      </c>
      <c r="E2132">
        <v>0.36327999999999999</v>
      </c>
      <c r="F2132">
        <v>0.37080999999999997</v>
      </c>
      <c r="G2132">
        <v>607043679</v>
      </c>
      <c r="H2132" t="s">
        <v>10</v>
      </c>
    </row>
    <row r="2133" spans="1:8" x14ac:dyDescent="0.3">
      <c r="A2133" t="s">
        <v>375</v>
      </c>
      <c r="B2133" t="s">
        <v>11</v>
      </c>
      <c r="C2133">
        <v>88621.398440000004</v>
      </c>
      <c r="D2133">
        <v>90501.929690000004</v>
      </c>
      <c r="E2133">
        <v>87908.070309999996</v>
      </c>
      <c r="F2133">
        <v>88490.015629999994</v>
      </c>
      <c r="G2133">
        <v>38047472118</v>
      </c>
      <c r="H2133" t="s">
        <v>12</v>
      </c>
    </row>
    <row r="2134" spans="1:8" x14ac:dyDescent="0.3">
      <c r="A2134" t="s">
        <v>375</v>
      </c>
      <c r="B2134" t="s">
        <v>13</v>
      </c>
      <c r="C2134">
        <v>125.99151999999999</v>
      </c>
      <c r="D2134">
        <v>128.38507000000001</v>
      </c>
      <c r="E2134">
        <v>124.40662</v>
      </c>
      <c r="F2134">
        <v>125.80123</v>
      </c>
      <c r="G2134">
        <v>3657779407</v>
      </c>
      <c r="H2134" t="s">
        <v>14</v>
      </c>
    </row>
    <row r="2135" spans="1:8" x14ac:dyDescent="0.3">
      <c r="A2135" t="s">
        <v>375</v>
      </c>
      <c r="B2135" t="s">
        <v>15</v>
      </c>
      <c r="C2135">
        <v>1.9220200000000001</v>
      </c>
      <c r="D2135">
        <v>1.9437</v>
      </c>
      <c r="E2135">
        <v>1.8928</v>
      </c>
      <c r="F2135">
        <v>1.90276</v>
      </c>
      <c r="G2135">
        <v>2644702981</v>
      </c>
      <c r="H2135" t="s">
        <v>16</v>
      </c>
    </row>
    <row r="2136" spans="1:8" x14ac:dyDescent="0.3">
      <c r="A2136" t="s">
        <v>375</v>
      </c>
      <c r="B2136" t="s">
        <v>17</v>
      </c>
      <c r="C2136">
        <v>3001.6127900000001</v>
      </c>
      <c r="D2136">
        <v>3073.35376</v>
      </c>
      <c r="E2136">
        <v>2965.1750499999998</v>
      </c>
      <c r="F2136">
        <v>3006.0737300000001</v>
      </c>
      <c r="G2136">
        <v>20342034264</v>
      </c>
      <c r="H2136" t="s">
        <v>18</v>
      </c>
    </row>
    <row r="2137" spans="1:8" x14ac:dyDescent="0.3">
      <c r="A2137" t="s">
        <v>375</v>
      </c>
      <c r="B2137" t="s">
        <v>19</v>
      </c>
      <c r="C2137">
        <v>857.88666000000001</v>
      </c>
      <c r="D2137">
        <v>869.09924000000001</v>
      </c>
      <c r="E2137">
        <v>852.63733000000002</v>
      </c>
      <c r="F2137">
        <v>857.85742000000005</v>
      </c>
      <c r="G2137">
        <v>1959463444</v>
      </c>
      <c r="H2137" t="s">
        <v>20</v>
      </c>
    </row>
    <row r="2138" spans="1:8" x14ac:dyDescent="0.3">
      <c r="A2138" t="s">
        <v>376</v>
      </c>
      <c r="B2138" t="s">
        <v>9</v>
      </c>
      <c r="C2138">
        <v>0.37080999999999997</v>
      </c>
      <c r="D2138">
        <v>0.37337999999999999</v>
      </c>
      <c r="E2138">
        <v>0.35626999999999998</v>
      </c>
      <c r="F2138">
        <v>0.36285000000000001</v>
      </c>
      <c r="G2138">
        <v>459660400</v>
      </c>
      <c r="H2138" t="s">
        <v>10</v>
      </c>
    </row>
    <row r="2139" spans="1:8" x14ac:dyDescent="0.3">
      <c r="A2139" t="s">
        <v>376</v>
      </c>
      <c r="B2139" t="s">
        <v>11</v>
      </c>
      <c r="C2139">
        <v>88490.03125</v>
      </c>
      <c r="D2139">
        <v>88898.382809999996</v>
      </c>
      <c r="E2139">
        <v>86606.976559999996</v>
      </c>
      <c r="F2139">
        <v>87414</v>
      </c>
      <c r="G2139">
        <v>43683011533</v>
      </c>
      <c r="H2139" t="s">
        <v>12</v>
      </c>
    </row>
    <row r="2140" spans="1:8" x14ac:dyDescent="0.3">
      <c r="A2140" t="s">
        <v>376</v>
      </c>
      <c r="B2140" t="s">
        <v>13</v>
      </c>
      <c r="C2140">
        <v>125.80123</v>
      </c>
      <c r="D2140">
        <v>126.73116</v>
      </c>
      <c r="E2140">
        <v>122.32802</v>
      </c>
      <c r="F2140">
        <v>123.85722</v>
      </c>
      <c r="G2140">
        <v>3084149409</v>
      </c>
      <c r="H2140" t="s">
        <v>14</v>
      </c>
    </row>
    <row r="2141" spans="1:8" x14ac:dyDescent="0.3">
      <c r="A2141" t="s">
        <v>376</v>
      </c>
      <c r="B2141" t="s">
        <v>15</v>
      </c>
      <c r="C2141">
        <v>1.90276</v>
      </c>
      <c r="D2141">
        <v>1.9071199999999999</v>
      </c>
      <c r="E2141">
        <v>1.8667</v>
      </c>
      <c r="F2141">
        <v>1.8728199999999999</v>
      </c>
      <c r="G2141">
        <v>2201693264</v>
      </c>
      <c r="H2141" t="s">
        <v>16</v>
      </c>
    </row>
    <row r="2142" spans="1:8" x14ac:dyDescent="0.3">
      <c r="A2142" t="s">
        <v>376</v>
      </c>
      <c r="B2142" t="s">
        <v>17</v>
      </c>
      <c r="C2142">
        <v>3006.0739800000001</v>
      </c>
      <c r="D2142">
        <v>3033.1962899999999</v>
      </c>
      <c r="E2142">
        <v>2902.3330099999998</v>
      </c>
      <c r="F2142">
        <v>2963.3740200000002</v>
      </c>
      <c r="G2142">
        <v>21453213168</v>
      </c>
      <c r="H2142" t="s">
        <v>18</v>
      </c>
    </row>
    <row r="2143" spans="1:8" x14ac:dyDescent="0.3">
      <c r="A2143" t="s">
        <v>376</v>
      </c>
      <c r="B2143" t="s">
        <v>19</v>
      </c>
      <c r="C2143">
        <v>857.85991999999999</v>
      </c>
      <c r="D2143">
        <v>860.77715999999998</v>
      </c>
      <c r="E2143">
        <v>839.58745999999996</v>
      </c>
      <c r="F2143">
        <v>843.77142000000003</v>
      </c>
      <c r="G2143">
        <v>1696809904</v>
      </c>
      <c r="H2143" t="s">
        <v>20</v>
      </c>
    </row>
    <row r="2144" spans="1:8" x14ac:dyDescent="0.3">
      <c r="A2144" t="s">
        <v>377</v>
      </c>
      <c r="B2144" t="s">
        <v>9</v>
      </c>
      <c r="C2144">
        <v>0.36284</v>
      </c>
      <c r="D2144">
        <v>0.36427999999999999</v>
      </c>
      <c r="E2144">
        <v>0.35315000000000002</v>
      </c>
      <c r="F2144">
        <v>0.35641</v>
      </c>
      <c r="G2144">
        <v>417768956</v>
      </c>
      <c r="H2144" t="s">
        <v>10</v>
      </c>
    </row>
    <row r="2145" spans="1:8" x14ac:dyDescent="0.3">
      <c r="A2145" t="s">
        <v>377</v>
      </c>
      <c r="B2145" t="s">
        <v>11</v>
      </c>
      <c r="C2145">
        <v>87404.320309999996</v>
      </c>
      <c r="D2145">
        <v>87956.882809999996</v>
      </c>
      <c r="E2145">
        <v>86411.796879999994</v>
      </c>
      <c r="F2145">
        <v>87611.960940000004</v>
      </c>
      <c r="G2145">
        <v>25550297986</v>
      </c>
      <c r="H2145" t="s">
        <v>12</v>
      </c>
    </row>
    <row r="2146" spans="1:8" x14ac:dyDescent="0.3">
      <c r="A2146" t="s">
        <v>377</v>
      </c>
      <c r="B2146" t="s">
        <v>13</v>
      </c>
      <c r="C2146">
        <v>123.85684000000001</v>
      </c>
      <c r="D2146">
        <v>124.10684000000001</v>
      </c>
      <c r="E2146">
        <v>120.78386</v>
      </c>
      <c r="F2146">
        <v>122.4586</v>
      </c>
      <c r="G2146">
        <v>2313559221</v>
      </c>
      <c r="H2146" t="s">
        <v>14</v>
      </c>
    </row>
    <row r="2147" spans="1:8" x14ac:dyDescent="0.3">
      <c r="A2147" t="s">
        <v>377</v>
      </c>
      <c r="B2147" t="s">
        <v>15</v>
      </c>
      <c r="C2147">
        <v>1.87279</v>
      </c>
      <c r="D2147">
        <v>1.8758300000000001</v>
      </c>
      <c r="E2147">
        <v>1.8375699999999999</v>
      </c>
      <c r="F2147">
        <v>1.86117</v>
      </c>
      <c r="G2147">
        <v>1891794487</v>
      </c>
      <c r="H2147" t="s">
        <v>16</v>
      </c>
    </row>
    <row r="2148" spans="1:8" x14ac:dyDescent="0.3">
      <c r="A2148" t="s">
        <v>377</v>
      </c>
      <c r="B2148" t="s">
        <v>17</v>
      </c>
      <c r="C2148">
        <v>2962.9226100000001</v>
      </c>
      <c r="D2148">
        <v>2975.1711399999999</v>
      </c>
      <c r="E2148">
        <v>2888.9880400000002</v>
      </c>
      <c r="F2148">
        <v>2945.59058</v>
      </c>
      <c r="G2148">
        <v>13984770325</v>
      </c>
      <c r="H2148" t="s">
        <v>18</v>
      </c>
    </row>
    <row r="2149" spans="1:8" x14ac:dyDescent="0.3">
      <c r="A2149" t="s">
        <v>377</v>
      </c>
      <c r="B2149" t="s">
        <v>19</v>
      </c>
      <c r="C2149">
        <v>843.76935000000003</v>
      </c>
      <c r="D2149">
        <v>849.32776000000001</v>
      </c>
      <c r="E2149">
        <v>835.27039000000002</v>
      </c>
      <c r="F2149">
        <v>846.25963999999999</v>
      </c>
      <c r="G2149">
        <v>1535799969</v>
      </c>
      <c r="H2149" t="s">
        <v>20</v>
      </c>
    </row>
    <row r="2150" spans="1:8" x14ac:dyDescent="0.3">
      <c r="A2150" t="s">
        <v>378</v>
      </c>
      <c r="B2150" t="s">
        <v>9</v>
      </c>
      <c r="C2150">
        <v>0.35641</v>
      </c>
      <c r="D2150">
        <v>0.36082999999999998</v>
      </c>
      <c r="E2150">
        <v>0.34261000000000003</v>
      </c>
      <c r="F2150">
        <v>0.34322000000000003</v>
      </c>
      <c r="G2150">
        <v>521736417</v>
      </c>
      <c r="H2150" t="s">
        <v>10</v>
      </c>
    </row>
    <row r="2151" spans="1:8" x14ac:dyDescent="0.3">
      <c r="A2151" t="s">
        <v>378</v>
      </c>
      <c r="B2151" t="s">
        <v>11</v>
      </c>
      <c r="C2151">
        <v>87608.320309999996</v>
      </c>
      <c r="D2151">
        <v>88501.789059999996</v>
      </c>
      <c r="E2151">
        <v>86949.257809999996</v>
      </c>
      <c r="F2151">
        <v>87234.742190000004</v>
      </c>
      <c r="G2151">
        <v>19953216347</v>
      </c>
      <c r="H2151" t="s">
        <v>12</v>
      </c>
    </row>
    <row r="2152" spans="1:8" x14ac:dyDescent="0.3">
      <c r="A2152" t="s">
        <v>378</v>
      </c>
      <c r="B2152" t="s">
        <v>13</v>
      </c>
      <c r="C2152">
        <v>122.45836</v>
      </c>
      <c r="D2152">
        <v>124.19392000000001</v>
      </c>
      <c r="E2152">
        <v>119.90098999999999</v>
      </c>
      <c r="F2152">
        <v>119.94712</v>
      </c>
      <c r="G2152">
        <v>2194207451</v>
      </c>
      <c r="H2152" t="s">
        <v>14</v>
      </c>
    </row>
    <row r="2153" spans="1:8" x14ac:dyDescent="0.3">
      <c r="A2153" t="s">
        <v>378</v>
      </c>
      <c r="B2153" t="s">
        <v>15</v>
      </c>
      <c r="C2153">
        <v>1.86117</v>
      </c>
      <c r="D2153">
        <v>1.8852599999999999</v>
      </c>
      <c r="E2153">
        <v>1.8297699999999999</v>
      </c>
      <c r="F2153">
        <v>1.8318399999999999</v>
      </c>
      <c r="G2153">
        <v>1498817315</v>
      </c>
      <c r="H2153" t="s">
        <v>16</v>
      </c>
    </row>
    <row r="2154" spans="1:8" x14ac:dyDescent="0.3">
      <c r="A2154" t="s">
        <v>378</v>
      </c>
      <c r="B2154" t="s">
        <v>17</v>
      </c>
      <c r="C2154">
        <v>2945.4231</v>
      </c>
      <c r="D2154">
        <v>2968.7050800000002</v>
      </c>
      <c r="E2154">
        <v>2891.10889</v>
      </c>
      <c r="F2154">
        <v>2903.5795899999998</v>
      </c>
      <c r="G2154">
        <v>11828871179</v>
      </c>
      <c r="H2154" t="s">
        <v>18</v>
      </c>
    </row>
    <row r="2155" spans="1:8" x14ac:dyDescent="0.3">
      <c r="A2155" t="s">
        <v>378</v>
      </c>
      <c r="B2155" t="s">
        <v>19</v>
      </c>
      <c r="C2155">
        <v>846.24310000000003</v>
      </c>
      <c r="D2155">
        <v>847.07916</v>
      </c>
      <c r="E2155">
        <v>827.65857000000005</v>
      </c>
      <c r="F2155">
        <v>829.42444</v>
      </c>
      <c r="G2155">
        <v>1415229398</v>
      </c>
      <c r="H2155" t="s">
        <v>20</v>
      </c>
    </row>
    <row r="2156" spans="1:8" x14ac:dyDescent="0.3">
      <c r="A2156" t="s">
        <v>379</v>
      </c>
      <c r="B2156" t="s">
        <v>9</v>
      </c>
      <c r="C2156">
        <v>0.34322000000000003</v>
      </c>
      <c r="D2156">
        <v>0.35721000000000003</v>
      </c>
      <c r="E2156">
        <v>0.34204000000000001</v>
      </c>
      <c r="F2156">
        <v>0.34958</v>
      </c>
      <c r="G2156">
        <v>547530768</v>
      </c>
      <c r="H2156" t="s">
        <v>10</v>
      </c>
    </row>
    <row r="2157" spans="1:8" x14ac:dyDescent="0.3">
      <c r="A2157" t="s">
        <v>379</v>
      </c>
      <c r="B2157" t="s">
        <v>11</v>
      </c>
      <c r="C2157">
        <v>87235.507809999996</v>
      </c>
      <c r="D2157">
        <v>89459.429690000004</v>
      </c>
      <c r="E2157">
        <v>86628.140629999994</v>
      </c>
      <c r="F2157">
        <v>87301.429690000004</v>
      </c>
      <c r="G2157">
        <v>42455674908</v>
      </c>
      <c r="H2157" t="s">
        <v>12</v>
      </c>
    </row>
    <row r="2158" spans="1:8" x14ac:dyDescent="0.3">
      <c r="A2158" t="s">
        <v>379</v>
      </c>
      <c r="B2158" t="s">
        <v>13</v>
      </c>
      <c r="C2158">
        <v>119.94737000000001</v>
      </c>
      <c r="D2158">
        <v>124.92918</v>
      </c>
      <c r="E2158">
        <v>119.57317</v>
      </c>
      <c r="F2158">
        <v>122.19595</v>
      </c>
      <c r="G2158">
        <v>3779508002</v>
      </c>
      <c r="H2158" t="s">
        <v>14</v>
      </c>
    </row>
    <row r="2159" spans="1:8" x14ac:dyDescent="0.3">
      <c r="A2159" t="s">
        <v>379</v>
      </c>
      <c r="B2159" t="s">
        <v>15</v>
      </c>
      <c r="C2159">
        <v>1.8318399999999999</v>
      </c>
      <c r="D2159">
        <v>1.88025</v>
      </c>
      <c r="E2159">
        <v>1.8252900000000001</v>
      </c>
      <c r="F2159">
        <v>1.8429599999999999</v>
      </c>
      <c r="G2159">
        <v>2252113960</v>
      </c>
      <c r="H2159" t="s">
        <v>16</v>
      </c>
    </row>
    <row r="2160" spans="1:8" x14ac:dyDescent="0.3">
      <c r="A2160" t="s">
        <v>379</v>
      </c>
      <c r="B2160" t="s">
        <v>17</v>
      </c>
      <c r="C2160">
        <v>2903.625</v>
      </c>
      <c r="D2160">
        <v>2991.2199700000001</v>
      </c>
      <c r="E2160">
        <v>2894.1538099999998</v>
      </c>
      <c r="F2160">
        <v>2925.7456099999999</v>
      </c>
      <c r="G2160">
        <v>18562196049</v>
      </c>
      <c r="H2160" t="s">
        <v>18</v>
      </c>
    </row>
    <row r="2161" spans="1:8" x14ac:dyDescent="0.3">
      <c r="A2161" t="s">
        <v>379</v>
      </c>
      <c r="B2161" t="s">
        <v>19</v>
      </c>
      <c r="C2161">
        <v>829.42638999999997</v>
      </c>
      <c r="D2161">
        <v>845.71747000000005</v>
      </c>
      <c r="E2161">
        <v>823.37292000000002</v>
      </c>
      <c r="F2161">
        <v>834.15155000000004</v>
      </c>
      <c r="G2161">
        <v>1730790904</v>
      </c>
      <c r="H2161" t="s">
        <v>20</v>
      </c>
    </row>
    <row r="2162" spans="1:8" x14ac:dyDescent="0.3">
      <c r="A2162" t="s">
        <v>380</v>
      </c>
      <c r="B2162" t="s">
        <v>9</v>
      </c>
      <c r="C2162">
        <v>0.34958</v>
      </c>
      <c r="D2162">
        <v>0.36954999999999999</v>
      </c>
      <c r="E2162">
        <v>0.34899000000000002</v>
      </c>
      <c r="F2162">
        <v>0.36953999999999998</v>
      </c>
      <c r="G2162">
        <v>380207039</v>
      </c>
      <c r="H2162" t="s">
        <v>10</v>
      </c>
    </row>
    <row r="2163" spans="1:8" x14ac:dyDescent="0.3">
      <c r="A2163" t="s">
        <v>380</v>
      </c>
      <c r="B2163" t="s">
        <v>11</v>
      </c>
      <c r="C2163">
        <v>87301.429690000004</v>
      </c>
      <c r="D2163">
        <v>87874.78125</v>
      </c>
      <c r="E2163">
        <v>87182.976559999996</v>
      </c>
      <c r="F2163">
        <v>87802.15625</v>
      </c>
      <c r="G2163">
        <v>13741199310</v>
      </c>
      <c r="H2163" t="s">
        <v>12</v>
      </c>
    </row>
    <row r="2164" spans="1:8" x14ac:dyDescent="0.3">
      <c r="A2164" t="s">
        <v>380</v>
      </c>
      <c r="B2164" t="s">
        <v>13</v>
      </c>
      <c r="C2164">
        <v>122.19611999999999</v>
      </c>
      <c r="D2164">
        <v>124.74816</v>
      </c>
      <c r="E2164">
        <v>121.8604</v>
      </c>
      <c r="F2164">
        <v>124.64771</v>
      </c>
      <c r="G2164">
        <v>1711358748</v>
      </c>
      <c r="H2164" t="s">
        <v>14</v>
      </c>
    </row>
    <row r="2165" spans="1:8" x14ac:dyDescent="0.3">
      <c r="A2165" t="s">
        <v>380</v>
      </c>
      <c r="B2165" t="s">
        <v>15</v>
      </c>
      <c r="C2165">
        <v>1.8429599999999999</v>
      </c>
      <c r="D2165">
        <v>1.8740399999999999</v>
      </c>
      <c r="E2165">
        <v>1.8414299999999999</v>
      </c>
      <c r="F2165">
        <v>1.8728499999999999</v>
      </c>
      <c r="G2165">
        <v>1040331569</v>
      </c>
      <c r="H2165" t="s">
        <v>16</v>
      </c>
    </row>
    <row r="2166" spans="1:8" x14ac:dyDescent="0.3">
      <c r="A2166" t="s">
        <v>380</v>
      </c>
      <c r="B2166" t="s">
        <v>17</v>
      </c>
      <c r="C2166">
        <v>2925.74512</v>
      </c>
      <c r="D2166">
        <v>2957.3005400000002</v>
      </c>
      <c r="E2166">
        <v>2917.27124</v>
      </c>
      <c r="F2166">
        <v>2947.99829</v>
      </c>
      <c r="G2166">
        <v>7378783299</v>
      </c>
      <c r="H2166" t="s">
        <v>18</v>
      </c>
    </row>
    <row r="2167" spans="1:8" x14ac:dyDescent="0.3">
      <c r="A2167" t="s">
        <v>380</v>
      </c>
      <c r="B2167" t="s">
        <v>19</v>
      </c>
      <c r="C2167">
        <v>834.15137000000004</v>
      </c>
      <c r="D2167">
        <v>844.59436000000005</v>
      </c>
      <c r="E2167">
        <v>834.14586999999995</v>
      </c>
      <c r="F2167">
        <v>844.55449999999996</v>
      </c>
      <c r="G2167">
        <v>1496575663</v>
      </c>
      <c r="H2167" t="s">
        <v>20</v>
      </c>
    </row>
    <row r="2168" spans="1:8" x14ac:dyDescent="0.3">
      <c r="A2168" t="s">
        <v>381</v>
      </c>
      <c r="B2168" t="s">
        <v>9</v>
      </c>
      <c r="C2168">
        <v>0.36954999999999999</v>
      </c>
      <c r="D2168">
        <v>0.37473000000000001</v>
      </c>
      <c r="E2168">
        <v>0.3619</v>
      </c>
      <c r="F2168">
        <v>0.36849999999999999</v>
      </c>
      <c r="G2168">
        <v>459983671</v>
      </c>
      <c r="H2168" t="s">
        <v>10</v>
      </c>
    </row>
    <row r="2169" spans="1:8" x14ac:dyDescent="0.3">
      <c r="A2169" t="s">
        <v>381</v>
      </c>
      <c r="B2169" t="s">
        <v>11</v>
      </c>
      <c r="C2169">
        <v>87799.34375</v>
      </c>
      <c r="D2169">
        <v>87986.890629999994</v>
      </c>
      <c r="E2169">
        <v>87394.953129999994</v>
      </c>
      <c r="F2169">
        <v>87835.835940000004</v>
      </c>
      <c r="G2169">
        <v>15156557929</v>
      </c>
      <c r="H2169" t="s">
        <v>12</v>
      </c>
    </row>
    <row r="2170" spans="1:8" x14ac:dyDescent="0.3">
      <c r="A2170" t="s">
        <v>381</v>
      </c>
      <c r="B2170" t="s">
        <v>13</v>
      </c>
      <c r="C2170">
        <v>124.64841</v>
      </c>
      <c r="D2170">
        <v>125.21760999999999</v>
      </c>
      <c r="E2170">
        <v>123.07059</v>
      </c>
      <c r="F2170">
        <v>125.19936</v>
      </c>
      <c r="G2170">
        <v>2003713687</v>
      </c>
      <c r="H2170" t="s">
        <v>14</v>
      </c>
    </row>
    <row r="2171" spans="1:8" x14ac:dyDescent="0.3">
      <c r="A2171" t="s">
        <v>381</v>
      </c>
      <c r="B2171" t="s">
        <v>15</v>
      </c>
      <c r="C2171">
        <v>1.8728499999999999</v>
      </c>
      <c r="D2171">
        <v>1.87683</v>
      </c>
      <c r="E2171">
        <v>1.8538300000000001</v>
      </c>
      <c r="F2171">
        <v>1.86436</v>
      </c>
      <c r="G2171">
        <v>1043218992</v>
      </c>
      <c r="H2171" t="s">
        <v>16</v>
      </c>
    </row>
    <row r="2172" spans="1:8" x14ac:dyDescent="0.3">
      <c r="A2172" t="s">
        <v>381</v>
      </c>
      <c r="B2172" t="s">
        <v>17</v>
      </c>
      <c r="C2172">
        <v>2947.8981899999999</v>
      </c>
      <c r="D2172">
        <v>2957.1386699999998</v>
      </c>
      <c r="E2172">
        <v>2925.7453599999999</v>
      </c>
      <c r="F2172">
        <v>2948.5681199999999</v>
      </c>
      <c r="G2172">
        <v>9227601389</v>
      </c>
      <c r="H2172" t="s">
        <v>18</v>
      </c>
    </row>
    <row r="2173" spans="1:8" x14ac:dyDescent="0.3">
      <c r="A2173" t="s">
        <v>381</v>
      </c>
      <c r="B2173" t="s">
        <v>19</v>
      </c>
      <c r="C2173">
        <v>844.55755999999997</v>
      </c>
      <c r="D2173">
        <v>864.94304999999997</v>
      </c>
      <c r="E2173">
        <v>839.59209999999996</v>
      </c>
      <c r="F2173">
        <v>858.8288</v>
      </c>
      <c r="G2173">
        <v>1855190489</v>
      </c>
      <c r="H2173" t="s">
        <v>20</v>
      </c>
    </row>
    <row r="2174" spans="1:8" x14ac:dyDescent="0.3">
      <c r="A2174" t="s">
        <v>382</v>
      </c>
      <c r="B2174" t="s">
        <v>9</v>
      </c>
      <c r="C2174">
        <v>0.36848999999999998</v>
      </c>
      <c r="D2174">
        <v>0.38263999999999998</v>
      </c>
      <c r="E2174">
        <v>0.35059000000000001</v>
      </c>
      <c r="F2174">
        <v>0.35291</v>
      </c>
      <c r="G2174">
        <v>772916830</v>
      </c>
      <c r="H2174" t="s">
        <v>10</v>
      </c>
    </row>
    <row r="2175" spans="1:8" x14ac:dyDescent="0.3">
      <c r="A2175" t="s">
        <v>382</v>
      </c>
      <c r="B2175" t="s">
        <v>11</v>
      </c>
      <c r="C2175">
        <v>87835.789059999996</v>
      </c>
      <c r="D2175">
        <v>90299.15625</v>
      </c>
      <c r="E2175">
        <v>86717.914059999996</v>
      </c>
      <c r="F2175">
        <v>87138.140629999994</v>
      </c>
      <c r="G2175">
        <v>48411625849</v>
      </c>
      <c r="H2175" t="s">
        <v>12</v>
      </c>
    </row>
    <row r="2176" spans="1:8" x14ac:dyDescent="0.3">
      <c r="A2176" t="s">
        <v>382</v>
      </c>
      <c r="B2176" t="s">
        <v>13</v>
      </c>
      <c r="C2176">
        <v>125.19875</v>
      </c>
      <c r="D2176">
        <v>129.30440999999999</v>
      </c>
      <c r="E2176">
        <v>122.42873</v>
      </c>
      <c r="F2176">
        <v>123.12523</v>
      </c>
      <c r="G2176">
        <v>4871847248</v>
      </c>
      <c r="H2176" t="s">
        <v>14</v>
      </c>
    </row>
    <row r="2177" spans="1:8" x14ac:dyDescent="0.3">
      <c r="A2177" t="s">
        <v>382</v>
      </c>
      <c r="B2177" t="s">
        <v>15</v>
      </c>
      <c r="C2177">
        <v>1.86436</v>
      </c>
      <c r="D2177">
        <v>1.91479</v>
      </c>
      <c r="E2177">
        <v>1.84545</v>
      </c>
      <c r="F2177">
        <v>1.84772</v>
      </c>
      <c r="G2177">
        <v>2303688120</v>
      </c>
      <c r="H2177" t="s">
        <v>16</v>
      </c>
    </row>
    <row r="2178" spans="1:8" x14ac:dyDescent="0.3">
      <c r="A2178" t="s">
        <v>382</v>
      </c>
      <c r="B2178" t="s">
        <v>17</v>
      </c>
      <c r="C2178">
        <v>2948.55908</v>
      </c>
      <c r="D2178">
        <v>3051.9418999999998</v>
      </c>
      <c r="E2178">
        <v>2908.7480500000001</v>
      </c>
      <c r="F2178">
        <v>2934.5383299999999</v>
      </c>
      <c r="G2178">
        <v>25957694515</v>
      </c>
      <c r="H2178" t="s">
        <v>18</v>
      </c>
    </row>
    <row r="2179" spans="1:8" x14ac:dyDescent="0.3">
      <c r="A2179" t="s">
        <v>382</v>
      </c>
      <c r="B2179" t="s">
        <v>19</v>
      </c>
      <c r="C2179">
        <v>858.83520999999996</v>
      </c>
      <c r="D2179">
        <v>869.98584000000005</v>
      </c>
      <c r="E2179">
        <v>846.64531999999997</v>
      </c>
      <c r="F2179">
        <v>851.18755999999996</v>
      </c>
      <c r="G2179">
        <v>2271142660</v>
      </c>
      <c r="H2179" t="s">
        <v>20</v>
      </c>
    </row>
    <row r="2180" spans="1:8" x14ac:dyDescent="0.3">
      <c r="A2180" t="s">
        <v>383</v>
      </c>
      <c r="B2180" t="s">
        <v>9</v>
      </c>
      <c r="C2180">
        <v>0.35291</v>
      </c>
      <c r="D2180">
        <v>0.35597000000000001</v>
      </c>
      <c r="E2180">
        <v>0.34905000000000003</v>
      </c>
      <c r="F2180">
        <v>0.35111999999999999</v>
      </c>
      <c r="G2180">
        <v>491744913</v>
      </c>
      <c r="H2180" t="s">
        <v>10</v>
      </c>
    </row>
    <row r="2181" spans="1:8" x14ac:dyDescent="0.3">
      <c r="A2181" t="s">
        <v>383</v>
      </c>
      <c r="B2181" t="s">
        <v>11</v>
      </c>
      <c r="C2181">
        <v>87134.351559999996</v>
      </c>
      <c r="D2181">
        <v>89297.9375</v>
      </c>
      <c r="E2181">
        <v>86735.546879999994</v>
      </c>
      <c r="F2181">
        <v>88430.132809999996</v>
      </c>
      <c r="G2181">
        <v>35586356225</v>
      </c>
      <c r="H2181" t="s">
        <v>12</v>
      </c>
    </row>
    <row r="2182" spans="1:8" x14ac:dyDescent="0.3">
      <c r="A2182" t="s">
        <v>383</v>
      </c>
      <c r="B2182" t="s">
        <v>13</v>
      </c>
      <c r="C2182">
        <v>123.12448999999999</v>
      </c>
      <c r="D2182">
        <v>126.19067</v>
      </c>
      <c r="E2182">
        <v>122.539</v>
      </c>
      <c r="F2182">
        <v>124.93132</v>
      </c>
      <c r="G2182">
        <v>3096711898</v>
      </c>
      <c r="H2182" t="s">
        <v>14</v>
      </c>
    </row>
    <row r="2183" spans="1:8" x14ac:dyDescent="0.3">
      <c r="A2183" t="s">
        <v>383</v>
      </c>
      <c r="B2183" t="s">
        <v>15</v>
      </c>
      <c r="C2183">
        <v>1.8477399999999999</v>
      </c>
      <c r="D2183">
        <v>1.8826499999999999</v>
      </c>
      <c r="E2183">
        <v>1.84409</v>
      </c>
      <c r="F2183">
        <v>1.8754900000000001</v>
      </c>
      <c r="G2183">
        <v>1804734447</v>
      </c>
      <c r="H2183" t="s">
        <v>16</v>
      </c>
    </row>
    <row r="2184" spans="1:8" x14ac:dyDescent="0.3">
      <c r="A2184" t="s">
        <v>383</v>
      </c>
      <c r="B2184" t="s">
        <v>17</v>
      </c>
      <c r="C2184">
        <v>2934.41626</v>
      </c>
      <c r="D2184">
        <v>3002.8046899999999</v>
      </c>
      <c r="E2184">
        <v>2916.3300800000002</v>
      </c>
      <c r="F2184">
        <v>2971.4167499999999</v>
      </c>
      <c r="G2184">
        <v>18816704381</v>
      </c>
      <c r="H2184" t="s">
        <v>18</v>
      </c>
    </row>
    <row r="2185" spans="1:8" x14ac:dyDescent="0.3">
      <c r="A2185" t="s">
        <v>383</v>
      </c>
      <c r="B2185" t="s">
        <v>19</v>
      </c>
      <c r="C2185">
        <v>851.19073000000003</v>
      </c>
      <c r="D2185">
        <v>862.01984000000004</v>
      </c>
      <c r="E2185">
        <v>848.45050000000003</v>
      </c>
      <c r="F2185">
        <v>860.55371000000002</v>
      </c>
      <c r="G2185">
        <v>2042633098</v>
      </c>
      <c r="H2185" t="s">
        <v>20</v>
      </c>
    </row>
    <row r="2186" spans="1:8" x14ac:dyDescent="0.3">
      <c r="A2186" t="s">
        <v>384</v>
      </c>
      <c r="B2186" t="s">
        <v>9</v>
      </c>
      <c r="C2186">
        <v>0.35110000000000002</v>
      </c>
      <c r="D2186">
        <v>0.35282000000000002</v>
      </c>
      <c r="E2186">
        <v>0.33299000000000001</v>
      </c>
      <c r="F2186">
        <v>0.33343</v>
      </c>
      <c r="G2186">
        <v>558387904</v>
      </c>
      <c r="H2186" t="s">
        <v>10</v>
      </c>
    </row>
    <row r="2187" spans="1:8" x14ac:dyDescent="0.3">
      <c r="A2187" t="s">
        <v>384</v>
      </c>
      <c r="B2187" t="s">
        <v>11</v>
      </c>
      <c r="C2187">
        <v>88407.726559999996</v>
      </c>
      <c r="D2187">
        <v>89012.414059999996</v>
      </c>
      <c r="E2187">
        <v>87334.125</v>
      </c>
      <c r="F2187">
        <v>87520.132809999996</v>
      </c>
      <c r="G2187">
        <v>33016963072</v>
      </c>
      <c r="H2187" t="s">
        <v>12</v>
      </c>
    </row>
    <row r="2188" spans="1:8" x14ac:dyDescent="0.3">
      <c r="A2188" t="s">
        <v>384</v>
      </c>
      <c r="B2188" t="s">
        <v>13</v>
      </c>
      <c r="C2188">
        <v>124.92419</v>
      </c>
      <c r="D2188">
        <v>127.10046</v>
      </c>
      <c r="E2188">
        <v>124.47266</v>
      </c>
      <c r="F2188">
        <v>124.6554</v>
      </c>
      <c r="G2188">
        <v>3114220032</v>
      </c>
      <c r="H2188" t="s">
        <v>14</v>
      </c>
    </row>
    <row r="2189" spans="1:8" x14ac:dyDescent="0.3">
      <c r="A2189" t="s">
        <v>384</v>
      </c>
      <c r="B2189" t="s">
        <v>15</v>
      </c>
      <c r="C2189">
        <v>1.8754500000000001</v>
      </c>
      <c r="D2189">
        <v>1.88005</v>
      </c>
      <c r="E2189">
        <v>1.8372299999999999</v>
      </c>
      <c r="F2189">
        <v>1.83856</v>
      </c>
      <c r="G2189">
        <v>1785612160</v>
      </c>
      <c r="H2189" t="s">
        <v>16</v>
      </c>
    </row>
    <row r="2190" spans="1:8" x14ac:dyDescent="0.3">
      <c r="A2190" t="s">
        <v>384</v>
      </c>
      <c r="B2190" t="s">
        <v>17</v>
      </c>
      <c r="C2190">
        <v>2970.64185</v>
      </c>
      <c r="D2190">
        <v>3014.7507300000002</v>
      </c>
      <c r="E2190">
        <v>2960.2526899999998</v>
      </c>
      <c r="F2190">
        <v>2972.8252000000002</v>
      </c>
      <c r="G2190">
        <v>16968096768</v>
      </c>
      <c r="H2190" t="s">
        <v>18</v>
      </c>
    </row>
    <row r="2191" spans="1:8" x14ac:dyDescent="0.3">
      <c r="A2191" t="s">
        <v>384</v>
      </c>
      <c r="B2191" t="s">
        <v>19</v>
      </c>
      <c r="C2191">
        <v>860.53399999999999</v>
      </c>
      <c r="D2191">
        <v>873.27039000000002</v>
      </c>
      <c r="E2191">
        <v>856.89757999999995</v>
      </c>
      <c r="F2191">
        <v>861.30327999999997</v>
      </c>
      <c r="G2191">
        <v>2447182848</v>
      </c>
      <c r="H219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C5AD7-C15F-4D0C-9C7C-05741E42E9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Cleaned_Crypto_Data</vt:lpstr>
      <vt:lpstr>Summary_Table</vt:lpstr>
      <vt:lpstr>Crypto_previous</vt:lpstr>
      <vt:lpstr>Raw_Crypto_Data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</dc:creator>
  <cp:lastModifiedBy>Eliza Dizon</cp:lastModifiedBy>
  <dcterms:created xsi:type="dcterms:W3CDTF">2026-08-12T09:42:17Z</dcterms:created>
  <dcterms:modified xsi:type="dcterms:W3CDTF">2026-08-12T10:46:29Z</dcterms:modified>
</cp:coreProperties>
</file>